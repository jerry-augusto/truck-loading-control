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REFINARIA MILHO\00. Supervisão\11. Pastas Pessoais\01. Jerry\Planilhas\"/>
    </mc:Choice>
  </mc:AlternateContent>
  <xr:revisionPtr revIDLastSave="0" documentId="13_ncr:1_{C9249A21-5F81-430B-B5C8-D68EA1589A74}" xr6:coauthVersionLast="47" xr6:coauthVersionMax="47" xr10:uidLastSave="{00000000-0000-0000-0000-000000000000}"/>
  <bookViews>
    <workbookView xWindow="-110" yWindow="-110" windowWidth="19420" windowHeight="10560" xr2:uid="{3BD60D1A-C38C-4F4A-AD05-0147FD73A2AA}"/>
  </bookViews>
  <sheets>
    <sheet name="Daily" sheetId="3" r:id="rId1"/>
    <sheet name="Monthly" sheetId="5" r:id="rId2"/>
    <sheet name="Loads" sheetId="1" r:id="rId3"/>
    <sheet name="Data Validation" sheetId="2" r:id="rId4"/>
  </sheets>
  <definedNames>
    <definedName name="_xlnm._FilterDatabase" localSheetId="3" hidden="1">'Data Validation'!$A$1:$A$8</definedName>
    <definedName name="Products">OFFSET('Data Validation'!$A$1,0,0,COUNTA('Data Validation'!$A:$A),1)</definedName>
    <definedName name="Types">OFFSET('Data Validation'!$B$1,0,0,COUNTA('Data Validation'!$B:$B),1)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" l="1"/>
  <c r="B8" i="3" l="1"/>
  <c r="AE12" i="3"/>
  <c r="A2" i="1" l="1"/>
  <c r="B2" i="1" l="1"/>
  <c r="C2" i="1" s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21" i="1" l="1"/>
  <c r="A2320" i="1"/>
  <c r="A2319" i="1"/>
  <c r="A2318" i="1"/>
  <c r="A2317" i="1"/>
  <c r="A2316" i="1"/>
  <c r="A2315" i="1"/>
  <c r="A2314" i="1"/>
  <c r="A2325" i="1"/>
  <c r="A2324" i="1"/>
  <c r="A2323" i="1"/>
  <c r="A2322" i="1"/>
  <c r="A2326" i="1"/>
  <c r="A2330" i="1"/>
  <c r="A2329" i="1"/>
  <c r="A2328" i="1"/>
  <c r="A2338" i="1"/>
  <c r="A2337" i="1"/>
  <c r="A2336" i="1"/>
  <c r="A2335" i="1"/>
  <c r="A2334" i="1"/>
  <c r="A2333" i="1"/>
  <c r="A2332" i="1"/>
  <c r="A2331" i="1"/>
  <c r="A2327" i="1"/>
  <c r="A2313" i="1"/>
  <c r="A2312" i="1"/>
  <c r="A2311" i="1"/>
  <c r="A2310" i="1" l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 l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 l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 l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 l="1"/>
  <c r="A2205" i="1"/>
  <c r="A2204" i="1"/>
  <c r="A2203" i="1"/>
  <c r="A2202" i="1"/>
  <c r="A2201" i="1" l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 l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 l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 l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 l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 l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 l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 l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 l="1"/>
  <c r="A1995" i="1"/>
  <c r="A1994" i="1"/>
  <c r="A1993" i="1"/>
  <c r="A1992" i="1"/>
  <c r="A1991" i="1"/>
  <c r="A1990" i="1"/>
  <c r="A1989" i="1"/>
  <c r="A1988" i="1"/>
  <c r="A1987" i="1"/>
  <c r="A1986" i="1"/>
  <c r="A1985" i="1" l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 l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 l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 l="1"/>
  <c r="A1916" i="1"/>
  <c r="A1915" i="1"/>
  <c r="A1914" i="1"/>
  <c r="A1913" i="1" l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 l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 l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39" i="1" l="1"/>
  <c r="A1838" i="1"/>
  <c r="A1837" i="1"/>
  <c r="A1836" i="1"/>
  <c r="A1828" i="1"/>
  <c r="A1827" i="1"/>
  <c r="A1826" i="1"/>
  <c r="A1849" i="1"/>
  <c r="A1848" i="1"/>
  <c r="A1847" i="1"/>
  <c r="A1846" i="1"/>
  <c r="A1845" i="1"/>
  <c r="A1844" i="1"/>
  <c r="A1843" i="1"/>
  <c r="A1842" i="1"/>
  <c r="A1841" i="1"/>
  <c r="A1840" i="1"/>
  <c r="A1850" i="1"/>
  <c r="A1835" i="1"/>
  <c r="A1834" i="1"/>
  <c r="A1833" i="1"/>
  <c r="A1832" i="1"/>
  <c r="A1831" i="1"/>
  <c r="A1829" i="1"/>
  <c r="A1830" i="1"/>
  <c r="A1817" i="1" l="1"/>
  <c r="A1818" i="1"/>
  <c r="A1816" i="1"/>
  <c r="A1814" i="1"/>
  <c r="A1825" i="1"/>
  <c r="A1824" i="1"/>
  <c r="A1823" i="1"/>
  <c r="A1822" i="1"/>
  <c r="A1821" i="1"/>
  <c r="A1820" i="1"/>
  <c r="A1819" i="1"/>
  <c r="A1815" i="1"/>
  <c r="A1813" i="1" l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787" i="1"/>
  <c r="A1785" i="1"/>
  <c r="A1786" i="1"/>
  <c r="A1782" i="1"/>
  <c r="A1794" i="1"/>
  <c r="A1784" i="1"/>
  <c r="A1783" i="1"/>
  <c r="A1793" i="1"/>
  <c r="A1800" i="1"/>
  <c r="A1799" i="1"/>
  <c r="A1798" i="1"/>
  <c r="A1792" i="1"/>
  <c r="A1797" i="1"/>
  <c r="A1796" i="1"/>
  <c r="A1791" i="1"/>
  <c r="A1790" i="1"/>
  <c r="A1789" i="1"/>
  <c r="A1788" i="1"/>
  <c r="A1795" i="1" l="1"/>
  <c r="A1768" i="1" l="1"/>
  <c r="A1767" i="1"/>
  <c r="A1766" i="1"/>
  <c r="A1765" i="1"/>
  <c r="A1764" i="1"/>
  <c r="A1763" i="1"/>
  <c r="A1762" i="1"/>
  <c r="A1769" i="1"/>
  <c r="A1771" i="1"/>
  <c r="A1770" i="1"/>
  <c r="A1761" i="1"/>
  <c r="A1760" i="1"/>
  <c r="A1759" i="1"/>
  <c r="A1781" i="1"/>
  <c r="A1780" i="1"/>
  <c r="A1779" i="1"/>
  <c r="A1778" i="1"/>
  <c r="A1777" i="1"/>
  <c r="A1776" i="1"/>
  <c r="A1775" i="1"/>
  <c r="A1774" i="1"/>
  <c r="A1773" i="1"/>
  <c r="A1772" i="1"/>
  <c r="A1744" i="1" l="1"/>
  <c r="A1746" i="1"/>
  <c r="A1735" i="1"/>
  <c r="A1734" i="1"/>
  <c r="A1745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3" i="1"/>
  <c r="A1742" i="1"/>
  <c r="A1741" i="1"/>
  <c r="A1740" i="1"/>
  <c r="A1739" i="1"/>
  <c r="A1738" i="1"/>
  <c r="A1736" i="1"/>
  <c r="A1737" i="1" l="1"/>
  <c r="A1733" i="1" l="1"/>
  <c r="A1732" i="1"/>
  <c r="A1731" i="1"/>
  <c r="A1730" i="1"/>
  <c r="A1729" i="1"/>
  <c r="A1728" i="1"/>
  <c r="A1727" i="1" l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 l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 l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 l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 l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 l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 l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 l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 l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 l="1"/>
  <c r="A1506" i="1"/>
  <c r="A1505" i="1"/>
  <c r="A1504" i="1"/>
  <c r="A1503" i="1"/>
  <c r="A1502" i="1"/>
  <c r="A1501" i="1"/>
  <c r="A1500" i="1"/>
  <c r="A1499" i="1"/>
  <c r="A1498" i="1"/>
  <c r="A1497" i="1"/>
  <c r="A1496" i="1" l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 l="1"/>
  <c r="A1482" i="1"/>
  <c r="A1481" i="1"/>
  <c r="A1480" i="1"/>
  <c r="A1479" i="1"/>
  <c r="A1478" i="1"/>
  <c r="A1477" i="1"/>
  <c r="A1476" i="1" l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 l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 l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 l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 l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 l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 l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 l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557" i="1" l="1"/>
  <c r="A556" i="1"/>
  <c r="A555" i="1"/>
  <c r="A699" i="1"/>
  <c r="A584" i="1"/>
  <c r="A645" i="1"/>
  <c r="A122" i="1"/>
  <c r="A121" i="1"/>
  <c r="A120" i="1"/>
  <c r="A119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18" i="1" l="1"/>
  <c r="A117" i="1"/>
  <c r="A116" i="1"/>
  <c r="A583" i="1"/>
  <c r="A644" i="1"/>
  <c r="A698" i="1"/>
  <c r="A1266" i="1"/>
  <c r="A697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554" i="1"/>
  <c r="A168" i="1"/>
  <c r="A553" i="1"/>
  <c r="A552" i="1"/>
  <c r="A167" i="1"/>
  <c r="A551" i="1"/>
  <c r="A550" i="1"/>
  <c r="A549" i="1"/>
  <c r="A548" i="1"/>
  <c r="A166" i="1"/>
  <c r="A547" i="1"/>
  <c r="A546" i="1"/>
  <c r="A545" i="1" l="1"/>
  <c r="A544" i="1"/>
  <c r="A165" i="1"/>
  <c r="A164" i="1"/>
  <c r="A163" i="1"/>
  <c r="A543" i="1"/>
  <c r="A542" i="1"/>
  <c r="A541" i="1" l="1"/>
  <c r="A162" i="1"/>
  <c r="A582" i="1"/>
  <c r="A1265" i="1"/>
  <c r="A115" i="1"/>
  <c r="A114" i="1"/>
  <c r="A113" i="1"/>
  <c r="A696" i="1"/>
  <c r="A695" i="1"/>
  <c r="A643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581" i="1" l="1"/>
  <c r="A642" i="1"/>
  <c r="A641" i="1"/>
  <c r="A640" i="1"/>
  <c r="A1264" i="1"/>
  <c r="A112" i="1"/>
  <c r="A111" i="1"/>
  <c r="A110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540" i="1"/>
  <c r="A539" i="1"/>
  <c r="A538" i="1"/>
  <c r="A1192" i="1" l="1"/>
  <c r="A537" i="1" l="1"/>
  <c r="A536" i="1"/>
  <c r="A535" i="1"/>
  <c r="A534" i="1"/>
  <c r="A694" i="1"/>
  <c r="A580" i="1"/>
  <c r="A639" i="1"/>
  <c r="A638" i="1"/>
  <c r="A109" i="1"/>
  <c r="A1191" i="1"/>
  <c r="A1190" i="1"/>
  <c r="A1189" i="1"/>
  <c r="A1188" i="1"/>
  <c r="A1187" i="1"/>
  <c r="A1186" i="1"/>
  <c r="A1185" i="1"/>
  <c r="A1184" i="1"/>
  <c r="A1183" i="1"/>
  <c r="A1182" i="1"/>
  <c r="A533" i="1" l="1"/>
  <c r="A532" i="1"/>
  <c r="A1181" i="1"/>
  <c r="A1180" i="1"/>
  <c r="A1179" i="1"/>
  <c r="A1178" i="1"/>
  <c r="A1177" i="1"/>
  <c r="A1176" i="1"/>
  <c r="A1263" i="1"/>
  <c r="A1262" i="1"/>
  <c r="A108" i="1"/>
  <c r="A107" i="1"/>
  <c r="A637" i="1"/>
  <c r="A693" i="1"/>
  <c r="A692" i="1"/>
  <c r="A106" i="1"/>
  <c r="A531" i="1" l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1175" i="1"/>
  <c r="A1174" i="1"/>
  <c r="A1173" i="1"/>
  <c r="A1172" i="1"/>
  <c r="A105" i="1"/>
  <c r="A636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635" i="1"/>
  <c r="A1156" i="1"/>
  <c r="A104" i="1" l="1"/>
  <c r="A1155" i="1"/>
  <c r="A1154" i="1"/>
  <c r="A1153" i="1"/>
  <c r="A103" i="1"/>
  <c r="A516" i="1"/>
  <c r="A515" i="1"/>
  <c r="A514" i="1"/>
  <c r="A513" i="1"/>
  <c r="A512" i="1"/>
  <c r="A511" i="1"/>
  <c r="A510" i="1"/>
  <c r="A509" i="1"/>
  <c r="A508" i="1"/>
  <c r="A507" i="1"/>
  <c r="A506" i="1"/>
  <c r="A1152" i="1"/>
  <c r="A691" i="1"/>
  <c r="A1151" i="1"/>
  <c r="A1150" i="1"/>
  <c r="A1149" i="1"/>
  <c r="A1148" i="1"/>
  <c r="A1147" i="1"/>
  <c r="A1146" i="1"/>
  <c r="A1145" i="1"/>
  <c r="A634" i="1"/>
  <c r="A102" i="1"/>
  <c r="A1144" i="1"/>
  <c r="A1143" i="1"/>
  <c r="A1142" i="1"/>
  <c r="A1141" i="1"/>
  <c r="A1140" i="1"/>
  <c r="A690" i="1"/>
  <c r="A101" i="1"/>
  <c r="A689" i="1"/>
  <c r="A1139" i="1"/>
  <c r="A1138" i="1"/>
  <c r="A1137" i="1"/>
  <c r="A1136" i="1"/>
  <c r="A505" i="1" l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100" i="1"/>
  <c r="A1135" i="1"/>
  <c r="A1134" i="1"/>
  <c r="A1261" i="1"/>
  <c r="A99" i="1"/>
  <c r="A1133" i="1"/>
  <c r="A1132" i="1"/>
  <c r="A1131" i="1"/>
  <c r="A1130" i="1"/>
  <c r="A633" i="1"/>
  <c r="A1129" i="1"/>
  <c r="A98" i="1"/>
  <c r="A97" i="1"/>
  <c r="A96" i="1"/>
  <c r="A579" i="1"/>
  <c r="A1128" i="1"/>
  <c r="A491" i="1" l="1"/>
  <c r="A490" i="1"/>
  <c r="A489" i="1"/>
  <c r="A488" i="1"/>
  <c r="A487" i="1"/>
  <c r="A486" i="1"/>
  <c r="A485" i="1"/>
  <c r="A484" i="1"/>
  <c r="A483" i="1"/>
  <c r="A482" i="1"/>
  <c r="A481" i="1"/>
  <c r="A95" i="1"/>
  <c r="A1127" i="1"/>
  <c r="A1126" i="1"/>
  <c r="A1125" i="1"/>
  <c r="A1124" i="1"/>
  <c r="A94" i="1"/>
  <c r="A1123" i="1"/>
  <c r="A1122" i="1"/>
  <c r="A1121" i="1"/>
  <c r="A1120" i="1"/>
  <c r="A1119" i="1"/>
  <c r="A1118" i="1"/>
  <c r="A1117" i="1"/>
  <c r="A632" i="1"/>
  <c r="A1116" i="1"/>
  <c r="A631" i="1"/>
  <c r="A1115" i="1"/>
  <c r="A1114" i="1"/>
  <c r="A1113" i="1"/>
  <c r="A1112" i="1"/>
  <c r="A688" i="1"/>
  <c r="A1111" i="1" l="1"/>
  <c r="A1110" i="1"/>
  <c r="A1109" i="1"/>
  <c r="A687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93" i="1"/>
  <c r="A1108" i="1"/>
  <c r="A1107" i="1"/>
  <c r="A1106" i="1"/>
  <c r="A1105" i="1"/>
  <c r="A1104" i="1"/>
  <c r="A1103" i="1"/>
  <c r="A1102" i="1"/>
  <c r="A1101" i="1"/>
  <c r="A630" i="1"/>
  <c r="A1100" i="1"/>
  <c r="A1099" i="1"/>
  <c r="A1098" i="1"/>
  <c r="A578" i="1"/>
  <c r="A1097" i="1"/>
  <c r="A92" i="1"/>
  <c r="A1096" i="1"/>
  <c r="A91" i="1" l="1"/>
  <c r="A1095" i="1"/>
  <c r="A1094" i="1"/>
  <c r="A468" i="1"/>
  <c r="A467" i="1"/>
  <c r="A466" i="1"/>
  <c r="A465" i="1"/>
  <c r="A464" i="1"/>
  <c r="A463" i="1"/>
  <c r="A462" i="1"/>
  <c r="A461" i="1"/>
  <c r="A1093" i="1"/>
  <c r="A1092" i="1"/>
  <c r="A686" i="1"/>
  <c r="A90" i="1"/>
  <c r="A1260" i="1"/>
  <c r="A629" i="1"/>
  <c r="A685" i="1"/>
  <c r="A1091" i="1"/>
  <c r="A1090" i="1"/>
  <c r="A89" i="1"/>
  <c r="A88" i="1"/>
  <c r="A577" i="1"/>
  <c r="A1089" i="1"/>
  <c r="A1088" i="1"/>
  <c r="A1087" i="1"/>
  <c r="A628" i="1"/>
  <c r="A1086" i="1"/>
  <c r="A1085" i="1"/>
  <c r="A627" i="1"/>
  <c r="A1084" i="1"/>
  <c r="A460" i="1" l="1"/>
  <c r="A459" i="1"/>
  <c r="A458" i="1"/>
  <c r="A457" i="1"/>
  <c r="A456" i="1"/>
  <c r="A576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87" i="1"/>
  <c r="A86" i="1"/>
  <c r="A684" i="1"/>
  <c r="A1259" i="1"/>
  <c r="A626" i="1"/>
  <c r="A625" i="1"/>
  <c r="A1070" i="1" l="1"/>
  <c r="A455" i="1"/>
  <c r="A454" i="1"/>
  <c r="A453" i="1"/>
  <c r="A452" i="1"/>
  <c r="A451" i="1"/>
  <c r="A85" i="1" l="1"/>
  <c r="A1069" i="1"/>
  <c r="A1068" i="1"/>
  <c r="A624" i="1"/>
  <c r="A623" i="1"/>
  <c r="A683" i="1" l="1"/>
  <c r="A1067" i="1"/>
  <c r="A1066" i="1"/>
  <c r="A1065" i="1"/>
  <c r="A1064" i="1"/>
  <c r="A1063" i="1"/>
  <c r="A1062" i="1"/>
  <c r="A1061" i="1"/>
  <c r="A450" i="1" l="1"/>
  <c r="A449" i="1"/>
  <c r="A448" i="1"/>
  <c r="A447" i="1"/>
  <c r="A446" i="1"/>
  <c r="A445" i="1"/>
  <c r="A1060" i="1"/>
  <c r="A1059" i="1"/>
  <c r="A1058" i="1"/>
  <c r="A575" i="1"/>
  <c r="A84" i="1"/>
  <c r="A83" i="1" l="1"/>
  <c r="A82" i="1"/>
  <c r="A1057" i="1"/>
  <c r="A1056" i="1"/>
  <c r="A1055" i="1"/>
  <c r="A1054" i="1"/>
  <c r="A1053" i="1"/>
  <c r="A682" i="1"/>
  <c r="A81" i="1" l="1"/>
  <c r="A80" i="1"/>
  <c r="A1052" i="1"/>
  <c r="A1051" i="1"/>
  <c r="A1050" i="1"/>
  <c r="A444" i="1" l="1"/>
  <c r="A443" i="1"/>
  <c r="A442" i="1"/>
  <c r="A441" i="1"/>
  <c r="A440" i="1"/>
  <c r="A439" i="1"/>
  <c r="A574" i="1"/>
  <c r="A1049" i="1" l="1"/>
  <c r="A1048" i="1"/>
  <c r="A1258" i="1" l="1"/>
  <c r="A622" i="1"/>
  <c r="A1047" i="1"/>
  <c r="A1046" i="1"/>
  <c r="A1045" i="1"/>
  <c r="A1044" i="1"/>
  <c r="A1043" i="1"/>
  <c r="A79" i="1"/>
  <c r="A78" i="1"/>
  <c r="A1042" i="1"/>
  <c r="A1041" i="1"/>
  <c r="A573" i="1"/>
  <c r="A1040" i="1"/>
  <c r="A681" i="1"/>
  <c r="A1039" i="1"/>
  <c r="A680" i="1"/>
  <c r="A1038" i="1" l="1"/>
  <c r="A1037" i="1"/>
  <c r="A1036" i="1"/>
  <c r="A1035" i="1"/>
  <c r="A438" i="1" l="1"/>
  <c r="A437" i="1"/>
  <c r="A436" i="1"/>
  <c r="A435" i="1"/>
  <c r="A434" i="1"/>
  <c r="A433" i="1"/>
  <c r="A432" i="1"/>
  <c r="A431" i="1"/>
  <c r="A430" i="1"/>
  <c r="A1034" i="1" l="1"/>
  <c r="A572" i="1"/>
  <c r="A1033" i="1" l="1"/>
  <c r="A1032" i="1"/>
  <c r="A1031" i="1"/>
  <c r="A1030" i="1"/>
  <c r="A77" i="1"/>
  <c r="A571" i="1"/>
  <c r="A1029" i="1"/>
  <c r="A1028" i="1"/>
  <c r="A1027" i="1"/>
  <c r="A1026" i="1"/>
  <c r="A1025" i="1" l="1"/>
  <c r="A1024" i="1"/>
  <c r="A679" i="1"/>
  <c r="A161" i="1" l="1"/>
  <c r="A160" i="1"/>
  <c r="A429" i="1"/>
  <c r="A428" i="1"/>
  <c r="A427" i="1"/>
  <c r="A426" i="1"/>
  <c r="A425" i="1"/>
  <c r="A424" i="1"/>
  <c r="A423" i="1"/>
  <c r="A422" i="1"/>
  <c r="A421" i="1"/>
  <c r="A420" i="1"/>
  <c r="A1023" i="1" l="1"/>
  <c r="A678" i="1"/>
  <c r="A621" i="1"/>
  <c r="A570" i="1"/>
  <c r="A76" i="1"/>
  <c r="A1022" i="1"/>
  <c r="A1021" i="1"/>
  <c r="A75" i="1"/>
  <c r="A74" i="1" l="1"/>
  <c r="A1020" i="1"/>
  <c r="A1019" i="1"/>
  <c r="A1018" i="1"/>
  <c r="A1017" i="1" l="1"/>
  <c r="A1016" i="1"/>
  <c r="A1015" i="1"/>
  <c r="A1014" i="1"/>
  <c r="A1013" i="1"/>
  <c r="A1012" i="1"/>
  <c r="A419" i="1" l="1"/>
  <c r="A418" i="1"/>
  <c r="A417" i="1"/>
  <c r="A416" i="1"/>
  <c r="A415" i="1"/>
  <c r="A414" i="1"/>
  <c r="A413" i="1"/>
  <c r="A412" i="1"/>
  <c r="A411" i="1"/>
  <c r="A410" i="1"/>
  <c r="A409" i="1"/>
  <c r="A1257" i="1"/>
  <c r="A620" i="1"/>
  <c r="A619" i="1"/>
  <c r="A569" i="1"/>
  <c r="A568" i="1"/>
  <c r="A677" i="1"/>
  <c r="A73" i="1"/>
  <c r="A72" i="1"/>
  <c r="A1011" i="1"/>
  <c r="A1010" i="1"/>
  <c r="A1009" i="1"/>
  <c r="A1008" i="1"/>
  <c r="A1007" i="1"/>
  <c r="A1006" i="1"/>
  <c r="A1005" i="1"/>
  <c r="A1004" i="1"/>
  <c r="A1003" i="1"/>
  <c r="A1002" i="1"/>
  <c r="A1001" i="1"/>
  <c r="A159" i="1" l="1"/>
  <c r="A408" i="1"/>
  <c r="A407" i="1"/>
  <c r="A406" i="1"/>
  <c r="A405" i="1"/>
  <c r="A404" i="1"/>
  <c r="A403" i="1"/>
  <c r="A402" i="1"/>
  <c r="A401" i="1"/>
  <c r="A567" i="1"/>
  <c r="A618" i="1"/>
  <c r="A617" i="1"/>
  <c r="A676" i="1"/>
  <c r="A71" i="1"/>
  <c r="A70" i="1"/>
  <c r="A69" i="1"/>
  <c r="A68" i="1"/>
  <c r="A1000" i="1"/>
  <c r="A999" i="1"/>
  <c r="A998" i="1"/>
  <c r="A997" i="1"/>
  <c r="A996" i="1"/>
  <c r="A995" i="1"/>
  <c r="A994" i="1"/>
  <c r="A993" i="1"/>
  <c r="A992" i="1"/>
  <c r="A991" i="1"/>
  <c r="A400" i="1" l="1"/>
  <c r="A399" i="1"/>
  <c r="A398" i="1"/>
  <c r="A397" i="1"/>
  <c r="A396" i="1"/>
  <c r="A395" i="1"/>
  <c r="A394" i="1"/>
  <c r="A393" i="1"/>
  <c r="A392" i="1"/>
  <c r="A1256" i="1"/>
  <c r="A675" i="1"/>
  <c r="A616" i="1"/>
  <c r="A566" i="1"/>
  <c r="A67" i="1"/>
  <c r="A66" i="1"/>
  <c r="A65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391" i="1" l="1"/>
  <c r="A390" i="1"/>
  <c r="A389" i="1"/>
  <c r="A388" i="1"/>
  <c r="A387" i="1"/>
  <c r="A386" i="1"/>
  <c r="A385" i="1"/>
  <c r="A384" i="1"/>
  <c r="A615" i="1"/>
  <c r="A674" i="1"/>
  <c r="A64" i="1"/>
  <c r="A63" i="1"/>
  <c r="A62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383" i="1" l="1"/>
  <c r="A382" i="1"/>
  <c r="A381" i="1"/>
  <c r="A380" i="1"/>
  <c r="A379" i="1"/>
  <c r="A378" i="1"/>
  <c r="A377" i="1"/>
  <c r="A376" i="1"/>
  <c r="A375" i="1"/>
  <c r="A374" i="1"/>
  <c r="A373" i="1"/>
  <c r="A673" i="1"/>
  <c r="A672" i="1"/>
  <c r="A614" i="1"/>
  <c r="A613" i="1"/>
  <c r="A61" i="1"/>
  <c r="A60" i="1"/>
  <c r="A59" i="1"/>
  <c r="A58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372" i="1" l="1"/>
  <c r="A371" i="1"/>
  <c r="A370" i="1"/>
  <c r="A369" i="1"/>
  <c r="A368" i="1"/>
  <c r="A367" i="1"/>
  <c r="A366" i="1"/>
  <c r="A365" i="1"/>
  <c r="A364" i="1"/>
  <c r="A363" i="1"/>
  <c r="A362" i="1"/>
  <c r="A565" i="1"/>
  <c r="A1255" i="1"/>
  <c r="A612" i="1"/>
  <c r="A611" i="1"/>
  <c r="A671" i="1"/>
  <c r="A602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 l="1"/>
  <c r="A935" i="1"/>
  <c r="A670" i="1"/>
  <c r="A934" i="1"/>
  <c r="A57" i="1"/>
  <c r="A361" i="1" l="1"/>
  <c r="A360" i="1"/>
  <c r="A359" i="1"/>
  <c r="A669" i="1" l="1"/>
  <c r="A933" i="1"/>
  <c r="A932" i="1"/>
  <c r="A1254" i="1"/>
  <c r="A931" i="1"/>
  <c r="A56" i="1"/>
  <c r="A930" i="1"/>
  <c r="A929" i="1"/>
  <c r="A928" i="1"/>
  <c r="A927" i="1"/>
  <c r="A926" i="1"/>
  <c r="A925" i="1"/>
  <c r="A564" i="1"/>
  <c r="A55" i="1" l="1"/>
  <c r="A924" i="1"/>
  <c r="A923" i="1"/>
  <c r="A922" i="1"/>
  <c r="A921" i="1"/>
  <c r="A668" i="1"/>
  <c r="A563" i="1"/>
  <c r="A54" i="1"/>
  <c r="A358" i="1" l="1"/>
  <c r="A357" i="1"/>
  <c r="A356" i="1"/>
  <c r="A355" i="1"/>
  <c r="A354" i="1"/>
  <c r="A353" i="1"/>
  <c r="A352" i="1"/>
  <c r="A351" i="1"/>
  <c r="A350" i="1"/>
  <c r="A610" i="1" l="1"/>
  <c r="A920" i="1"/>
  <c r="A919" i="1"/>
  <c r="A53" i="1"/>
  <c r="A609" i="1" l="1"/>
  <c r="A918" i="1"/>
  <c r="A917" i="1"/>
  <c r="A52" i="1"/>
  <c r="A916" i="1"/>
  <c r="A915" i="1"/>
  <c r="A914" i="1"/>
  <c r="A913" i="1"/>
  <c r="A912" i="1"/>
  <c r="A911" i="1" l="1"/>
  <c r="A910" i="1"/>
  <c r="A909" i="1"/>
  <c r="A908" i="1"/>
  <c r="A907" i="1"/>
  <c r="A349" i="1" l="1"/>
  <c r="A348" i="1"/>
  <c r="A347" i="1"/>
  <c r="A346" i="1"/>
  <c r="A345" i="1"/>
  <c r="A344" i="1"/>
  <c r="A343" i="1"/>
  <c r="A906" i="1" l="1"/>
  <c r="A905" i="1"/>
  <c r="A51" i="1"/>
  <c r="A667" i="1"/>
  <c r="A666" i="1"/>
  <c r="A904" i="1"/>
  <c r="A903" i="1"/>
  <c r="A902" i="1"/>
  <c r="A901" i="1"/>
  <c r="A900" i="1"/>
  <c r="A50" i="1"/>
  <c r="A899" i="1"/>
  <c r="A49" i="1"/>
  <c r="A48" i="1" l="1"/>
  <c r="A898" i="1"/>
  <c r="A897" i="1"/>
  <c r="A896" i="1"/>
  <c r="A342" i="1" l="1"/>
  <c r="A341" i="1"/>
  <c r="A340" i="1"/>
  <c r="A339" i="1"/>
  <c r="A338" i="1"/>
  <c r="A608" i="1"/>
  <c r="A895" i="1"/>
  <c r="A607" i="1"/>
  <c r="A894" i="1"/>
  <c r="A47" i="1" l="1"/>
  <c r="A46" i="1" l="1"/>
  <c r="A893" i="1"/>
  <c r="A892" i="1"/>
  <c r="A891" i="1"/>
  <c r="A890" i="1"/>
  <c r="A337" i="1" l="1"/>
  <c r="A336" i="1"/>
  <c r="A335" i="1"/>
  <c r="A334" i="1"/>
  <c r="A333" i="1"/>
  <c r="A332" i="1"/>
  <c r="A331" i="1"/>
  <c r="A665" i="1"/>
  <c r="A889" i="1"/>
  <c r="A45" i="1" l="1"/>
  <c r="A888" i="1"/>
  <c r="A887" i="1"/>
  <c r="A44" i="1"/>
  <c r="A886" i="1"/>
  <c r="A885" i="1" l="1"/>
  <c r="A884" i="1"/>
  <c r="A883" i="1"/>
  <c r="A664" i="1"/>
  <c r="A882" i="1"/>
  <c r="A881" i="1"/>
  <c r="A880" i="1" l="1"/>
  <c r="A879" i="1" l="1"/>
  <c r="A878" i="1"/>
  <c r="A877" i="1"/>
  <c r="A43" i="1"/>
  <c r="A330" i="1" l="1"/>
  <c r="A329" i="1"/>
  <c r="A328" i="1"/>
  <c r="A327" i="1"/>
  <c r="A42" i="1"/>
  <c r="A663" i="1" l="1"/>
  <c r="A606" i="1"/>
  <c r="A605" i="1"/>
  <c r="A1253" i="1"/>
  <c r="A876" i="1"/>
  <c r="A875" i="1"/>
  <c r="A874" i="1"/>
  <c r="A873" i="1" l="1"/>
  <c r="A872" i="1"/>
  <c r="A871" i="1"/>
  <c r="A870" i="1"/>
  <c r="A869" i="1"/>
  <c r="A326" i="1"/>
  <c r="A325" i="1"/>
  <c r="A324" i="1"/>
  <c r="A323" i="1"/>
  <c r="A322" i="1"/>
  <c r="A321" i="1"/>
  <c r="A320" i="1"/>
  <c r="A319" i="1"/>
  <c r="A318" i="1"/>
  <c r="A317" i="1"/>
  <c r="A316" i="1"/>
  <c r="A41" i="1"/>
  <c r="A562" i="1"/>
  <c r="A868" i="1"/>
  <c r="A867" i="1" l="1"/>
  <c r="A604" i="1"/>
  <c r="A866" i="1"/>
  <c r="A40" i="1"/>
  <c r="A865" i="1"/>
  <c r="A662" i="1" l="1"/>
  <c r="A39" i="1"/>
  <c r="A864" i="1"/>
  <c r="A863" i="1"/>
  <c r="A862" i="1"/>
  <c r="A861" i="1"/>
  <c r="A860" i="1" l="1"/>
  <c r="A859" i="1"/>
  <c r="A858" i="1"/>
  <c r="A857" i="1"/>
  <c r="A856" i="1"/>
  <c r="A315" i="1"/>
  <c r="A158" i="1"/>
  <c r="A314" i="1"/>
  <c r="A313" i="1"/>
  <c r="A157" i="1"/>
  <c r="A312" i="1"/>
  <c r="A156" i="1"/>
  <c r="A311" i="1"/>
  <c r="A310" i="1"/>
  <c r="A309" i="1"/>
  <c r="A155" i="1"/>
  <c r="A308" i="1"/>
  <c r="A154" i="1"/>
  <c r="A307" i="1"/>
  <c r="A153" i="1"/>
  <c r="A306" i="1"/>
  <c r="A855" i="1"/>
  <c r="A38" i="1"/>
  <c r="A854" i="1"/>
  <c r="A853" i="1"/>
  <c r="A661" i="1" l="1"/>
  <c r="A37" i="1"/>
  <c r="A36" i="1"/>
  <c r="A1252" i="1"/>
  <c r="A1251" i="1"/>
  <c r="A603" i="1"/>
  <c r="A601" i="1"/>
  <c r="A852" i="1"/>
  <c r="A851" i="1"/>
  <c r="A850" i="1"/>
  <c r="A849" i="1" l="1"/>
  <c r="A848" i="1"/>
  <c r="A847" i="1"/>
  <c r="A305" i="1"/>
  <c r="A304" i="1"/>
  <c r="A152" i="1"/>
  <c r="A303" i="1"/>
  <c r="A151" i="1"/>
  <c r="A150" i="1"/>
  <c r="A149" i="1"/>
  <c r="A148" i="1"/>
  <c r="A147" i="1"/>
  <c r="A302" i="1"/>
  <c r="A146" i="1"/>
  <c r="A846" i="1"/>
  <c r="A845" i="1"/>
  <c r="A844" i="1"/>
  <c r="A600" i="1" l="1"/>
  <c r="A660" i="1"/>
  <c r="A35" i="1"/>
  <c r="A843" i="1"/>
  <c r="A842" i="1"/>
  <c r="A841" i="1"/>
  <c r="A840" i="1"/>
  <c r="A145" i="1" l="1"/>
  <c r="A839" i="1"/>
  <c r="A838" i="1"/>
  <c r="A301" i="1"/>
  <c r="A300" i="1"/>
  <c r="A299" i="1"/>
  <c r="A144" i="1"/>
  <c r="A143" i="1"/>
  <c r="A298" i="1"/>
  <c r="A837" i="1" l="1"/>
  <c r="A836" i="1"/>
  <c r="A835" i="1"/>
  <c r="A659" i="1"/>
  <c r="A834" i="1"/>
  <c r="A833" i="1"/>
  <c r="A34" i="1"/>
  <c r="A33" i="1"/>
  <c r="A599" i="1" l="1"/>
  <c r="A832" i="1"/>
  <c r="A831" i="1"/>
  <c r="A830" i="1"/>
  <c r="A829" i="1"/>
  <c r="A828" i="1"/>
  <c r="A827" i="1"/>
  <c r="A826" i="1"/>
  <c r="A142" i="1" l="1"/>
  <c r="A297" i="1"/>
  <c r="A296" i="1"/>
  <c r="A295" i="1"/>
  <c r="A294" i="1"/>
  <c r="A293" i="1"/>
  <c r="A292" i="1"/>
  <c r="A291" i="1"/>
  <c r="A290" i="1"/>
  <c r="A289" i="1"/>
  <c r="A288" i="1"/>
  <c r="A287" i="1"/>
  <c r="A141" i="1"/>
  <c r="A825" i="1" l="1"/>
  <c r="A824" i="1"/>
  <c r="A1250" i="1"/>
  <c r="A823" i="1"/>
  <c r="A822" i="1"/>
  <c r="A598" i="1" l="1"/>
  <c r="A597" i="1"/>
  <c r="A821" i="1"/>
  <c r="A820" i="1"/>
  <c r="A32" i="1"/>
  <c r="A31" i="1"/>
  <c r="A658" i="1" l="1"/>
  <c r="A286" i="1" l="1"/>
  <c r="A285" i="1"/>
  <c r="A284" i="1"/>
  <c r="A283" i="1"/>
  <c r="A282" i="1"/>
  <c r="A281" i="1"/>
  <c r="A280" i="1"/>
  <c r="A279" i="1"/>
  <c r="A278" i="1"/>
  <c r="A140" i="1"/>
  <c r="A277" i="1"/>
  <c r="A276" i="1"/>
  <c r="A275" i="1"/>
  <c r="A30" i="1"/>
  <c r="A29" i="1" l="1"/>
  <c r="A819" i="1"/>
  <c r="A818" i="1" l="1"/>
  <c r="A817" i="1"/>
  <c r="A816" i="1"/>
  <c r="A815" i="1"/>
  <c r="A814" i="1"/>
  <c r="A813" i="1"/>
  <c r="A812" i="1"/>
  <c r="A811" i="1"/>
  <c r="A596" i="1"/>
  <c r="A810" i="1"/>
  <c r="A28" i="1"/>
  <c r="A809" i="1"/>
  <c r="A808" i="1"/>
  <c r="A807" i="1"/>
  <c r="A806" i="1"/>
  <c r="A805" i="1"/>
  <c r="A274" i="1" l="1"/>
  <c r="A273" i="1"/>
  <c r="A272" i="1"/>
  <c r="A271" i="1"/>
  <c r="A270" i="1"/>
  <c r="A269" i="1"/>
  <c r="A268" i="1"/>
  <c r="A267" i="1"/>
  <c r="A266" i="1"/>
  <c r="A265" i="1"/>
  <c r="A264" i="1"/>
  <c r="A139" i="1"/>
  <c r="A263" i="1"/>
  <c r="A138" i="1"/>
  <c r="A137" i="1"/>
  <c r="A804" i="1" l="1"/>
  <c r="A27" i="1"/>
  <c r="A657" i="1"/>
  <c r="A803" i="1"/>
  <c r="A561" i="1" l="1"/>
  <c r="A26" i="1"/>
  <c r="A802" i="1"/>
  <c r="A801" i="1"/>
  <c r="A800" i="1"/>
  <c r="A595" i="1"/>
  <c r="A799" i="1"/>
  <c r="A798" i="1"/>
  <c r="A797" i="1" l="1"/>
  <c r="A25" i="1"/>
  <c r="A24" i="1"/>
  <c r="A262" i="1" l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796" i="1" l="1"/>
  <c r="A1249" i="1"/>
  <c r="A795" i="1"/>
  <c r="A656" i="1"/>
  <c r="A594" i="1" l="1"/>
  <c r="A794" i="1"/>
  <c r="A793" i="1"/>
  <c r="A792" i="1"/>
  <c r="A23" i="1"/>
  <c r="A655" i="1" l="1"/>
  <c r="A791" i="1"/>
  <c r="A790" i="1"/>
  <c r="A789" i="1"/>
  <c r="A788" i="1"/>
  <c r="A22" i="1"/>
  <c r="A21" i="1"/>
  <c r="A247" i="1" l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787" i="1" l="1"/>
  <c r="A786" i="1" l="1"/>
  <c r="A785" i="1"/>
  <c r="A784" i="1"/>
  <c r="A783" i="1"/>
  <c r="A782" i="1"/>
  <c r="A593" i="1"/>
  <c r="A781" i="1"/>
  <c r="A780" i="1"/>
  <c r="A779" i="1"/>
  <c r="A20" i="1"/>
  <c r="A778" i="1"/>
  <c r="A654" i="1"/>
  <c r="A777" i="1" l="1"/>
  <c r="A653" i="1"/>
  <c r="A19" i="1"/>
  <c r="A560" i="1"/>
  <c r="A232" i="1" l="1"/>
  <c r="A231" i="1"/>
  <c r="A230" i="1"/>
  <c r="A229" i="1"/>
  <c r="A136" i="1"/>
  <c r="A228" i="1"/>
  <c r="A227" i="1"/>
  <c r="A226" i="1"/>
  <c r="A225" i="1"/>
  <c r="A224" i="1"/>
  <c r="A223" i="1"/>
  <c r="A222" i="1"/>
  <c r="A221" i="1"/>
  <c r="A220" i="1"/>
  <c r="A776" i="1" l="1"/>
  <c r="A775" i="1"/>
  <c r="A592" i="1"/>
  <c r="A774" i="1"/>
  <c r="A1248" i="1"/>
  <c r="A773" i="1"/>
  <c r="A772" i="1"/>
  <c r="A771" i="1"/>
  <c r="A18" i="1"/>
  <c r="A591" i="1"/>
  <c r="A17" i="1"/>
  <c r="A770" i="1"/>
  <c r="A769" i="1"/>
  <c r="A768" i="1"/>
  <c r="A652" i="1" l="1"/>
  <c r="A651" i="1"/>
  <c r="A767" i="1"/>
  <c r="A766" i="1"/>
  <c r="A765" i="1"/>
  <c r="A16" i="1"/>
  <c r="A764" i="1"/>
  <c r="A219" i="1" l="1"/>
  <c r="A218" i="1"/>
  <c r="A217" i="1"/>
  <c r="A216" i="1"/>
  <c r="A215" i="1"/>
  <c r="A214" i="1"/>
  <c r="A213" i="1"/>
  <c r="A212" i="1"/>
  <c r="A135" i="1"/>
  <c r="A211" i="1"/>
  <c r="A210" i="1"/>
  <c r="A134" i="1"/>
  <c r="A133" i="1"/>
  <c r="A132" i="1"/>
  <c r="A209" i="1"/>
  <c r="A763" i="1" l="1"/>
  <c r="A762" i="1"/>
  <c r="A761" i="1"/>
  <c r="A760" i="1"/>
  <c r="A759" i="1"/>
  <c r="A758" i="1"/>
  <c r="A757" i="1" l="1"/>
  <c r="A1247" i="1"/>
  <c r="A756" i="1"/>
  <c r="A15" i="1"/>
  <c r="A755" i="1"/>
  <c r="A754" i="1"/>
  <c r="A753" i="1"/>
  <c r="A752" i="1"/>
  <c r="A751" i="1"/>
  <c r="A590" i="1"/>
  <c r="A750" i="1"/>
  <c r="A650" i="1"/>
  <c r="A749" i="1" l="1"/>
  <c r="A748" i="1"/>
  <c r="A747" i="1"/>
  <c r="A746" i="1"/>
  <c r="A14" i="1"/>
  <c r="A208" i="1" l="1"/>
  <c r="A131" i="1"/>
  <c r="A207" i="1"/>
  <c r="A206" i="1"/>
  <c r="A205" i="1"/>
  <c r="A130" i="1"/>
  <c r="A129" i="1"/>
  <c r="A559" i="1"/>
  <c r="A589" i="1" l="1"/>
  <c r="A13" i="1"/>
  <c r="A12" i="1"/>
  <c r="A745" i="1"/>
  <c r="A11" i="1"/>
  <c r="A744" i="1"/>
  <c r="A743" i="1"/>
  <c r="A742" i="1"/>
  <c r="A588" i="1"/>
  <c r="A10" i="1"/>
  <c r="A9" i="1"/>
  <c r="A741" i="1"/>
  <c r="A740" i="1"/>
  <c r="A739" i="1"/>
  <c r="A738" i="1"/>
  <c r="A204" i="1" l="1"/>
  <c r="A203" i="1"/>
  <c r="A202" i="1"/>
  <c r="A201" i="1"/>
  <c r="A200" i="1"/>
  <c r="A199" i="1"/>
  <c r="A198" i="1"/>
  <c r="A197" i="1"/>
  <c r="A196" i="1"/>
  <c r="A195" i="1"/>
  <c r="A194" i="1"/>
  <c r="A558" i="1"/>
  <c r="A649" i="1"/>
  <c r="A648" i="1"/>
  <c r="A8" i="1"/>
  <c r="A7" i="1"/>
  <c r="A6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128" i="1" l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27" i="1"/>
  <c r="A126" i="1"/>
  <c r="A587" i="1"/>
  <c r="A586" i="1"/>
  <c r="A5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B723" i="1" l="1"/>
  <c r="B185" i="1"/>
  <c r="A181" i="1"/>
  <c r="A180" i="1"/>
  <c r="A179" i="1"/>
  <c r="A125" i="1"/>
  <c r="A124" i="1"/>
  <c r="A178" i="1"/>
  <c r="A177" i="1"/>
  <c r="B177" i="1" s="1"/>
  <c r="A176" i="1"/>
  <c r="A175" i="1"/>
  <c r="A174" i="1"/>
  <c r="A173" i="1"/>
  <c r="A172" i="1"/>
  <c r="A123" i="1"/>
  <c r="A171" i="1"/>
  <c r="A170" i="1"/>
  <c r="B170" i="1" s="1"/>
  <c r="A169" i="1"/>
  <c r="A1246" i="1"/>
  <c r="A585" i="1"/>
  <c r="A647" i="1"/>
  <c r="A646" i="1"/>
  <c r="A4" i="1"/>
  <c r="A3" i="1"/>
  <c r="A708" i="1"/>
  <c r="B708" i="1" s="1"/>
  <c r="A707" i="1"/>
  <c r="A706" i="1"/>
  <c r="A705" i="1"/>
  <c r="A704" i="1"/>
  <c r="A703" i="1"/>
  <c r="A702" i="1"/>
  <c r="A701" i="1"/>
  <c r="A700" i="1"/>
  <c r="B700" i="1" s="1"/>
  <c r="B182" i="1" l="1"/>
  <c r="B3" i="1"/>
  <c r="B2346" i="1"/>
  <c r="B2350" i="1"/>
  <c r="B2339" i="1"/>
  <c r="B2343" i="1"/>
  <c r="B2347" i="1"/>
  <c r="B2351" i="1"/>
  <c r="B2340" i="1"/>
  <c r="B2344" i="1"/>
  <c r="B2348" i="1"/>
  <c r="B2352" i="1"/>
  <c r="B2341" i="1"/>
  <c r="B2345" i="1"/>
  <c r="B2349" i="1"/>
  <c r="B2342" i="1"/>
  <c r="B2311" i="1"/>
  <c r="B2328" i="1"/>
  <c r="B2330" i="1"/>
  <c r="B2312" i="1"/>
  <c r="B2337" i="1"/>
  <c r="B2314" i="1"/>
  <c r="B2316" i="1"/>
  <c r="B2336" i="1"/>
  <c r="B2324" i="1"/>
  <c r="B2327" i="1"/>
  <c r="B2334" i="1"/>
  <c r="B2323" i="1"/>
  <c r="B2320" i="1"/>
  <c r="B2332" i="1"/>
  <c r="B2326" i="1"/>
  <c r="B2319" i="1"/>
  <c r="B2338" i="1"/>
  <c r="B2329" i="1"/>
  <c r="B2317" i="1"/>
  <c r="B2325" i="1"/>
  <c r="B2315" i="1"/>
  <c r="B2335" i="1"/>
  <c r="B2321" i="1"/>
  <c r="B2313" i="1"/>
  <c r="B2322" i="1"/>
  <c r="B2331" i="1"/>
  <c r="B2333" i="1"/>
  <c r="B2318" i="1"/>
  <c r="B2299" i="1"/>
  <c r="B2302" i="1"/>
  <c r="B2298" i="1"/>
  <c r="B2307" i="1"/>
  <c r="B2310" i="1"/>
  <c r="B2306" i="1"/>
  <c r="B2300" i="1"/>
  <c r="B2295" i="1"/>
  <c r="B2308" i="1"/>
  <c r="B2303" i="1"/>
  <c r="B2293" i="1"/>
  <c r="B2296" i="1"/>
  <c r="B2301" i="1"/>
  <c r="B2304" i="1"/>
  <c r="B2309" i="1"/>
  <c r="B2297" i="1"/>
  <c r="B2294" i="1"/>
  <c r="B2305" i="1"/>
  <c r="B2271" i="1"/>
  <c r="B2289" i="1"/>
  <c r="B2291" i="1"/>
  <c r="B2270" i="1"/>
  <c r="B2279" i="1"/>
  <c r="B2266" i="1"/>
  <c r="B2268" i="1"/>
  <c r="B2278" i="1"/>
  <c r="B2287" i="1"/>
  <c r="B2274" i="1"/>
  <c r="B2276" i="1"/>
  <c r="B2286" i="1"/>
  <c r="B2272" i="1"/>
  <c r="B2282" i="1"/>
  <c r="B2284" i="1"/>
  <c r="B2280" i="1"/>
  <c r="B2290" i="1"/>
  <c r="B2292" i="1"/>
  <c r="B2288" i="1"/>
  <c r="B2267" i="1"/>
  <c r="B2269" i="1"/>
  <c r="B2273" i="1"/>
  <c r="B2275" i="1"/>
  <c r="B2277" i="1"/>
  <c r="B2281" i="1"/>
  <c r="B2283" i="1"/>
  <c r="B2285" i="1"/>
  <c r="B2237" i="1"/>
  <c r="B2239" i="1"/>
  <c r="B2241" i="1"/>
  <c r="B2243" i="1"/>
  <c r="B2245" i="1"/>
  <c r="B2247" i="1"/>
  <c r="B2249" i="1"/>
  <c r="B2251" i="1"/>
  <c r="B2253" i="1"/>
  <c r="B2255" i="1"/>
  <c r="B2257" i="1"/>
  <c r="B2259" i="1"/>
  <c r="B2261" i="1"/>
  <c r="B2263" i="1"/>
  <c r="B2265" i="1"/>
  <c r="B2236" i="1"/>
  <c r="B2238" i="1"/>
  <c r="B2240" i="1"/>
  <c r="B2242" i="1"/>
  <c r="B2244" i="1"/>
  <c r="B2246" i="1"/>
  <c r="B2248" i="1"/>
  <c r="B2250" i="1"/>
  <c r="B2252" i="1"/>
  <c r="B2254" i="1"/>
  <c r="B2256" i="1"/>
  <c r="B2258" i="1"/>
  <c r="B2260" i="1"/>
  <c r="B2262" i="1"/>
  <c r="B2264" i="1"/>
  <c r="B2235" i="1"/>
  <c r="B2210" i="1"/>
  <c r="B2220" i="1"/>
  <c r="B2230" i="1"/>
  <c r="B2207" i="1"/>
  <c r="B2218" i="1"/>
  <c r="B2228" i="1"/>
  <c r="B2215" i="1"/>
  <c r="B2217" i="1"/>
  <c r="B2226" i="1"/>
  <c r="B2209" i="1"/>
  <c r="B2223" i="1"/>
  <c r="B2225" i="1"/>
  <c r="B2234" i="1"/>
  <c r="B2213" i="1"/>
  <c r="B2231" i="1"/>
  <c r="B2233" i="1"/>
  <c r="B2211" i="1"/>
  <c r="B2221" i="1"/>
  <c r="B2208" i="1"/>
  <c r="B2219" i="1"/>
  <c r="B2229" i="1"/>
  <c r="B2216" i="1"/>
  <c r="B2227" i="1"/>
  <c r="B2214" i="1"/>
  <c r="B2224" i="1"/>
  <c r="B2212" i="1"/>
  <c r="B2222" i="1"/>
  <c r="B2232" i="1"/>
  <c r="B2203" i="1"/>
  <c r="B2204" i="1"/>
  <c r="B2205" i="1"/>
  <c r="B2206" i="1"/>
  <c r="B2202" i="1"/>
  <c r="B2175" i="1"/>
  <c r="B2177" i="1"/>
  <c r="B2173" i="1"/>
  <c r="B2188" i="1"/>
  <c r="B2183" i="1"/>
  <c r="B2185" i="1"/>
  <c r="B2171" i="1"/>
  <c r="B2196" i="1"/>
  <c r="B2191" i="1"/>
  <c r="B2193" i="1"/>
  <c r="B2179" i="1"/>
  <c r="B2197" i="1"/>
  <c r="B2199" i="1"/>
  <c r="B2201" i="1"/>
  <c r="B2187" i="1"/>
  <c r="B2174" i="1"/>
  <c r="B2184" i="1"/>
  <c r="B2176" i="1"/>
  <c r="B2195" i="1"/>
  <c r="B2182" i="1"/>
  <c r="B2192" i="1"/>
  <c r="B2178" i="1"/>
  <c r="B2181" i="1"/>
  <c r="B2190" i="1"/>
  <c r="B2200" i="1"/>
  <c r="B2186" i="1"/>
  <c r="B2172" i="1"/>
  <c r="B2198" i="1"/>
  <c r="B2189" i="1"/>
  <c r="B2194" i="1"/>
  <c r="B2180" i="1"/>
  <c r="B2162" i="1"/>
  <c r="B2133" i="1"/>
  <c r="B2142" i="1"/>
  <c r="B2151" i="1"/>
  <c r="B2170" i="1"/>
  <c r="B2139" i="1"/>
  <c r="B2141" i="1"/>
  <c r="B2150" i="1"/>
  <c r="B2159" i="1"/>
  <c r="B2144" i="1"/>
  <c r="B2147" i="1"/>
  <c r="B2149" i="1"/>
  <c r="B2158" i="1"/>
  <c r="B2167" i="1"/>
  <c r="B2137" i="1"/>
  <c r="B2168" i="1"/>
  <c r="B2155" i="1"/>
  <c r="B2157" i="1"/>
  <c r="B2166" i="1"/>
  <c r="B2154" i="1"/>
  <c r="B2145" i="1"/>
  <c r="B2134" i="1"/>
  <c r="B2163" i="1"/>
  <c r="B2165" i="1"/>
  <c r="B2132" i="1"/>
  <c r="B2136" i="1"/>
  <c r="B2153" i="1"/>
  <c r="B2148" i="1"/>
  <c r="B2146" i="1"/>
  <c r="B2138" i="1"/>
  <c r="B2164" i="1"/>
  <c r="B2152" i="1"/>
  <c r="B2161" i="1"/>
  <c r="B2156" i="1"/>
  <c r="B2140" i="1"/>
  <c r="B2135" i="1"/>
  <c r="B2160" i="1"/>
  <c r="B2169" i="1"/>
  <c r="B2143" i="1"/>
  <c r="B2107" i="1"/>
  <c r="B2123" i="1"/>
  <c r="B2112" i="1"/>
  <c r="B2106" i="1"/>
  <c r="B2108" i="1"/>
  <c r="B2110" i="1"/>
  <c r="B2120" i="1"/>
  <c r="B2114" i="1"/>
  <c r="B2116" i="1"/>
  <c r="B2118" i="1"/>
  <c r="B2128" i="1"/>
  <c r="B2122" i="1"/>
  <c r="B2124" i="1"/>
  <c r="B2126" i="1"/>
  <c r="B2105" i="1"/>
  <c r="B2130" i="1"/>
  <c r="B2131" i="1"/>
  <c r="B2111" i="1"/>
  <c r="B2113" i="1"/>
  <c r="B2109" i="1"/>
  <c r="B2119" i="1"/>
  <c r="B2121" i="1"/>
  <c r="B2117" i="1"/>
  <c r="B2127" i="1"/>
  <c r="B2129" i="1"/>
  <c r="B2125" i="1"/>
  <c r="B2104" i="1"/>
  <c r="B2115" i="1"/>
  <c r="B2076" i="1"/>
  <c r="B2086" i="1"/>
  <c r="B2080" i="1"/>
  <c r="B2090" i="1"/>
  <c r="B2084" i="1"/>
  <c r="B2094" i="1"/>
  <c r="B2088" i="1"/>
  <c r="B2098" i="1"/>
  <c r="B2092" i="1"/>
  <c r="B2102" i="1"/>
  <c r="B2096" i="1"/>
  <c r="B2075" i="1"/>
  <c r="B2100" i="1"/>
  <c r="B2077" i="1"/>
  <c r="B2081" i="1"/>
  <c r="B2083" i="1"/>
  <c r="B2085" i="1"/>
  <c r="B2079" i="1"/>
  <c r="B2089" i="1"/>
  <c r="B2091" i="1"/>
  <c r="B2093" i="1"/>
  <c r="B2087" i="1"/>
  <c r="B2097" i="1"/>
  <c r="B2099" i="1"/>
  <c r="B2101" i="1"/>
  <c r="B2095" i="1"/>
  <c r="B2074" i="1"/>
  <c r="B2078" i="1"/>
  <c r="B2103" i="1"/>
  <c r="B2082" i="1"/>
  <c r="B2053" i="1"/>
  <c r="B2058" i="1"/>
  <c r="B2049" i="1"/>
  <c r="B2071" i="1"/>
  <c r="B2056" i="1"/>
  <c r="B2066" i="1"/>
  <c r="B2061" i="1"/>
  <c r="B2064" i="1"/>
  <c r="B2051" i="1"/>
  <c r="B2069" i="1"/>
  <c r="B2072" i="1"/>
  <c r="B2059" i="1"/>
  <c r="B2054" i="1"/>
  <c r="B2057" i="1"/>
  <c r="B2067" i="1"/>
  <c r="B2062" i="1"/>
  <c r="B2065" i="1"/>
  <c r="B2052" i="1"/>
  <c r="B2070" i="1"/>
  <c r="B2073" i="1"/>
  <c r="B2060" i="1"/>
  <c r="B2055" i="1"/>
  <c r="B2050" i="1"/>
  <c r="B2068" i="1"/>
  <c r="B2063" i="1"/>
  <c r="B2034" i="1"/>
  <c r="B2038" i="1"/>
  <c r="B2041" i="1"/>
  <c r="B2039" i="1"/>
  <c r="B2042" i="1"/>
  <c r="B2046" i="1"/>
  <c r="B2035" i="1"/>
  <c r="B2043" i="1"/>
  <c r="B2047" i="1"/>
  <c r="B2036" i="1"/>
  <c r="B2032" i="1"/>
  <c r="B2044" i="1"/>
  <c r="B2040" i="1"/>
  <c r="B2037" i="1"/>
  <c r="B2048" i="1"/>
  <c r="B2045" i="1"/>
  <c r="B2033" i="1"/>
  <c r="B2014" i="1"/>
  <c r="B2019" i="1"/>
  <c r="B2022" i="1"/>
  <c r="B2030" i="1"/>
  <c r="B2027" i="1"/>
  <c r="B2015" i="1"/>
  <c r="B2017" i="1"/>
  <c r="B2012" i="1"/>
  <c r="B2023" i="1"/>
  <c r="B2025" i="1"/>
  <c r="B2020" i="1"/>
  <c r="B2031" i="1"/>
  <c r="B2021" i="1"/>
  <c r="B2018" i="1"/>
  <c r="B2028" i="1"/>
  <c r="B2016" i="1"/>
  <c r="B2026" i="1"/>
  <c r="B2013" i="1"/>
  <c r="B2024" i="1"/>
  <c r="B2010" i="1"/>
  <c r="B2011" i="1"/>
  <c r="B2029" i="1"/>
  <c r="B2002" i="1"/>
  <c r="B2001" i="1"/>
  <c r="B2009" i="1"/>
  <c r="B1998" i="1"/>
  <c r="B2003" i="1"/>
  <c r="B2006" i="1"/>
  <c r="B2000" i="1"/>
  <c r="B1999" i="1"/>
  <c r="B2004" i="1"/>
  <c r="B2007" i="1"/>
  <c r="B2008" i="1"/>
  <c r="B1997" i="1"/>
  <c r="B2005" i="1"/>
  <c r="B1986" i="1"/>
  <c r="B1992" i="1"/>
  <c r="B1996" i="1"/>
  <c r="B1994" i="1"/>
  <c r="B1988" i="1"/>
  <c r="B1987" i="1"/>
  <c r="B1993" i="1"/>
  <c r="B1995" i="1"/>
  <c r="B1989" i="1"/>
  <c r="B1990" i="1"/>
  <c r="B1991" i="1"/>
  <c r="B1981" i="1"/>
  <c r="B1983" i="1"/>
  <c r="B1985" i="1"/>
  <c r="B1979" i="1"/>
  <c r="B1977" i="1"/>
  <c r="B1966" i="1"/>
  <c r="B1960" i="1"/>
  <c r="B1961" i="1"/>
  <c r="B1964" i="1"/>
  <c r="B1974" i="1"/>
  <c r="B1968" i="1"/>
  <c r="B1962" i="1"/>
  <c r="B1972" i="1"/>
  <c r="B1975" i="1"/>
  <c r="B1982" i="1"/>
  <c r="B1976" i="1"/>
  <c r="B1970" i="1"/>
  <c r="B1980" i="1"/>
  <c r="B1971" i="1"/>
  <c r="B1965" i="1"/>
  <c r="B1984" i="1"/>
  <c r="B1978" i="1"/>
  <c r="B1959" i="1"/>
  <c r="B1973" i="1"/>
  <c r="B1958" i="1"/>
  <c r="B1967" i="1"/>
  <c r="B1969" i="1"/>
  <c r="B1963" i="1"/>
  <c r="B1954" i="1"/>
  <c r="B1946" i="1"/>
  <c r="B1938" i="1"/>
  <c r="B1937" i="1"/>
  <c r="B1939" i="1"/>
  <c r="B1933" i="1"/>
  <c r="B1935" i="1"/>
  <c r="B1945" i="1"/>
  <c r="B1952" i="1"/>
  <c r="B1947" i="1"/>
  <c r="B1941" i="1"/>
  <c r="B1943" i="1"/>
  <c r="B1953" i="1"/>
  <c r="B1956" i="1"/>
  <c r="B1955" i="1"/>
  <c r="B1949" i="1"/>
  <c r="B1951" i="1"/>
  <c r="B1950" i="1"/>
  <c r="B1932" i="1"/>
  <c r="B1957" i="1"/>
  <c r="B1931" i="1"/>
  <c r="B1940" i="1"/>
  <c r="B1934" i="1"/>
  <c r="B1936" i="1"/>
  <c r="B1948" i="1"/>
  <c r="B1942" i="1"/>
  <c r="B1944" i="1"/>
  <c r="B1919" i="1"/>
  <c r="B1918" i="1"/>
  <c r="B1927" i="1"/>
  <c r="B1923" i="1"/>
  <c r="B1926" i="1"/>
  <c r="B1924" i="1"/>
  <c r="B1925" i="1"/>
  <c r="B1928" i="1"/>
  <c r="B1921" i="1"/>
  <c r="B1920" i="1"/>
  <c r="B1929" i="1"/>
  <c r="B1922" i="1"/>
  <c r="B1930" i="1"/>
  <c r="B1917" i="1"/>
  <c r="B1915" i="1"/>
  <c r="B1916" i="1"/>
  <c r="B1914" i="1"/>
  <c r="B1903" i="1"/>
  <c r="B1902" i="1"/>
  <c r="B1911" i="1"/>
  <c r="B1899" i="1"/>
  <c r="B1904" i="1"/>
  <c r="B1907" i="1"/>
  <c r="B1912" i="1"/>
  <c r="B1900" i="1"/>
  <c r="B1905" i="1"/>
  <c r="B1908" i="1"/>
  <c r="B1913" i="1"/>
  <c r="B1901" i="1"/>
  <c r="B1906" i="1"/>
  <c r="B1910" i="1"/>
  <c r="B1909" i="1"/>
  <c r="B1883" i="1"/>
  <c r="B1886" i="1"/>
  <c r="B1896" i="1"/>
  <c r="B1891" i="1"/>
  <c r="B1894" i="1"/>
  <c r="B1878" i="1"/>
  <c r="B1888" i="1"/>
  <c r="B1884" i="1"/>
  <c r="B1879" i="1"/>
  <c r="B1881" i="1"/>
  <c r="B1892" i="1"/>
  <c r="B1887" i="1"/>
  <c r="B1889" i="1"/>
  <c r="B1890" i="1"/>
  <c r="B1895" i="1"/>
  <c r="B1897" i="1"/>
  <c r="B1885" i="1"/>
  <c r="B1898" i="1"/>
  <c r="B1882" i="1"/>
  <c r="B1893" i="1"/>
  <c r="B1880" i="1"/>
  <c r="B1875" i="1"/>
  <c r="B1862" i="1"/>
  <c r="B1856" i="1"/>
  <c r="B1858" i="1"/>
  <c r="B1860" i="1"/>
  <c r="B1870" i="1"/>
  <c r="B1864" i="1"/>
  <c r="B1866" i="1"/>
  <c r="B1868" i="1"/>
  <c r="B1867" i="1"/>
  <c r="B1872" i="1"/>
  <c r="B1874" i="1"/>
  <c r="B1876" i="1"/>
  <c r="B1855" i="1"/>
  <c r="B1857" i="1"/>
  <c r="B1853" i="1"/>
  <c r="B1861" i="1"/>
  <c r="B1863" i="1"/>
  <c r="B1865" i="1"/>
  <c r="B1869" i="1"/>
  <c r="B1871" i="1"/>
  <c r="B1873" i="1"/>
  <c r="B1852" i="1"/>
  <c r="B1854" i="1"/>
  <c r="B1877" i="1"/>
  <c r="B1859" i="1"/>
  <c r="B1851" i="1"/>
  <c r="B1828" i="1"/>
  <c r="B1850" i="1"/>
  <c r="B1844" i="1"/>
  <c r="B1827" i="1"/>
  <c r="B1835" i="1"/>
  <c r="B1834" i="1"/>
  <c r="B1830" i="1"/>
  <c r="B1838" i="1"/>
  <c r="B1845" i="1"/>
  <c r="B1848" i="1"/>
  <c r="B1831" i="1"/>
  <c r="B1829" i="1"/>
  <c r="B1836" i="1"/>
  <c r="B1839" i="1"/>
  <c r="B1842" i="1"/>
  <c r="B1840" i="1"/>
  <c r="B1833" i="1"/>
  <c r="B1847" i="1"/>
  <c r="B1826" i="1"/>
  <c r="B1846" i="1"/>
  <c r="B1841" i="1"/>
  <c r="B1832" i="1"/>
  <c r="B1837" i="1"/>
  <c r="B1849" i="1"/>
  <c r="B1843" i="1"/>
  <c r="B1824" i="1"/>
  <c r="B1821" i="1"/>
  <c r="B1815" i="1"/>
  <c r="B1817" i="1"/>
  <c r="B1816" i="1"/>
  <c r="B1814" i="1"/>
  <c r="B1823" i="1"/>
  <c r="B1819" i="1"/>
  <c r="B1822" i="1"/>
  <c r="B1818" i="1"/>
  <c r="B1825" i="1"/>
  <c r="B1820" i="1"/>
  <c r="B1804" i="1"/>
  <c r="B1793" i="1"/>
  <c r="B1805" i="1"/>
  <c r="B1799" i="1"/>
  <c r="B1800" i="1"/>
  <c r="B1813" i="1"/>
  <c r="B1786" i="1"/>
  <c r="B1788" i="1"/>
  <c r="B1790" i="1"/>
  <c r="B1809" i="1"/>
  <c r="B1798" i="1"/>
  <c r="B1785" i="1"/>
  <c r="B1782" i="1"/>
  <c r="B1808" i="1"/>
  <c r="B1801" i="1"/>
  <c r="B1791" i="1"/>
  <c r="B1806" i="1"/>
  <c r="B1807" i="1"/>
  <c r="B1810" i="1"/>
  <c r="B1803" i="1"/>
  <c r="B1811" i="1"/>
  <c r="B1812" i="1"/>
  <c r="B1783" i="1"/>
  <c r="B1796" i="1"/>
  <c r="B1797" i="1"/>
  <c r="B1789" i="1"/>
  <c r="B1784" i="1"/>
  <c r="B1787" i="1"/>
  <c r="B1792" i="1"/>
  <c r="B1802" i="1"/>
  <c r="B1794" i="1"/>
  <c r="B1795" i="1"/>
  <c r="B1780" i="1"/>
  <c r="B1761" i="1"/>
  <c r="B1775" i="1"/>
  <c r="B1774" i="1"/>
  <c r="B1762" i="1"/>
  <c r="B1766" i="1"/>
  <c r="B1778" i="1"/>
  <c r="B1777" i="1"/>
  <c r="B1773" i="1"/>
  <c r="B1759" i="1"/>
  <c r="B1771" i="1"/>
  <c r="B1770" i="1"/>
  <c r="B1781" i="1"/>
  <c r="B1765" i="1"/>
  <c r="B1768" i="1"/>
  <c r="B1763" i="1"/>
  <c r="B1764" i="1"/>
  <c r="B1779" i="1"/>
  <c r="B1760" i="1"/>
  <c r="B1767" i="1"/>
  <c r="B1769" i="1"/>
  <c r="B1776" i="1"/>
  <c r="B1772" i="1"/>
  <c r="B1755" i="1"/>
  <c r="B1751" i="1"/>
  <c r="B1739" i="1"/>
  <c r="B1742" i="1"/>
  <c r="B1738" i="1"/>
  <c r="B1747" i="1"/>
  <c r="B1745" i="1"/>
  <c r="B1753" i="1"/>
  <c r="B1743" i="1"/>
  <c r="B1744" i="1"/>
  <c r="B1758" i="1"/>
  <c r="B1735" i="1"/>
  <c r="B1741" i="1"/>
  <c r="B1756" i="1"/>
  <c r="B1757" i="1"/>
  <c r="B1736" i="1"/>
  <c r="B1740" i="1"/>
  <c r="B1750" i="1"/>
  <c r="B1748" i="1"/>
  <c r="B1752" i="1"/>
  <c r="B1746" i="1"/>
  <c r="B1749" i="1"/>
  <c r="B1734" i="1"/>
  <c r="B1754" i="1"/>
  <c r="B1737" i="1"/>
  <c r="B1728" i="1"/>
  <c r="B1730" i="1"/>
  <c r="B1731" i="1"/>
  <c r="B1732" i="1"/>
  <c r="B1729" i="1"/>
  <c r="B1733" i="1"/>
  <c r="B1712" i="1"/>
  <c r="B1714" i="1"/>
  <c r="B1709" i="1"/>
  <c r="B1710" i="1"/>
  <c r="B1722" i="1"/>
  <c r="B1717" i="1"/>
  <c r="B1720" i="1"/>
  <c r="B1718" i="1"/>
  <c r="B1721" i="1"/>
  <c r="B1725" i="1"/>
  <c r="B1711" i="1"/>
  <c r="B1726" i="1"/>
  <c r="B1715" i="1"/>
  <c r="B1719" i="1"/>
  <c r="B1727" i="1"/>
  <c r="B1716" i="1"/>
  <c r="B1723" i="1"/>
  <c r="B1713" i="1"/>
  <c r="B1724" i="1"/>
  <c r="B1683" i="1"/>
  <c r="B1705" i="1"/>
  <c r="B1693" i="1"/>
  <c r="B1695" i="1"/>
  <c r="B1685" i="1"/>
  <c r="B1690" i="1"/>
  <c r="B1701" i="1"/>
  <c r="B1703" i="1"/>
  <c r="B1700" i="1"/>
  <c r="B1708" i="1"/>
  <c r="B1688" i="1"/>
  <c r="B1684" i="1"/>
  <c r="B1686" i="1"/>
  <c r="B1704" i="1"/>
  <c r="B1702" i="1"/>
  <c r="B1699" i="1"/>
  <c r="B1706" i="1"/>
  <c r="B1696" i="1"/>
  <c r="B1692" i="1"/>
  <c r="B1694" i="1"/>
  <c r="B1689" i="1"/>
  <c r="B1698" i="1"/>
  <c r="B1707" i="1"/>
  <c r="B1697" i="1"/>
  <c r="B1691" i="1"/>
  <c r="B1687" i="1"/>
  <c r="B1679" i="1"/>
  <c r="B1670" i="1"/>
  <c r="B1674" i="1"/>
  <c r="B1668" i="1"/>
  <c r="B1664" i="1"/>
  <c r="B1678" i="1"/>
  <c r="B1682" i="1"/>
  <c r="B1676" i="1"/>
  <c r="B1665" i="1"/>
  <c r="B1657" i="1"/>
  <c r="B1663" i="1"/>
  <c r="B1671" i="1"/>
  <c r="B1677" i="1"/>
  <c r="B1661" i="1"/>
  <c r="B1680" i="1"/>
  <c r="B1659" i="1"/>
  <c r="B1667" i="1"/>
  <c r="B1673" i="1"/>
  <c r="B1669" i="1"/>
  <c r="B1675" i="1"/>
  <c r="B1672" i="1"/>
  <c r="B1681" i="1"/>
  <c r="B1658" i="1"/>
  <c r="B1662" i="1"/>
  <c r="B1666" i="1"/>
  <c r="B1660" i="1"/>
  <c r="B1645" i="1"/>
  <c r="B1652" i="1"/>
  <c r="B1638" i="1"/>
  <c r="B1653" i="1"/>
  <c r="B1635" i="1"/>
  <c r="B1639" i="1"/>
  <c r="B1641" i="1"/>
  <c r="B1637" i="1"/>
  <c r="B1642" i="1"/>
  <c r="B1643" i="1"/>
  <c r="B1647" i="1"/>
  <c r="B1649" i="1"/>
  <c r="B1634" i="1"/>
  <c r="B1646" i="1"/>
  <c r="B1651" i="1"/>
  <c r="B1655" i="1"/>
  <c r="B1654" i="1"/>
  <c r="B1640" i="1"/>
  <c r="B1636" i="1"/>
  <c r="B1648" i="1"/>
  <c r="B1650" i="1"/>
  <c r="B1644" i="1"/>
  <c r="B1656" i="1"/>
  <c r="B1625" i="1"/>
  <c r="B1621" i="1"/>
  <c r="B1615" i="1"/>
  <c r="B1622" i="1"/>
  <c r="B1633" i="1"/>
  <c r="B1629" i="1"/>
  <c r="B1623" i="1"/>
  <c r="B1612" i="1"/>
  <c r="B1610" i="1"/>
  <c r="B1627" i="1"/>
  <c r="B1631" i="1"/>
  <c r="B1626" i="1"/>
  <c r="B1618" i="1"/>
  <c r="B1614" i="1"/>
  <c r="B1611" i="1"/>
  <c r="B1628" i="1"/>
  <c r="B1617" i="1"/>
  <c r="B1624" i="1"/>
  <c r="B1630" i="1"/>
  <c r="B1613" i="1"/>
  <c r="B1620" i="1"/>
  <c r="B1632" i="1"/>
  <c r="B1619" i="1"/>
  <c r="B1616" i="1"/>
  <c r="B1577" i="1"/>
  <c r="B1595" i="1"/>
  <c r="B1604" i="1"/>
  <c r="B1584" i="1"/>
  <c r="B1601" i="1"/>
  <c r="B1582" i="1"/>
  <c r="B1599" i="1"/>
  <c r="B1576" i="1"/>
  <c r="B1590" i="1"/>
  <c r="B1607" i="1"/>
  <c r="B1581" i="1"/>
  <c r="B1578" i="1"/>
  <c r="B1603" i="1"/>
  <c r="B1605" i="1"/>
  <c r="B1592" i="1"/>
  <c r="B1609" i="1"/>
  <c r="B1602" i="1"/>
  <c r="B1596" i="1"/>
  <c r="B1586" i="1"/>
  <c r="B1588" i="1"/>
  <c r="B1583" i="1"/>
  <c r="B1600" i="1"/>
  <c r="B1594" i="1"/>
  <c r="B1589" i="1"/>
  <c r="B1591" i="1"/>
  <c r="B1608" i="1"/>
  <c r="B1579" i="1"/>
  <c r="B1598" i="1"/>
  <c r="B1580" i="1"/>
  <c r="B1585" i="1"/>
  <c r="B1587" i="1"/>
  <c r="B1606" i="1"/>
  <c r="B1597" i="1"/>
  <c r="B1593" i="1"/>
  <c r="B1572" i="1"/>
  <c r="B1574" i="1"/>
  <c r="B1557" i="1"/>
  <c r="B1568" i="1"/>
  <c r="B1554" i="1"/>
  <c r="B1556" i="1"/>
  <c r="B1565" i="1"/>
  <c r="B1562" i="1"/>
  <c r="B1575" i="1"/>
  <c r="B1558" i="1"/>
  <c r="B1570" i="1"/>
  <c r="B1573" i="1"/>
  <c r="B1567" i="1"/>
  <c r="B1571" i="1"/>
  <c r="B1564" i="1"/>
  <c r="B1566" i="1"/>
  <c r="B1561" i="1"/>
  <c r="B1555" i="1"/>
  <c r="B1559" i="1"/>
  <c r="B1569" i="1"/>
  <c r="B1563" i="1"/>
  <c r="B1560" i="1"/>
  <c r="B1552" i="1"/>
  <c r="B1539" i="1"/>
  <c r="B1541" i="1"/>
  <c r="B1551" i="1"/>
  <c r="B1538" i="1"/>
  <c r="B1550" i="1"/>
  <c r="B1529" i="1"/>
  <c r="B1547" i="1"/>
  <c r="B1549" i="1"/>
  <c r="B1537" i="1"/>
  <c r="B1532" i="1"/>
  <c r="B1536" i="1"/>
  <c r="B1545" i="1"/>
  <c r="B1540" i="1"/>
  <c r="B1534" i="1"/>
  <c r="B1544" i="1"/>
  <c r="B1553" i="1"/>
  <c r="B1548" i="1"/>
  <c r="B1542" i="1"/>
  <c r="B1546" i="1"/>
  <c r="B1531" i="1"/>
  <c r="B1535" i="1"/>
  <c r="B1530" i="1"/>
  <c r="B1533" i="1"/>
  <c r="B1543" i="1"/>
  <c r="B1515" i="1"/>
  <c r="B1518" i="1"/>
  <c r="B1520" i="1"/>
  <c r="B1517" i="1"/>
  <c r="B1523" i="1"/>
  <c r="B1526" i="1"/>
  <c r="B1528" i="1"/>
  <c r="B1521" i="1"/>
  <c r="B1516" i="1"/>
  <c r="B1522" i="1"/>
  <c r="B1514" i="1"/>
  <c r="B1519" i="1"/>
  <c r="B1527" i="1"/>
  <c r="B1509" i="1"/>
  <c r="B1511" i="1"/>
  <c r="B1513" i="1"/>
  <c r="B1525" i="1"/>
  <c r="B1508" i="1"/>
  <c r="B1524" i="1"/>
  <c r="B1510" i="1"/>
  <c r="B1512" i="1"/>
  <c r="B1497" i="1"/>
  <c r="B1503" i="1"/>
  <c r="B1505" i="1"/>
  <c r="B1500" i="1"/>
  <c r="B1507" i="1"/>
  <c r="B1499" i="1"/>
  <c r="B1504" i="1"/>
  <c r="B1498" i="1"/>
  <c r="B1506" i="1"/>
  <c r="B1501" i="1"/>
  <c r="B1502" i="1"/>
  <c r="B1484" i="1"/>
  <c r="B1495" i="1"/>
  <c r="B1485" i="1"/>
  <c r="B1489" i="1"/>
  <c r="B1493" i="1"/>
  <c r="B1490" i="1"/>
  <c r="B1486" i="1"/>
  <c r="B1487" i="1"/>
  <c r="B1494" i="1"/>
  <c r="B1488" i="1"/>
  <c r="B1491" i="1"/>
  <c r="B1496" i="1"/>
  <c r="B1492" i="1"/>
  <c r="B1481" i="1"/>
  <c r="B1482" i="1"/>
  <c r="B1477" i="1"/>
  <c r="B1478" i="1"/>
  <c r="B1479" i="1"/>
  <c r="B1483" i="1"/>
  <c r="B1480" i="1"/>
  <c r="B1476" i="1"/>
  <c r="B1473" i="1"/>
  <c r="B1469" i="1"/>
  <c r="B1466" i="1"/>
  <c r="B1468" i="1"/>
  <c r="B1474" i="1"/>
  <c r="B1472" i="1"/>
  <c r="B1471" i="1"/>
  <c r="B1463" i="1"/>
  <c r="B1464" i="1"/>
  <c r="B1467" i="1"/>
  <c r="B1475" i="1"/>
  <c r="B1470" i="1"/>
  <c r="B1465" i="1"/>
  <c r="B1437" i="1"/>
  <c r="B1456" i="1"/>
  <c r="B1458" i="1"/>
  <c r="B1436" i="1"/>
  <c r="B1459" i="1"/>
  <c r="B1438" i="1"/>
  <c r="B1447" i="1"/>
  <c r="B1461" i="1"/>
  <c r="B1444" i="1"/>
  <c r="B1457" i="1"/>
  <c r="B1453" i="1"/>
  <c r="B1446" i="1"/>
  <c r="B1441" i="1"/>
  <c r="B1435" i="1"/>
  <c r="B1452" i="1"/>
  <c r="B1462" i="1"/>
  <c r="B1439" i="1"/>
  <c r="B1454" i="1"/>
  <c r="B1449" i="1"/>
  <c r="B1443" i="1"/>
  <c r="B1460" i="1"/>
  <c r="B1451" i="1"/>
  <c r="B1440" i="1"/>
  <c r="B1442" i="1"/>
  <c r="B1445" i="1"/>
  <c r="B1448" i="1"/>
  <c r="B1450" i="1"/>
  <c r="B1455" i="1"/>
  <c r="B1433" i="1"/>
  <c r="B1408" i="1"/>
  <c r="B1417" i="1"/>
  <c r="B1429" i="1"/>
  <c r="B1420" i="1"/>
  <c r="B1426" i="1"/>
  <c r="B1416" i="1"/>
  <c r="B1434" i="1"/>
  <c r="B1414" i="1"/>
  <c r="B1432" i="1"/>
  <c r="B1422" i="1"/>
  <c r="B1424" i="1"/>
  <c r="B1412" i="1"/>
  <c r="B1430" i="1"/>
  <c r="B1421" i="1"/>
  <c r="B1415" i="1"/>
  <c r="B1409" i="1"/>
  <c r="B1423" i="1"/>
  <c r="B1418" i="1"/>
  <c r="B1428" i="1"/>
  <c r="B1419" i="1"/>
  <c r="B1427" i="1"/>
  <c r="B1431" i="1"/>
  <c r="B1411" i="1"/>
  <c r="B1425" i="1"/>
  <c r="B1413" i="1"/>
  <c r="B1410" i="1"/>
  <c r="B1405" i="1"/>
  <c r="B1389" i="1"/>
  <c r="B1393" i="1"/>
  <c r="B1402" i="1"/>
  <c r="B1387" i="1"/>
  <c r="B1399" i="1"/>
  <c r="B1401" i="1"/>
  <c r="B1395" i="1"/>
  <c r="B1407" i="1"/>
  <c r="B1397" i="1"/>
  <c r="B1392" i="1"/>
  <c r="B1394" i="1"/>
  <c r="B1390" i="1"/>
  <c r="B1400" i="1"/>
  <c r="B1396" i="1"/>
  <c r="B1386" i="1"/>
  <c r="B1398" i="1"/>
  <c r="B1403" i="1"/>
  <c r="B1391" i="1"/>
  <c r="B1388" i="1"/>
  <c r="B1385" i="1"/>
  <c r="B1406" i="1"/>
  <c r="B1404" i="1"/>
  <c r="B1384" i="1"/>
  <c r="B1383" i="1"/>
  <c r="B1360" i="1"/>
  <c r="B1371" i="1"/>
  <c r="B1380" i="1"/>
  <c r="B1374" i="1"/>
  <c r="B1369" i="1"/>
  <c r="B1379" i="1"/>
  <c r="B1357" i="1"/>
  <c r="B1382" i="1"/>
  <c r="B1362" i="1"/>
  <c r="B1368" i="1"/>
  <c r="B1381" i="1"/>
  <c r="B1367" i="1"/>
  <c r="B1370" i="1"/>
  <c r="B1361" i="1"/>
  <c r="B1376" i="1"/>
  <c r="B1375" i="1"/>
  <c r="B1366" i="1"/>
  <c r="B1378" i="1"/>
  <c r="B1355" i="1"/>
  <c r="B1365" i="1"/>
  <c r="B1359" i="1"/>
  <c r="B1356" i="1"/>
  <c r="B1373" i="1"/>
  <c r="B1377" i="1"/>
  <c r="B1364" i="1"/>
  <c r="B1358" i="1"/>
  <c r="B1363" i="1"/>
  <c r="B1372" i="1"/>
  <c r="B1335" i="1"/>
  <c r="B1337" i="1"/>
  <c r="B1339" i="1"/>
  <c r="B1325" i="1"/>
  <c r="B1328" i="1"/>
  <c r="B1330" i="1"/>
  <c r="B1347" i="1"/>
  <c r="B1333" i="1"/>
  <c r="B1331" i="1"/>
  <c r="B1336" i="1"/>
  <c r="B1338" i="1"/>
  <c r="B1329" i="1"/>
  <c r="B1326" i="1"/>
  <c r="B1349" i="1"/>
  <c r="B1344" i="1"/>
  <c r="B1346" i="1"/>
  <c r="B1332" i="1"/>
  <c r="B1334" i="1"/>
  <c r="B1352" i="1"/>
  <c r="B1354" i="1"/>
  <c r="B1340" i="1"/>
  <c r="B1342" i="1"/>
  <c r="B1343" i="1"/>
  <c r="B1327" i="1"/>
  <c r="B1348" i="1"/>
  <c r="B1350" i="1"/>
  <c r="B1351" i="1"/>
  <c r="B1345" i="1"/>
  <c r="B1353" i="1"/>
  <c r="B1341" i="1"/>
  <c r="B1315" i="1"/>
  <c r="B1299" i="1"/>
  <c r="B1303" i="1"/>
  <c r="B1305" i="1"/>
  <c r="B1322" i="1"/>
  <c r="B1300" i="1"/>
  <c r="B1293" i="1"/>
  <c r="B1311" i="1"/>
  <c r="B1313" i="1"/>
  <c r="B1308" i="1"/>
  <c r="B1294" i="1"/>
  <c r="B1319" i="1"/>
  <c r="B1321" i="1"/>
  <c r="B1317" i="1"/>
  <c r="B1316" i="1"/>
  <c r="B1302" i="1"/>
  <c r="B1296" i="1"/>
  <c r="B1307" i="1"/>
  <c r="B1314" i="1"/>
  <c r="B1324" i="1"/>
  <c r="B1310" i="1"/>
  <c r="B1304" i="1"/>
  <c r="B1292" i="1"/>
  <c r="B1295" i="1"/>
  <c r="B1301" i="1"/>
  <c r="B1318" i="1"/>
  <c r="B1312" i="1"/>
  <c r="B1298" i="1"/>
  <c r="B1309" i="1"/>
  <c r="B1323" i="1"/>
  <c r="B1320" i="1"/>
  <c r="B1306" i="1"/>
  <c r="B1297" i="1"/>
  <c r="B1270" i="1"/>
  <c r="B1280" i="1"/>
  <c r="B1290" i="1"/>
  <c r="B1284" i="1"/>
  <c r="B1269" i="1"/>
  <c r="B1278" i="1"/>
  <c r="B1288" i="1"/>
  <c r="B1285" i="1"/>
  <c r="B1279" i="1"/>
  <c r="B1286" i="1"/>
  <c r="B1273" i="1"/>
  <c r="B1267" i="1"/>
  <c r="B1277" i="1"/>
  <c r="B1281" i="1"/>
  <c r="B1275" i="1"/>
  <c r="B1271" i="1"/>
  <c r="B1289" i="1"/>
  <c r="B1283" i="1"/>
  <c r="B1291" i="1"/>
  <c r="B1287" i="1"/>
  <c r="B1274" i="1"/>
  <c r="B1268" i="1"/>
  <c r="B1272" i="1"/>
  <c r="B1282" i="1"/>
  <c r="B1276" i="1"/>
  <c r="B1235" i="1"/>
  <c r="B699" i="1"/>
  <c r="B1239" i="1"/>
  <c r="B1237" i="1"/>
  <c r="B1236" i="1"/>
  <c r="B120" i="1"/>
  <c r="B1241" i="1"/>
  <c r="B1245" i="1"/>
  <c r="B557" i="1"/>
  <c r="B122" i="1"/>
  <c r="B555" i="1"/>
  <c r="B1243" i="1"/>
  <c r="B1234" i="1"/>
  <c r="B584" i="1"/>
  <c r="B1240" i="1"/>
  <c r="B1242" i="1"/>
  <c r="B1238" i="1"/>
  <c r="B121" i="1"/>
  <c r="B556" i="1"/>
  <c r="B645" i="1"/>
  <c r="B119" i="1"/>
  <c r="B1244" i="1"/>
  <c r="B547" i="1"/>
  <c r="B117" i="1"/>
  <c r="B548" i="1"/>
  <c r="B1231" i="1"/>
  <c r="B1229" i="1"/>
  <c r="B583" i="1"/>
  <c r="B546" i="1"/>
  <c r="B166" i="1"/>
  <c r="B554" i="1"/>
  <c r="B1232" i="1"/>
  <c r="B644" i="1"/>
  <c r="B552" i="1"/>
  <c r="B1226" i="1"/>
  <c r="B550" i="1"/>
  <c r="B1266" i="1"/>
  <c r="B168" i="1"/>
  <c r="B1221" i="1"/>
  <c r="B1225" i="1"/>
  <c r="B697" i="1"/>
  <c r="B1220" i="1"/>
  <c r="B1224" i="1"/>
  <c r="B1233" i="1"/>
  <c r="B116" i="1"/>
  <c r="B1228" i="1"/>
  <c r="B551" i="1"/>
  <c r="B1223" i="1"/>
  <c r="B549" i="1"/>
  <c r="B1230" i="1"/>
  <c r="B118" i="1"/>
  <c r="B1219" i="1"/>
  <c r="B698" i="1"/>
  <c r="B167" i="1"/>
  <c r="B1227" i="1"/>
  <c r="B1222" i="1"/>
  <c r="B553" i="1"/>
  <c r="B543" i="1"/>
  <c r="B164" i="1"/>
  <c r="B545" i="1"/>
  <c r="B163" i="1"/>
  <c r="B165" i="1"/>
  <c r="B544" i="1"/>
  <c r="B542" i="1"/>
  <c r="B1205" i="1"/>
  <c r="B1208" i="1"/>
  <c r="B1210" i="1"/>
  <c r="B1215" i="1"/>
  <c r="B1213" i="1"/>
  <c r="B1216" i="1"/>
  <c r="B1218" i="1"/>
  <c r="B696" i="1"/>
  <c r="B115" i="1"/>
  <c r="B582" i="1"/>
  <c r="B1217" i="1"/>
  <c r="B1206" i="1"/>
  <c r="B541" i="1"/>
  <c r="B1212" i="1"/>
  <c r="B1211" i="1"/>
  <c r="B1207" i="1"/>
  <c r="B1209" i="1"/>
  <c r="B113" i="1"/>
  <c r="B114" i="1"/>
  <c r="B1265" i="1"/>
  <c r="B643" i="1"/>
  <c r="B695" i="1"/>
  <c r="B1214" i="1"/>
  <c r="B162" i="1"/>
  <c r="B1197" i="1"/>
  <c r="B110" i="1"/>
  <c r="B1201" i="1"/>
  <c r="B1203" i="1"/>
  <c r="B1199" i="1"/>
  <c r="B641" i="1"/>
  <c r="B538" i="1"/>
  <c r="B640" i="1"/>
  <c r="B642" i="1"/>
  <c r="B540" i="1"/>
  <c r="B1198" i="1"/>
  <c r="B539" i="1"/>
  <c r="B111" i="1"/>
  <c r="B1196" i="1"/>
  <c r="B1193" i="1"/>
  <c r="B112" i="1"/>
  <c r="B1194" i="1"/>
  <c r="B1204" i="1"/>
  <c r="B1264" i="1"/>
  <c r="B1195" i="1"/>
  <c r="B1200" i="1"/>
  <c r="B1202" i="1"/>
  <c r="B581" i="1"/>
  <c r="B1192" i="1"/>
  <c r="B1186" i="1"/>
  <c r="B639" i="1"/>
  <c r="B1190" i="1"/>
  <c r="B1185" i="1"/>
  <c r="B1187" i="1"/>
  <c r="B535" i="1"/>
  <c r="B638" i="1"/>
  <c r="B1183" i="1"/>
  <c r="B694" i="1"/>
  <c r="B580" i="1"/>
  <c r="B1188" i="1"/>
  <c r="B1191" i="1"/>
  <c r="B536" i="1"/>
  <c r="B1182" i="1"/>
  <c r="B1184" i="1"/>
  <c r="B537" i="1"/>
  <c r="B1189" i="1"/>
  <c r="B109" i="1"/>
  <c r="B534" i="1"/>
  <c r="B693" i="1"/>
  <c r="B532" i="1"/>
  <c r="B637" i="1"/>
  <c r="B533" i="1"/>
  <c r="B692" i="1"/>
  <c r="B1179" i="1"/>
  <c r="B106" i="1"/>
  <c r="B107" i="1"/>
  <c r="B108" i="1"/>
  <c r="B1176" i="1"/>
  <c r="B1181" i="1"/>
  <c r="B1263" i="1"/>
  <c r="B1180" i="1"/>
  <c r="B1177" i="1"/>
  <c r="B1262" i="1"/>
  <c r="B1178" i="1"/>
  <c r="B1171" i="1"/>
  <c r="B1170" i="1"/>
  <c r="B520" i="1"/>
  <c r="B529" i="1"/>
  <c r="B527" i="1"/>
  <c r="B635" i="1"/>
  <c r="B517" i="1"/>
  <c r="B528" i="1"/>
  <c r="B636" i="1"/>
  <c r="B1160" i="1"/>
  <c r="B1158" i="1"/>
  <c r="B1161" i="1"/>
  <c r="B525" i="1"/>
  <c r="B1156" i="1"/>
  <c r="B1159" i="1"/>
  <c r="B1168" i="1"/>
  <c r="B1164" i="1"/>
  <c r="B1169" i="1"/>
  <c r="B518" i="1"/>
  <c r="B519" i="1"/>
  <c r="B1167" i="1"/>
  <c r="B1174" i="1"/>
  <c r="B1175" i="1"/>
  <c r="B1173" i="1"/>
  <c r="B524" i="1"/>
  <c r="B1157" i="1"/>
  <c r="B1166" i="1"/>
  <c r="B522" i="1"/>
  <c r="B531" i="1"/>
  <c r="B1163" i="1"/>
  <c r="B1165" i="1"/>
  <c r="B1172" i="1"/>
  <c r="B530" i="1"/>
  <c r="B1162" i="1"/>
  <c r="B105" i="1"/>
  <c r="B521" i="1"/>
  <c r="B526" i="1"/>
  <c r="B523" i="1"/>
  <c r="B101" i="1"/>
  <c r="B1152" i="1"/>
  <c r="B514" i="1"/>
  <c r="B1138" i="1"/>
  <c r="B1150" i="1"/>
  <c r="B512" i="1"/>
  <c r="B513" i="1"/>
  <c r="B1141" i="1"/>
  <c r="B1143" i="1"/>
  <c r="B510" i="1"/>
  <c r="B1155" i="1"/>
  <c r="B104" i="1"/>
  <c r="B1137" i="1"/>
  <c r="B1149" i="1"/>
  <c r="B1153" i="1"/>
  <c r="B507" i="1"/>
  <c r="B689" i="1"/>
  <c r="B1142" i="1"/>
  <c r="B509" i="1"/>
  <c r="B1147" i="1"/>
  <c r="B102" i="1"/>
  <c r="B691" i="1"/>
  <c r="B1148" i="1"/>
  <c r="B103" i="1"/>
  <c r="B1151" i="1"/>
  <c r="B634" i="1"/>
  <c r="B1140" i="1"/>
  <c r="B508" i="1"/>
  <c r="B1136" i="1"/>
  <c r="B511" i="1"/>
  <c r="B690" i="1"/>
  <c r="B1146" i="1"/>
  <c r="B516" i="1"/>
  <c r="B1139" i="1"/>
  <c r="B1154" i="1"/>
  <c r="B1145" i="1"/>
  <c r="B506" i="1"/>
  <c r="B515" i="1"/>
  <c r="B1144" i="1"/>
  <c r="B1129" i="1"/>
  <c r="B499" i="1"/>
  <c r="B633" i="1"/>
  <c r="B495" i="1"/>
  <c r="B1134" i="1"/>
  <c r="B1131" i="1"/>
  <c r="B1133" i="1"/>
  <c r="B503" i="1"/>
  <c r="B99" i="1"/>
  <c r="B497" i="1"/>
  <c r="B492" i="1"/>
  <c r="B494" i="1"/>
  <c r="B98" i="1"/>
  <c r="B505" i="1"/>
  <c r="B500" i="1"/>
  <c r="B502" i="1"/>
  <c r="B1261" i="1"/>
  <c r="B1135" i="1"/>
  <c r="B579" i="1"/>
  <c r="B1128" i="1"/>
  <c r="B496" i="1"/>
  <c r="B498" i="1"/>
  <c r="B1132" i="1"/>
  <c r="B96" i="1"/>
  <c r="B504" i="1"/>
  <c r="B1130" i="1"/>
  <c r="B493" i="1"/>
  <c r="B97" i="1"/>
  <c r="B501" i="1"/>
  <c r="B100" i="1"/>
  <c r="B482" i="1"/>
  <c r="B1124" i="1"/>
  <c r="B486" i="1"/>
  <c r="B1121" i="1"/>
  <c r="B490" i="1"/>
  <c r="B484" i="1"/>
  <c r="B1112" i="1"/>
  <c r="B95" i="1"/>
  <c r="B632" i="1"/>
  <c r="B1118" i="1"/>
  <c r="B1114" i="1"/>
  <c r="B488" i="1"/>
  <c r="B94" i="1"/>
  <c r="B1125" i="1"/>
  <c r="B1120" i="1"/>
  <c r="B1123" i="1"/>
  <c r="B483" i="1"/>
  <c r="B485" i="1"/>
  <c r="B1127" i="1"/>
  <c r="B631" i="1"/>
  <c r="B491" i="1"/>
  <c r="B1113" i="1"/>
  <c r="B487" i="1"/>
  <c r="B1122" i="1"/>
  <c r="B688" i="1"/>
  <c r="B1119" i="1"/>
  <c r="B1116" i="1"/>
  <c r="B481" i="1"/>
  <c r="B1117" i="1"/>
  <c r="B1126" i="1"/>
  <c r="B1115" i="1"/>
  <c r="B489" i="1"/>
  <c r="B1111" i="1"/>
  <c r="B476" i="1"/>
  <c r="B92" i="1"/>
  <c r="B93" i="1"/>
  <c r="B1099" i="1"/>
  <c r="B1109" i="1"/>
  <c r="B687" i="1"/>
  <c r="B1102" i="1"/>
  <c r="B578" i="1"/>
  <c r="B1106" i="1"/>
  <c r="B1105" i="1"/>
  <c r="B469" i="1"/>
  <c r="B1104" i="1"/>
  <c r="B473" i="1"/>
  <c r="B630" i="1"/>
  <c r="B477" i="1"/>
  <c r="B471" i="1"/>
  <c r="B1108" i="1"/>
  <c r="B1097" i="1"/>
  <c r="B479" i="1"/>
  <c r="B472" i="1"/>
  <c r="B475" i="1"/>
  <c r="B1103" i="1"/>
  <c r="B1096" i="1"/>
  <c r="B1100" i="1"/>
  <c r="B1110" i="1"/>
  <c r="B478" i="1"/>
  <c r="B474" i="1"/>
  <c r="B470" i="1"/>
  <c r="B480" i="1"/>
  <c r="B1107" i="1"/>
  <c r="B1101" i="1"/>
  <c r="B1098" i="1"/>
  <c r="B1260" i="1"/>
  <c r="B466" i="1"/>
  <c r="B628" i="1"/>
  <c r="B1084" i="1"/>
  <c r="B1089" i="1"/>
  <c r="B1091" i="1"/>
  <c r="B468" i="1"/>
  <c r="B577" i="1"/>
  <c r="B627" i="1"/>
  <c r="B461" i="1"/>
  <c r="B1088" i="1"/>
  <c r="B90" i="1"/>
  <c r="B1085" i="1"/>
  <c r="B1094" i="1"/>
  <c r="B629" i="1"/>
  <c r="B465" i="1"/>
  <c r="B89" i="1"/>
  <c r="B1090" i="1"/>
  <c r="B463" i="1"/>
  <c r="B464" i="1"/>
  <c r="B1092" i="1"/>
  <c r="B1087" i="1"/>
  <c r="B91" i="1"/>
  <c r="B88" i="1"/>
  <c r="B467" i="1"/>
  <c r="B685" i="1"/>
  <c r="B1086" i="1"/>
  <c r="B1095" i="1"/>
  <c r="B686" i="1"/>
  <c r="B1093" i="1"/>
  <c r="B462" i="1"/>
  <c r="B1075" i="1"/>
  <c r="B1073" i="1"/>
  <c r="B1083" i="1"/>
  <c r="B1078" i="1"/>
  <c r="B1081" i="1"/>
  <c r="B460" i="1"/>
  <c r="B576" i="1"/>
  <c r="B1072" i="1"/>
  <c r="B1077" i="1"/>
  <c r="B1076" i="1"/>
  <c r="B1074" i="1"/>
  <c r="B1082" i="1"/>
  <c r="B456" i="1"/>
  <c r="B1071" i="1"/>
  <c r="B1079" i="1"/>
  <c r="B459" i="1"/>
  <c r="B457" i="1"/>
  <c r="B625" i="1"/>
  <c r="B684" i="1"/>
  <c r="B1259" i="1"/>
  <c r="B86" i="1"/>
  <c r="B458" i="1"/>
  <c r="B1080" i="1"/>
  <c r="B87" i="1"/>
  <c r="B626" i="1"/>
  <c r="B453" i="1"/>
  <c r="B454" i="1"/>
  <c r="B451" i="1"/>
  <c r="B452" i="1"/>
  <c r="B455" i="1"/>
  <c r="B1070" i="1"/>
  <c r="B1068" i="1"/>
  <c r="B1069" i="1"/>
  <c r="B623" i="1"/>
  <c r="B85" i="1"/>
  <c r="B624" i="1"/>
  <c r="B1066" i="1"/>
  <c r="B1067" i="1"/>
  <c r="B1062" i="1"/>
  <c r="B1063" i="1"/>
  <c r="B1061" i="1"/>
  <c r="B1064" i="1"/>
  <c r="B1065" i="1"/>
  <c r="B683" i="1"/>
  <c r="B1060" i="1"/>
  <c r="B449" i="1"/>
  <c r="B445" i="1"/>
  <c r="B1058" i="1"/>
  <c r="B446" i="1"/>
  <c r="B1059" i="1"/>
  <c r="B447" i="1"/>
  <c r="B84" i="1"/>
  <c r="B450" i="1"/>
  <c r="B448" i="1"/>
  <c r="B575" i="1"/>
  <c r="B1055" i="1"/>
  <c r="B1056" i="1"/>
  <c r="B1057" i="1"/>
  <c r="B682" i="1"/>
  <c r="B82" i="1"/>
  <c r="B1053" i="1"/>
  <c r="B83" i="1"/>
  <c r="B1054" i="1"/>
  <c r="B81" i="1"/>
  <c r="B1051" i="1"/>
  <c r="B1052" i="1"/>
  <c r="B1050" i="1"/>
  <c r="B80" i="1"/>
  <c r="B442" i="1"/>
  <c r="B443" i="1"/>
  <c r="B441" i="1"/>
  <c r="B444" i="1"/>
  <c r="B440" i="1"/>
  <c r="B574" i="1"/>
  <c r="B439" i="1"/>
  <c r="B1049" i="1"/>
  <c r="B1048" i="1"/>
  <c r="B1044" i="1"/>
  <c r="B1042" i="1"/>
  <c r="B681" i="1"/>
  <c r="B622" i="1"/>
  <c r="B1045" i="1"/>
  <c r="B1040" i="1"/>
  <c r="B573" i="1"/>
  <c r="B78" i="1"/>
  <c r="B1046" i="1"/>
  <c r="B1258" i="1"/>
  <c r="B680" i="1"/>
  <c r="B1041" i="1"/>
  <c r="B1039" i="1"/>
  <c r="B79" i="1"/>
  <c r="B1047" i="1"/>
  <c r="B1043" i="1"/>
  <c r="B1035" i="1"/>
  <c r="B1036" i="1"/>
  <c r="B1037" i="1"/>
  <c r="B1038" i="1"/>
  <c r="B435" i="1"/>
  <c r="B434" i="1"/>
  <c r="B436" i="1"/>
  <c r="B432" i="1"/>
  <c r="B437" i="1"/>
  <c r="B430" i="1"/>
  <c r="B438" i="1"/>
  <c r="B431" i="1"/>
  <c r="B433" i="1"/>
  <c r="B572" i="1"/>
  <c r="B1034" i="1"/>
  <c r="B571" i="1"/>
  <c r="B1028" i="1"/>
  <c r="B1027" i="1"/>
  <c r="B1029" i="1"/>
  <c r="B77" i="1"/>
  <c r="B1030" i="1"/>
  <c r="B1031" i="1"/>
  <c r="B1026" i="1"/>
  <c r="B1033" i="1"/>
  <c r="B1032" i="1"/>
  <c r="B679" i="1"/>
  <c r="B1024" i="1"/>
  <c r="B1025" i="1"/>
  <c r="B420" i="1"/>
  <c r="B423" i="1"/>
  <c r="B428" i="1"/>
  <c r="B161" i="1"/>
  <c r="B421" i="1"/>
  <c r="B425" i="1"/>
  <c r="B424" i="1"/>
  <c r="B429" i="1"/>
  <c r="B426" i="1"/>
  <c r="B427" i="1"/>
  <c r="B422" i="1"/>
  <c r="B160" i="1"/>
  <c r="B621" i="1"/>
  <c r="B678" i="1"/>
  <c r="B1023" i="1"/>
  <c r="B75" i="1"/>
  <c r="B570" i="1"/>
  <c r="B76" i="1"/>
  <c r="B1022" i="1"/>
  <c r="B1021" i="1"/>
  <c r="B1018" i="1"/>
  <c r="B1020" i="1"/>
  <c r="B1019" i="1"/>
  <c r="B74" i="1"/>
  <c r="B1016" i="1"/>
  <c r="B1017" i="1"/>
  <c r="B1015" i="1"/>
  <c r="B1014" i="1"/>
  <c r="B1012" i="1"/>
  <c r="B1013" i="1"/>
  <c r="B1002" i="1"/>
  <c r="B419" i="1"/>
  <c r="B1009" i="1"/>
  <c r="B416" i="1"/>
  <c r="B1005" i="1"/>
  <c r="B412" i="1"/>
  <c r="B1010" i="1"/>
  <c r="B1007" i="1"/>
  <c r="B73" i="1"/>
  <c r="B1008" i="1"/>
  <c r="B620" i="1"/>
  <c r="B1004" i="1"/>
  <c r="B410" i="1"/>
  <c r="B569" i="1"/>
  <c r="B415" i="1"/>
  <c r="B72" i="1"/>
  <c r="B418" i="1"/>
  <c r="B413" i="1"/>
  <c r="B568" i="1"/>
  <c r="B409" i="1"/>
  <c r="B1006" i="1"/>
  <c r="B1001" i="1"/>
  <c r="B1003" i="1"/>
  <c r="B417" i="1"/>
  <c r="B411" i="1"/>
  <c r="B414" i="1"/>
  <c r="B1257" i="1"/>
  <c r="B677" i="1"/>
  <c r="B619" i="1"/>
  <c r="B1011" i="1"/>
  <c r="B1000" i="1"/>
  <c r="B992" i="1"/>
  <c r="B567" i="1"/>
  <c r="B999" i="1"/>
  <c r="B993" i="1"/>
  <c r="B408" i="1"/>
  <c r="B997" i="1"/>
  <c r="B618" i="1"/>
  <c r="B68" i="1"/>
  <c r="B995" i="1"/>
  <c r="B676" i="1"/>
  <c r="B407" i="1"/>
  <c r="B401" i="1"/>
  <c r="B70" i="1"/>
  <c r="B405" i="1"/>
  <c r="B159" i="1"/>
  <c r="B403" i="1"/>
  <c r="B617" i="1"/>
  <c r="B994" i="1"/>
  <c r="B996" i="1"/>
  <c r="B406" i="1"/>
  <c r="B69" i="1"/>
  <c r="B71" i="1"/>
  <c r="B998" i="1"/>
  <c r="B402" i="1"/>
  <c r="B404" i="1"/>
  <c r="B991" i="1"/>
  <c r="B979" i="1"/>
  <c r="B988" i="1"/>
  <c r="B400" i="1"/>
  <c r="B394" i="1"/>
  <c r="B978" i="1"/>
  <c r="B675" i="1"/>
  <c r="B983" i="1"/>
  <c r="B981" i="1"/>
  <c r="B980" i="1"/>
  <c r="B986" i="1"/>
  <c r="B398" i="1"/>
  <c r="B65" i="1"/>
  <c r="B985" i="1"/>
  <c r="B616" i="1"/>
  <c r="B566" i="1"/>
  <c r="B987" i="1"/>
  <c r="B393" i="1"/>
  <c r="B67" i="1"/>
  <c r="B984" i="1"/>
  <c r="B392" i="1"/>
  <c r="B66" i="1"/>
  <c r="B396" i="1"/>
  <c r="B1256" i="1"/>
  <c r="B989" i="1"/>
  <c r="B395" i="1"/>
  <c r="B990" i="1"/>
  <c r="B397" i="1"/>
  <c r="B982" i="1"/>
  <c r="B399" i="1"/>
  <c r="B390" i="1"/>
  <c r="B968" i="1"/>
  <c r="B389" i="1"/>
  <c r="B63" i="1"/>
  <c r="B974" i="1"/>
  <c r="B976" i="1"/>
  <c r="B966" i="1"/>
  <c r="B388" i="1"/>
  <c r="B969" i="1"/>
  <c r="B615" i="1"/>
  <c r="B385" i="1"/>
  <c r="B970" i="1"/>
  <c r="B391" i="1"/>
  <c r="B64" i="1"/>
  <c r="B62" i="1"/>
  <c r="B975" i="1"/>
  <c r="B674" i="1"/>
  <c r="B965" i="1"/>
  <c r="B973" i="1"/>
  <c r="B387" i="1"/>
  <c r="B384" i="1"/>
  <c r="B977" i="1"/>
  <c r="B967" i="1"/>
  <c r="B972" i="1"/>
  <c r="B386" i="1"/>
  <c r="B971" i="1"/>
  <c r="B962" i="1"/>
  <c r="B957" i="1"/>
  <c r="B59" i="1"/>
  <c r="B375" i="1"/>
  <c r="B961" i="1"/>
  <c r="B956" i="1"/>
  <c r="B951" i="1"/>
  <c r="B955" i="1"/>
  <c r="B58" i="1"/>
  <c r="B374" i="1"/>
  <c r="B383" i="1"/>
  <c r="B613" i="1"/>
  <c r="B953" i="1"/>
  <c r="B963" i="1"/>
  <c r="B373" i="1"/>
  <c r="B382" i="1"/>
  <c r="B614" i="1"/>
  <c r="B377" i="1"/>
  <c r="B379" i="1"/>
  <c r="B378" i="1"/>
  <c r="B952" i="1"/>
  <c r="B964" i="1"/>
  <c r="B672" i="1"/>
  <c r="B381" i="1"/>
  <c r="B954" i="1"/>
  <c r="B673" i="1"/>
  <c r="B960" i="1"/>
  <c r="B380" i="1"/>
  <c r="B950" i="1"/>
  <c r="B959" i="1"/>
  <c r="B61" i="1"/>
  <c r="B949" i="1"/>
  <c r="B958" i="1"/>
  <c r="B60" i="1"/>
  <c r="B376" i="1"/>
  <c r="B945" i="1"/>
  <c r="B939" i="1"/>
  <c r="B365" i="1"/>
  <c r="B366" i="1"/>
  <c r="B1255" i="1"/>
  <c r="B948" i="1"/>
  <c r="B947" i="1"/>
  <c r="B363" i="1"/>
  <c r="B368" i="1"/>
  <c r="B941" i="1"/>
  <c r="B362" i="1"/>
  <c r="B944" i="1"/>
  <c r="B370" i="1"/>
  <c r="B612" i="1"/>
  <c r="B938" i="1"/>
  <c r="B946" i="1"/>
  <c r="B602" i="1"/>
  <c r="B943" i="1"/>
  <c r="B565" i="1"/>
  <c r="B364" i="1"/>
  <c r="B940" i="1"/>
  <c r="B367" i="1"/>
  <c r="B369" i="1"/>
  <c r="B372" i="1"/>
  <c r="B371" i="1"/>
  <c r="B611" i="1"/>
  <c r="B937" i="1"/>
  <c r="B942" i="1"/>
  <c r="B671" i="1"/>
  <c r="B670" i="1"/>
  <c r="B936" i="1"/>
  <c r="B935" i="1"/>
  <c r="B57" i="1"/>
  <c r="B934" i="1"/>
  <c r="B360" i="1"/>
  <c r="B359" i="1"/>
  <c r="B361" i="1"/>
  <c r="B925" i="1"/>
  <c r="B928" i="1"/>
  <c r="B933" i="1"/>
  <c r="B932" i="1"/>
  <c r="B1254" i="1"/>
  <c r="B930" i="1"/>
  <c r="B56" i="1"/>
  <c r="B926" i="1"/>
  <c r="B931" i="1"/>
  <c r="B927" i="1"/>
  <c r="B669" i="1"/>
  <c r="B564" i="1"/>
  <c r="B929" i="1"/>
  <c r="B923" i="1"/>
  <c r="B924" i="1"/>
  <c r="B54" i="1"/>
  <c r="B563" i="1"/>
  <c r="B922" i="1"/>
  <c r="B668" i="1"/>
  <c r="B55" i="1"/>
  <c r="B921" i="1"/>
  <c r="B352" i="1"/>
  <c r="B358" i="1"/>
  <c r="B351" i="1"/>
  <c r="B357" i="1"/>
  <c r="B350" i="1"/>
  <c r="B354" i="1"/>
  <c r="B355" i="1"/>
  <c r="B353" i="1"/>
  <c r="B356" i="1"/>
  <c r="B53" i="1"/>
  <c r="B919" i="1"/>
  <c r="B920" i="1"/>
  <c r="B610" i="1"/>
  <c r="B52" i="1"/>
  <c r="B913" i="1"/>
  <c r="B917" i="1"/>
  <c r="B914" i="1"/>
  <c r="B609" i="1"/>
  <c r="B915" i="1"/>
  <c r="B916" i="1"/>
  <c r="B918" i="1"/>
  <c r="B912" i="1"/>
  <c r="B908" i="1"/>
  <c r="B909" i="1"/>
  <c r="B910" i="1"/>
  <c r="B907" i="1"/>
  <c r="B911" i="1"/>
  <c r="B349" i="1"/>
  <c r="B347" i="1"/>
  <c r="B348" i="1"/>
  <c r="B343" i="1"/>
  <c r="B344" i="1"/>
  <c r="B345" i="1"/>
  <c r="B346" i="1"/>
  <c r="B901" i="1"/>
  <c r="B899" i="1"/>
  <c r="B902" i="1"/>
  <c r="B50" i="1"/>
  <c r="B903" i="1"/>
  <c r="B51" i="1"/>
  <c r="B906" i="1"/>
  <c r="B900" i="1"/>
  <c r="B667" i="1"/>
  <c r="B904" i="1"/>
  <c r="B905" i="1"/>
  <c r="B49" i="1"/>
  <c r="B666" i="1"/>
  <c r="B897" i="1"/>
  <c r="B48" i="1"/>
  <c r="B898" i="1"/>
  <c r="B896" i="1"/>
  <c r="B608" i="1"/>
  <c r="B339" i="1"/>
  <c r="B342" i="1"/>
  <c r="B895" i="1"/>
  <c r="B341" i="1"/>
  <c r="B340" i="1"/>
  <c r="B338" i="1"/>
  <c r="B894" i="1"/>
  <c r="B607" i="1"/>
  <c r="B47" i="1"/>
  <c r="B890" i="1"/>
  <c r="B891" i="1"/>
  <c r="B892" i="1"/>
  <c r="B893" i="1"/>
  <c r="B46" i="1"/>
  <c r="B333" i="1"/>
  <c r="B334" i="1"/>
  <c r="B336" i="1"/>
  <c r="B335" i="1"/>
  <c r="B337" i="1"/>
  <c r="B665" i="1"/>
  <c r="B331" i="1"/>
  <c r="B889" i="1"/>
  <c r="B332" i="1"/>
  <c r="B44" i="1"/>
  <c r="B887" i="1"/>
  <c r="B45" i="1"/>
  <c r="B888" i="1"/>
  <c r="B886" i="1"/>
  <c r="B664" i="1"/>
  <c r="B884" i="1"/>
  <c r="B881" i="1"/>
  <c r="B885" i="1"/>
  <c r="B882" i="1"/>
  <c r="B883" i="1"/>
  <c r="B880" i="1"/>
  <c r="B43" i="1"/>
  <c r="B877" i="1"/>
  <c r="B878" i="1"/>
  <c r="B879" i="1"/>
  <c r="B328" i="1"/>
  <c r="B329" i="1"/>
  <c r="B330" i="1"/>
  <c r="B327" i="1"/>
  <c r="B42" i="1"/>
  <c r="B663" i="1"/>
  <c r="B605" i="1"/>
  <c r="B875" i="1"/>
  <c r="B874" i="1"/>
  <c r="B876" i="1"/>
  <c r="B606" i="1"/>
  <c r="B1253" i="1"/>
  <c r="B323" i="1"/>
  <c r="B317" i="1"/>
  <c r="B321" i="1"/>
  <c r="B325" i="1"/>
  <c r="B871" i="1"/>
  <c r="B319" i="1"/>
  <c r="B320" i="1"/>
  <c r="B872" i="1"/>
  <c r="B873" i="1"/>
  <c r="B322" i="1"/>
  <c r="B318" i="1"/>
  <c r="B326" i="1"/>
  <c r="B324" i="1"/>
  <c r="B41" i="1"/>
  <c r="B869" i="1"/>
  <c r="B868" i="1"/>
  <c r="B316" i="1"/>
  <c r="B562" i="1"/>
  <c r="B870" i="1"/>
  <c r="B865" i="1"/>
  <c r="B866" i="1"/>
  <c r="B40" i="1"/>
  <c r="B867" i="1"/>
  <c r="B604" i="1"/>
  <c r="B864" i="1"/>
  <c r="B39" i="1"/>
  <c r="B662" i="1"/>
  <c r="B863" i="1"/>
  <c r="B861" i="1"/>
  <c r="B862" i="1"/>
  <c r="B306" i="1"/>
  <c r="B854" i="1"/>
  <c r="B856" i="1"/>
  <c r="B858" i="1"/>
  <c r="B154" i="1"/>
  <c r="B155" i="1"/>
  <c r="B311" i="1"/>
  <c r="B157" i="1"/>
  <c r="B314" i="1"/>
  <c r="B153" i="1"/>
  <c r="B859" i="1"/>
  <c r="B38" i="1"/>
  <c r="B156" i="1"/>
  <c r="B853" i="1"/>
  <c r="B309" i="1"/>
  <c r="B857" i="1"/>
  <c r="B308" i="1"/>
  <c r="B158" i="1"/>
  <c r="B855" i="1"/>
  <c r="B313" i="1"/>
  <c r="B310" i="1"/>
  <c r="B307" i="1"/>
  <c r="B860" i="1"/>
  <c r="B315" i="1"/>
  <c r="B312" i="1"/>
  <c r="B601" i="1"/>
  <c r="B851" i="1"/>
  <c r="B603" i="1"/>
  <c r="B661" i="1"/>
  <c r="B1251" i="1"/>
  <c r="B852" i="1"/>
  <c r="B1252" i="1"/>
  <c r="B36" i="1"/>
  <c r="B850" i="1"/>
  <c r="B37" i="1"/>
  <c r="B150" i="1"/>
  <c r="B148" i="1"/>
  <c r="B303" i="1"/>
  <c r="B146" i="1"/>
  <c r="B149" i="1"/>
  <c r="B845" i="1"/>
  <c r="B152" i="1"/>
  <c r="B848" i="1"/>
  <c r="B302" i="1"/>
  <c r="B849" i="1"/>
  <c r="B847" i="1"/>
  <c r="B304" i="1"/>
  <c r="B844" i="1"/>
  <c r="B147" i="1"/>
  <c r="B151" i="1"/>
  <c r="B846" i="1"/>
  <c r="B305" i="1"/>
  <c r="B840" i="1"/>
  <c r="B841" i="1"/>
  <c r="B842" i="1"/>
  <c r="B35" i="1"/>
  <c r="B600" i="1"/>
  <c r="B660" i="1"/>
  <c r="B843" i="1"/>
  <c r="B298" i="1"/>
  <c r="B839" i="1"/>
  <c r="B145" i="1"/>
  <c r="B143" i="1"/>
  <c r="B299" i="1"/>
  <c r="B838" i="1"/>
  <c r="B300" i="1"/>
  <c r="B144" i="1"/>
  <c r="B301" i="1"/>
  <c r="B833" i="1"/>
  <c r="B834" i="1"/>
  <c r="B34" i="1"/>
  <c r="B659" i="1"/>
  <c r="B835" i="1"/>
  <c r="B836" i="1"/>
  <c r="B837" i="1"/>
  <c r="B33" i="1"/>
  <c r="B826" i="1"/>
  <c r="B827" i="1"/>
  <c r="B829" i="1"/>
  <c r="B830" i="1"/>
  <c r="B831" i="1"/>
  <c r="B599" i="1"/>
  <c r="B828" i="1"/>
  <c r="B832" i="1"/>
  <c r="B291" i="1"/>
  <c r="B289" i="1"/>
  <c r="B292" i="1"/>
  <c r="B297" i="1"/>
  <c r="B293" i="1"/>
  <c r="B294" i="1"/>
  <c r="B295" i="1"/>
  <c r="B290" i="1"/>
  <c r="B287" i="1"/>
  <c r="B142" i="1"/>
  <c r="B288" i="1"/>
  <c r="B296" i="1"/>
  <c r="B141" i="1"/>
  <c r="B1250" i="1"/>
  <c r="B824" i="1"/>
  <c r="B825" i="1"/>
  <c r="B822" i="1"/>
  <c r="B823" i="1"/>
  <c r="B821" i="1"/>
  <c r="B597" i="1"/>
  <c r="B598" i="1"/>
  <c r="B31" i="1"/>
  <c r="B32" i="1"/>
  <c r="B820" i="1"/>
  <c r="B658" i="1"/>
  <c r="B30" i="1"/>
  <c r="B140" i="1"/>
  <c r="B286" i="1"/>
  <c r="B279" i="1"/>
  <c r="B281" i="1"/>
  <c r="B285" i="1"/>
  <c r="B278" i="1"/>
  <c r="B277" i="1"/>
  <c r="B282" i="1"/>
  <c r="B280" i="1"/>
  <c r="B283" i="1"/>
  <c r="B276" i="1"/>
  <c r="B284" i="1"/>
  <c r="B275" i="1"/>
  <c r="B29" i="1"/>
  <c r="B819" i="1"/>
  <c r="B808" i="1"/>
  <c r="B817" i="1"/>
  <c r="B814" i="1"/>
  <c r="B596" i="1"/>
  <c r="B813" i="1"/>
  <c r="B818" i="1"/>
  <c r="B815" i="1"/>
  <c r="B807" i="1"/>
  <c r="B812" i="1"/>
  <c r="B809" i="1"/>
  <c r="B811" i="1"/>
  <c r="B810" i="1"/>
  <c r="B28" i="1"/>
  <c r="B805" i="1"/>
  <c r="B816" i="1"/>
  <c r="B806" i="1"/>
  <c r="B137" i="1"/>
  <c r="B272" i="1"/>
  <c r="B268" i="1"/>
  <c r="B267" i="1"/>
  <c r="B269" i="1"/>
  <c r="B265" i="1"/>
  <c r="B270" i="1"/>
  <c r="B273" i="1"/>
  <c r="B138" i="1"/>
  <c r="B266" i="1"/>
  <c r="B264" i="1"/>
  <c r="B139" i="1"/>
  <c r="B263" i="1"/>
  <c r="B271" i="1"/>
  <c r="B274" i="1"/>
  <c r="B803" i="1"/>
  <c r="B657" i="1"/>
  <c r="B804" i="1"/>
  <c r="B27" i="1"/>
  <c r="B801" i="1"/>
  <c r="B802" i="1"/>
  <c r="B799" i="1"/>
  <c r="B800" i="1"/>
  <c r="B26" i="1"/>
  <c r="B798" i="1"/>
  <c r="B561" i="1"/>
  <c r="B595" i="1"/>
  <c r="B24" i="1"/>
  <c r="B25" i="1"/>
  <c r="B797" i="1"/>
  <c r="B250" i="1"/>
  <c r="B254" i="1"/>
  <c r="B248" i="1"/>
  <c r="B251" i="1"/>
  <c r="B262" i="1"/>
  <c r="B259" i="1"/>
  <c r="B258" i="1"/>
  <c r="B257" i="1"/>
  <c r="B255" i="1"/>
  <c r="B253" i="1"/>
  <c r="B252" i="1"/>
  <c r="B261" i="1"/>
  <c r="B249" i="1"/>
  <c r="B256" i="1"/>
  <c r="B260" i="1"/>
  <c r="B796" i="1"/>
  <c r="B656" i="1"/>
  <c r="B795" i="1"/>
  <c r="B1249" i="1"/>
  <c r="B793" i="1"/>
  <c r="B594" i="1"/>
  <c r="B794" i="1"/>
  <c r="B792" i="1"/>
  <c r="B23" i="1"/>
  <c r="B791" i="1"/>
  <c r="B655" i="1"/>
  <c r="B790" i="1"/>
  <c r="B21" i="1"/>
  <c r="B788" i="1"/>
  <c r="B22" i="1"/>
  <c r="B789" i="1"/>
  <c r="B247" i="1"/>
  <c r="B239" i="1"/>
  <c r="B242" i="1"/>
  <c r="B240" i="1"/>
  <c r="B236" i="1"/>
  <c r="B238" i="1"/>
  <c r="B233" i="1"/>
  <c r="B244" i="1"/>
  <c r="B237" i="1"/>
  <c r="B241" i="1"/>
  <c r="B245" i="1"/>
  <c r="B234" i="1"/>
  <c r="B243" i="1"/>
  <c r="B235" i="1"/>
  <c r="B246" i="1"/>
  <c r="B787" i="1"/>
  <c r="B781" i="1"/>
  <c r="B779" i="1"/>
  <c r="B593" i="1"/>
  <c r="B786" i="1"/>
  <c r="B785" i="1"/>
  <c r="B783" i="1"/>
  <c r="B20" i="1"/>
  <c r="B784" i="1"/>
  <c r="B654" i="1"/>
  <c r="B780" i="1"/>
  <c r="B778" i="1"/>
  <c r="B782" i="1"/>
  <c r="B560" i="1"/>
  <c r="B19" i="1"/>
  <c r="B777" i="1"/>
  <c r="B653" i="1"/>
  <c r="B223" i="1"/>
  <c r="B222" i="1"/>
  <c r="B221" i="1"/>
  <c r="B224" i="1"/>
  <c r="B136" i="1"/>
  <c r="B230" i="1"/>
  <c r="B220" i="1"/>
  <c r="B232" i="1"/>
  <c r="B225" i="1"/>
  <c r="B228" i="1"/>
  <c r="B226" i="1"/>
  <c r="B231" i="1"/>
  <c r="B229" i="1"/>
  <c r="B227" i="1"/>
  <c r="B17" i="1"/>
  <c r="B769" i="1"/>
  <c r="B775" i="1"/>
  <c r="B1248" i="1"/>
  <c r="B772" i="1"/>
  <c r="B18" i="1"/>
  <c r="B592" i="1"/>
  <c r="B774" i="1"/>
  <c r="B776" i="1"/>
  <c r="B771" i="1"/>
  <c r="B770" i="1"/>
  <c r="B773" i="1"/>
  <c r="B768" i="1"/>
  <c r="B591" i="1"/>
  <c r="B652" i="1"/>
  <c r="B16" i="1"/>
  <c r="B764" i="1"/>
  <c r="B765" i="1"/>
  <c r="B767" i="1"/>
  <c r="B766" i="1"/>
  <c r="B651" i="1"/>
  <c r="B219" i="1"/>
  <c r="B134" i="1"/>
  <c r="B209" i="1"/>
  <c r="B133" i="1"/>
  <c r="B211" i="1"/>
  <c r="B218" i="1"/>
  <c r="B213" i="1"/>
  <c r="B210" i="1"/>
  <c r="B214" i="1"/>
  <c r="B217" i="1"/>
  <c r="B135" i="1"/>
  <c r="B212" i="1"/>
  <c r="B132" i="1"/>
  <c r="B215" i="1"/>
  <c r="B216" i="1"/>
  <c r="B763" i="1"/>
  <c r="B759" i="1"/>
  <c r="B760" i="1"/>
  <c r="B761" i="1"/>
  <c r="B762" i="1"/>
  <c r="B758" i="1"/>
  <c r="B590" i="1"/>
  <c r="B650" i="1"/>
  <c r="B1247" i="1"/>
  <c r="B15" i="1"/>
  <c r="B757" i="1"/>
  <c r="B753" i="1"/>
  <c r="B752" i="1"/>
  <c r="B750" i="1"/>
  <c r="B754" i="1"/>
  <c r="B755" i="1"/>
  <c r="B751" i="1"/>
  <c r="B756" i="1"/>
  <c r="B749" i="1"/>
  <c r="B746" i="1"/>
  <c r="B748" i="1"/>
  <c r="B14" i="1"/>
  <c r="B747" i="1"/>
  <c r="B207" i="1"/>
  <c r="B131" i="1"/>
  <c r="B129" i="1"/>
  <c r="B130" i="1"/>
  <c r="B208" i="1"/>
  <c r="B205" i="1"/>
  <c r="B206" i="1"/>
  <c r="B559" i="1"/>
  <c r="B588" i="1"/>
  <c r="B739" i="1"/>
  <c r="B738" i="1"/>
  <c r="B743" i="1"/>
  <c r="B9" i="1"/>
  <c r="B745" i="1"/>
  <c r="B744" i="1"/>
  <c r="B12" i="1"/>
  <c r="B589" i="1"/>
  <c r="B740" i="1"/>
  <c r="B741" i="1"/>
  <c r="B11" i="1"/>
  <c r="B10" i="1"/>
  <c r="B742" i="1"/>
  <c r="B13" i="1"/>
  <c r="B196" i="1"/>
  <c r="B725" i="1"/>
  <c r="B200" i="1"/>
  <c r="B194" i="1"/>
  <c r="B6" i="1"/>
  <c r="B728" i="1"/>
  <c r="B7" i="1"/>
  <c r="B197" i="1"/>
  <c r="B733" i="1"/>
  <c r="B730" i="1"/>
  <c r="B202" i="1"/>
  <c r="B724" i="1"/>
  <c r="B648" i="1"/>
  <c r="B727" i="1"/>
  <c r="B731" i="1"/>
  <c r="B734" i="1"/>
  <c r="B732" i="1"/>
  <c r="B199" i="1"/>
  <c r="B735" i="1"/>
  <c r="B729" i="1"/>
  <c r="B8" i="1"/>
  <c r="B204" i="1"/>
  <c r="B558" i="1"/>
  <c r="B737" i="1"/>
  <c r="B203" i="1"/>
  <c r="B649" i="1"/>
  <c r="B198" i="1"/>
  <c r="B726" i="1"/>
  <c r="B201" i="1"/>
  <c r="B195" i="1"/>
  <c r="B736" i="1"/>
  <c r="B721" i="1"/>
  <c r="B4" i="1"/>
  <c r="B123" i="1"/>
  <c r="B124" i="1"/>
  <c r="B716" i="1"/>
  <c r="B718" i="1"/>
  <c r="B713" i="1"/>
  <c r="B188" i="1"/>
  <c r="B701" i="1"/>
  <c r="B703" i="1"/>
  <c r="B646" i="1"/>
  <c r="B172" i="1"/>
  <c r="B125" i="1"/>
  <c r="B715" i="1"/>
  <c r="B191" i="1"/>
  <c r="B710" i="1"/>
  <c r="B126" i="1"/>
  <c r="B714" i="1"/>
  <c r="B704" i="1"/>
  <c r="B647" i="1"/>
  <c r="B173" i="1"/>
  <c r="B179" i="1"/>
  <c r="B128" i="1"/>
  <c r="B183" i="1"/>
  <c r="B709" i="1"/>
  <c r="B719" i="1"/>
  <c r="B171" i="1"/>
  <c r="B5" i="1"/>
  <c r="B717" i="1"/>
  <c r="B705" i="1"/>
  <c r="B585" i="1"/>
  <c r="B174" i="1"/>
  <c r="B180" i="1"/>
  <c r="B186" i="1"/>
  <c r="B722" i="1"/>
  <c r="B189" i="1"/>
  <c r="B711" i="1"/>
  <c r="B702" i="1"/>
  <c r="B1246" i="1"/>
  <c r="B175" i="1"/>
  <c r="B181" i="1"/>
  <c r="B192" i="1"/>
  <c r="B587" i="1"/>
  <c r="B127" i="1"/>
  <c r="B187" i="1"/>
  <c r="B712" i="1"/>
  <c r="B178" i="1"/>
  <c r="B706" i="1"/>
  <c r="B707" i="1"/>
  <c r="B169" i="1"/>
  <c r="B176" i="1"/>
  <c r="B193" i="1"/>
  <c r="B184" i="1"/>
  <c r="B190" i="1"/>
  <c r="B720" i="1"/>
  <c r="B586" i="1"/>
  <c r="C5" i="1"/>
  <c r="E6" i="5"/>
  <c r="B8" i="5" s="1"/>
  <c r="C2339" i="1" l="1"/>
  <c r="C2352" i="1"/>
  <c r="C2348" i="1"/>
  <c r="C2340" i="1"/>
  <c r="C2349" i="1"/>
  <c r="C2350" i="1"/>
  <c r="C2351" i="1"/>
  <c r="C2324" i="1"/>
  <c r="C2331" i="1"/>
  <c r="C2312" i="1"/>
  <c r="C2322" i="1"/>
  <c r="C2332" i="1"/>
  <c r="C2328" i="1"/>
  <c r="C2336" i="1"/>
  <c r="C2323" i="1"/>
  <c r="C2315" i="1"/>
  <c r="C2337" i="1"/>
  <c r="C2333" i="1"/>
  <c r="C2316" i="1"/>
  <c r="C2330" i="1"/>
  <c r="C2338" i="1"/>
  <c r="C2320" i="1"/>
  <c r="C2327" i="1"/>
  <c r="C2325" i="1"/>
  <c r="C2326" i="1"/>
  <c r="C2297" i="1"/>
  <c r="C2298" i="1"/>
  <c r="C2293" i="1"/>
  <c r="C2329" i="1"/>
  <c r="C2347" i="1"/>
  <c r="C2335" i="1"/>
  <c r="C2346" i="1"/>
  <c r="C2345" i="1"/>
  <c r="C2314" i="1"/>
  <c r="C2344" i="1"/>
  <c r="C2343" i="1"/>
  <c r="C2342" i="1"/>
  <c r="C2334" i="1"/>
  <c r="C2341" i="1"/>
  <c r="C2288" i="1"/>
  <c r="C2286" i="1"/>
  <c r="C2279" i="1"/>
  <c r="C2268" i="1"/>
  <c r="C2235" i="1"/>
  <c r="C2243" i="1"/>
  <c r="C2248" i="1"/>
  <c r="C2255" i="1"/>
  <c r="C2240" i="1"/>
  <c r="C2262" i="1"/>
  <c r="C2264" i="1"/>
  <c r="C2256" i="1"/>
  <c r="C2261" i="1"/>
  <c r="C2246" i="1"/>
  <c r="C2228" i="1"/>
  <c r="C2209" i="1"/>
  <c r="C2224" i="1"/>
  <c r="C2213" i="1"/>
  <c r="C2221" i="1"/>
  <c r="C2233" i="1"/>
  <c r="C2231" i="1"/>
  <c r="C2219" i="1"/>
  <c r="C2214" i="1"/>
  <c r="C2210" i="1"/>
  <c r="C2226" i="1"/>
  <c r="C2222" i="1"/>
  <c r="C2230" i="1"/>
  <c r="C2215" i="1"/>
  <c r="C2227" i="1"/>
  <c r="C2208" i="1"/>
  <c r="C2223" i="1"/>
  <c r="C2202" i="1"/>
  <c r="C2204" i="1"/>
  <c r="C2205" i="1"/>
  <c r="C2206" i="1"/>
  <c r="C2203" i="1"/>
  <c r="C2195" i="1"/>
  <c r="C2183" i="1"/>
  <c r="C2181" i="1"/>
  <c r="C2176" i="1"/>
  <c r="C2172" i="1"/>
  <c r="C2177" i="1"/>
  <c r="C2186" i="1"/>
  <c r="C2184" i="1"/>
  <c r="C2189" i="1"/>
  <c r="C2178" i="1"/>
  <c r="C2196" i="1"/>
  <c r="C2201" i="1"/>
  <c r="C2192" i="1"/>
  <c r="C2173" i="1"/>
  <c r="C2197" i="1"/>
  <c r="C2193" i="1"/>
  <c r="C2198" i="1"/>
  <c r="C2175" i="1"/>
  <c r="C2182" i="1"/>
  <c r="C2187" i="1"/>
  <c r="C2190" i="1"/>
  <c r="C2194" i="1"/>
  <c r="C2191" i="1"/>
  <c r="C2199" i="1"/>
  <c r="C2171" i="1"/>
  <c r="C2185" i="1"/>
  <c r="C2174" i="1"/>
  <c r="C2188" i="1"/>
  <c r="C2179" i="1"/>
  <c r="C2200" i="1"/>
  <c r="C2166" i="1"/>
  <c r="C2147" i="1"/>
  <c r="C2157" i="1"/>
  <c r="C2141" i="1"/>
  <c r="C2143" i="1"/>
  <c r="C2159" i="1"/>
  <c r="C2138" i="1"/>
  <c r="C2153" i="1"/>
  <c r="C2154" i="1"/>
  <c r="C2155" i="1"/>
  <c r="C2144" i="1"/>
  <c r="C2150" i="1"/>
  <c r="C2165" i="1"/>
  <c r="C2132" i="1"/>
  <c r="C2167" i="1"/>
  <c r="C2136" i="1"/>
  <c r="C2162" i="1"/>
  <c r="C2142" i="1"/>
  <c r="C2148" i="1"/>
  <c r="C2139" i="1"/>
  <c r="C2145" i="1"/>
  <c r="C2160" i="1"/>
  <c r="C2151" i="1"/>
  <c r="C2168" i="1"/>
  <c r="C2156" i="1"/>
  <c r="C2163" i="1"/>
  <c r="C2146" i="1"/>
  <c r="C2134" i="1"/>
  <c r="C2133" i="1"/>
  <c r="C2135" i="1"/>
  <c r="C2158" i="1"/>
  <c r="C2137" i="1"/>
  <c r="C2140" i="1"/>
  <c r="C2170" i="1"/>
  <c r="C2149" i="1"/>
  <c r="C2152" i="1"/>
  <c r="C2169" i="1"/>
  <c r="C2161" i="1"/>
  <c r="C2164" i="1"/>
  <c r="C2112" i="1"/>
  <c r="C2105" i="1"/>
  <c r="C2121" i="1"/>
  <c r="C2124" i="1"/>
  <c r="C2117" i="1"/>
  <c r="C2123" i="1"/>
  <c r="C2122" i="1"/>
  <c r="C2111" i="1"/>
  <c r="C2129" i="1"/>
  <c r="C2110" i="1"/>
  <c r="C2113" i="1"/>
  <c r="C2106" i="1"/>
  <c r="C2125" i="1"/>
  <c r="C2118" i="1"/>
  <c r="C2120" i="1"/>
  <c r="C2114" i="1"/>
  <c r="C2130" i="1"/>
  <c r="C2126" i="1"/>
  <c r="C2107" i="1"/>
  <c r="C2128" i="1"/>
  <c r="C2115" i="1"/>
  <c r="C2119" i="1"/>
  <c r="C2109" i="1"/>
  <c r="C2127" i="1"/>
  <c r="C2131" i="1"/>
  <c r="C2116" i="1"/>
  <c r="C2104" i="1"/>
  <c r="C2108" i="1"/>
  <c r="C2321" i="1"/>
  <c r="C2299" i="1"/>
  <c r="C2292" i="1"/>
  <c r="C2276" i="1"/>
  <c r="C2257" i="1"/>
  <c r="C2241" i="1"/>
  <c r="C2212" i="1"/>
  <c r="C2319" i="1"/>
  <c r="C2318" i="1"/>
  <c r="C2317" i="1"/>
  <c r="C2180" i="1"/>
  <c r="C2306" i="1"/>
  <c r="C2289" i="1"/>
  <c r="C2283" i="1"/>
  <c r="C2218" i="1"/>
  <c r="C2232" i="1"/>
  <c r="C2313" i="1"/>
  <c r="C2311" i="1"/>
  <c r="C2310" i="1"/>
  <c r="C2309" i="1"/>
  <c r="C2308" i="1"/>
  <c r="C2307" i="1"/>
  <c r="C2305" i="1"/>
  <c r="C2304" i="1"/>
  <c r="C2303" i="1"/>
  <c r="C2302" i="1"/>
  <c r="C2301" i="1"/>
  <c r="C2300" i="1"/>
  <c r="C2296" i="1"/>
  <c r="C2295" i="1"/>
  <c r="C2294" i="1"/>
  <c r="C2273" i="1"/>
  <c r="C2278" i="1"/>
  <c r="C2239" i="1"/>
  <c r="C2237" i="1"/>
  <c r="C2238" i="1"/>
  <c r="C2216" i="1"/>
  <c r="C2291" i="1"/>
  <c r="C2290" i="1"/>
  <c r="C2287" i="1"/>
  <c r="C2285" i="1"/>
  <c r="C2284" i="1"/>
  <c r="C2234" i="1"/>
  <c r="C2282" i="1"/>
  <c r="C2281" i="1"/>
  <c r="C2280" i="1"/>
  <c r="C2277" i="1"/>
  <c r="C2207" i="1"/>
  <c r="C2275" i="1"/>
  <c r="C2274" i="1"/>
  <c r="C2272" i="1"/>
  <c r="C2253" i="1"/>
  <c r="C2251" i="1"/>
  <c r="C2271" i="1"/>
  <c r="C2270" i="1"/>
  <c r="C2269" i="1"/>
  <c r="C2267" i="1"/>
  <c r="C2225" i="1"/>
  <c r="C2266" i="1"/>
  <c r="C2265" i="1"/>
  <c r="C2263" i="1"/>
  <c r="C2259" i="1"/>
  <c r="C2250" i="1"/>
  <c r="C2260" i="1"/>
  <c r="C2211" i="1"/>
  <c r="C2258" i="1"/>
  <c r="C2254" i="1"/>
  <c r="C2252" i="1"/>
  <c r="C2249" i="1"/>
  <c r="C2220" i="1"/>
  <c r="C2247" i="1"/>
  <c r="C2245" i="1"/>
  <c r="C2244" i="1"/>
  <c r="C2242" i="1"/>
  <c r="C2236" i="1"/>
  <c r="C2229" i="1"/>
  <c r="C2217" i="1"/>
  <c r="C2081" i="1"/>
  <c r="C2074" i="1"/>
  <c r="C2078" i="1"/>
  <c r="C2093" i="1"/>
  <c r="C2086" i="1"/>
  <c r="C2090" i="1"/>
  <c r="C2098" i="1"/>
  <c r="C2102" i="1"/>
  <c r="C2094" i="1"/>
  <c r="C2075" i="1"/>
  <c r="C2079" i="1"/>
  <c r="C2092" i="1"/>
  <c r="C2087" i="1"/>
  <c r="C2091" i="1"/>
  <c r="C2083" i="1"/>
  <c r="C2099" i="1"/>
  <c r="C2103" i="1"/>
  <c r="C2095" i="1"/>
  <c r="C2076" i="1"/>
  <c r="C2097" i="1"/>
  <c r="C2084" i="1"/>
  <c r="C2088" i="1"/>
  <c r="C2096" i="1"/>
  <c r="C2100" i="1"/>
  <c r="C2101" i="1"/>
  <c r="C2080" i="1"/>
  <c r="C2077" i="1"/>
  <c r="C2085" i="1"/>
  <c r="C2089" i="1"/>
  <c r="C2082" i="1"/>
  <c r="C2060" i="1"/>
  <c r="C2064" i="1"/>
  <c r="C2069" i="1"/>
  <c r="C2072" i="1"/>
  <c r="C2053" i="1"/>
  <c r="C2057" i="1"/>
  <c r="C2049" i="1"/>
  <c r="C2065" i="1"/>
  <c r="C2059" i="1"/>
  <c r="C2061" i="1"/>
  <c r="C2054" i="1"/>
  <c r="C2073" i="1"/>
  <c r="C2066" i="1"/>
  <c r="C2050" i="1"/>
  <c r="C2070" i="1"/>
  <c r="C2062" i="1"/>
  <c r="C2055" i="1"/>
  <c r="C2058" i="1"/>
  <c r="C2067" i="1"/>
  <c r="C2052" i="1"/>
  <c r="C2051" i="1"/>
  <c r="C2071" i="1"/>
  <c r="C2068" i="1"/>
  <c r="C2063" i="1"/>
  <c r="C2056" i="1"/>
  <c r="C2044" i="1"/>
  <c r="C2037" i="1"/>
  <c r="C2045" i="1"/>
  <c r="C2041" i="1"/>
  <c r="C2040" i="1"/>
  <c r="C2046" i="1"/>
  <c r="C2043" i="1"/>
  <c r="C2047" i="1"/>
  <c r="C2039" i="1"/>
  <c r="C2032" i="1"/>
  <c r="C2042" i="1"/>
  <c r="C2036" i="1"/>
  <c r="C2048" i="1"/>
  <c r="C2033" i="1"/>
  <c r="C2038" i="1"/>
  <c r="C2034" i="1"/>
  <c r="C2012" i="1"/>
  <c r="C2029" i="1"/>
  <c r="C2017" i="1"/>
  <c r="C2024" i="1"/>
  <c r="C2018" i="1"/>
  <c r="C2010" i="1"/>
  <c r="C2030" i="1"/>
  <c r="C2013" i="1"/>
  <c r="C2011" i="1"/>
  <c r="C2025" i="1"/>
  <c r="C2019" i="1"/>
  <c r="C2022" i="1"/>
  <c r="C2031" i="1"/>
  <c r="C2026" i="1"/>
  <c r="C2023" i="1"/>
  <c r="C2015" i="1"/>
  <c r="C2020" i="1"/>
  <c r="C2027" i="1"/>
  <c r="C2014" i="1"/>
  <c r="C2016" i="1"/>
  <c r="C2021" i="1"/>
  <c r="C2028" i="1"/>
  <c r="C2035" i="1"/>
  <c r="C1998" i="1"/>
  <c r="C2009" i="1"/>
  <c r="C1999" i="1"/>
  <c r="C2002" i="1"/>
  <c r="C2003" i="1"/>
  <c r="C2004" i="1"/>
  <c r="C2005" i="1"/>
  <c r="C2000" i="1"/>
  <c r="C2006" i="1"/>
  <c r="C2007" i="1"/>
  <c r="C2001" i="1"/>
  <c r="C2008" i="1"/>
  <c r="C1997" i="1"/>
  <c r="C1987" i="1"/>
  <c r="C1988" i="1"/>
  <c r="C1990" i="1"/>
  <c r="C1991" i="1"/>
  <c r="C1992" i="1"/>
  <c r="C1986" i="1"/>
  <c r="C1993" i="1"/>
  <c r="C1994" i="1"/>
  <c r="C1995" i="1"/>
  <c r="C1996" i="1"/>
  <c r="C1989" i="1"/>
  <c r="C1968" i="1"/>
  <c r="C1969" i="1"/>
  <c r="C1981" i="1"/>
  <c r="C1980" i="1"/>
  <c r="C1973" i="1"/>
  <c r="C1979" i="1"/>
  <c r="C1974" i="1"/>
  <c r="C1966" i="1"/>
  <c r="C1970" i="1"/>
  <c r="C1978" i="1"/>
  <c r="C1961" i="1"/>
  <c r="C1971" i="1"/>
  <c r="C1963" i="1"/>
  <c r="C1965" i="1"/>
  <c r="C1983" i="1"/>
  <c r="C1975" i="1"/>
  <c r="C1958" i="1"/>
  <c r="C1960" i="1"/>
  <c r="C1977" i="1"/>
  <c r="C1972" i="1"/>
  <c r="C1964" i="1"/>
  <c r="C1985" i="1"/>
  <c r="C1984" i="1"/>
  <c r="C1976" i="1"/>
  <c r="C1967" i="1"/>
  <c r="C1959" i="1"/>
  <c r="C1939" i="1"/>
  <c r="C1957" i="1"/>
  <c r="C1933" i="1"/>
  <c r="C1940" i="1"/>
  <c r="C1952" i="1"/>
  <c r="C1938" i="1"/>
  <c r="C1937" i="1"/>
  <c r="C1941" i="1"/>
  <c r="C1934" i="1"/>
  <c r="C1949" i="1"/>
  <c r="C1953" i="1"/>
  <c r="C1946" i="1"/>
  <c r="C1951" i="1"/>
  <c r="C1932" i="1"/>
  <c r="C1943" i="1"/>
  <c r="C1935" i="1"/>
  <c r="C1948" i="1"/>
  <c r="C1955" i="1"/>
  <c r="C1947" i="1"/>
  <c r="C1945" i="1"/>
  <c r="C1950" i="1"/>
  <c r="C1942" i="1"/>
  <c r="C1931" i="1"/>
  <c r="C1944" i="1"/>
  <c r="C1956" i="1"/>
  <c r="C1936" i="1"/>
  <c r="C1923" i="1"/>
  <c r="C1921" i="1"/>
  <c r="C1924" i="1"/>
  <c r="C1922" i="1"/>
  <c r="C1925" i="1"/>
  <c r="C1926" i="1"/>
  <c r="C1927" i="1"/>
  <c r="C1920" i="1"/>
  <c r="C1928" i="1"/>
  <c r="C1929" i="1"/>
  <c r="C1918" i="1"/>
  <c r="C1930" i="1"/>
  <c r="C1919" i="1"/>
  <c r="C1914" i="1"/>
  <c r="C1915" i="1"/>
  <c r="C1916" i="1"/>
  <c r="C1917" i="1"/>
  <c r="C1907" i="1"/>
  <c r="C1904" i="1"/>
  <c r="C1908" i="1"/>
  <c r="C1901" i="1"/>
  <c r="C1903" i="1"/>
  <c r="C1909" i="1"/>
  <c r="C1905" i="1"/>
  <c r="C1910" i="1"/>
  <c r="C1899" i="1"/>
  <c r="C1911" i="1"/>
  <c r="C1900" i="1"/>
  <c r="C1912" i="1"/>
  <c r="C1906" i="1"/>
  <c r="C1913" i="1"/>
  <c r="C1902" i="1"/>
  <c r="C1878" i="1"/>
  <c r="C1885" i="1"/>
  <c r="C1891" i="1"/>
  <c r="C1897" i="1"/>
  <c r="C1890" i="1"/>
  <c r="C1886" i="1"/>
  <c r="C1892" i="1"/>
  <c r="C1898" i="1"/>
  <c r="C1896" i="1"/>
  <c r="C1880" i="1"/>
  <c r="C1882" i="1"/>
  <c r="C1893" i="1"/>
  <c r="C1887" i="1"/>
  <c r="C1881" i="1"/>
  <c r="C1888" i="1"/>
  <c r="C1894" i="1"/>
  <c r="C1879" i="1"/>
  <c r="C1883" i="1"/>
  <c r="C1889" i="1"/>
  <c r="C1895" i="1"/>
  <c r="C1884" i="1"/>
  <c r="C1876" i="1"/>
  <c r="C1869" i="1"/>
  <c r="C1860" i="1"/>
  <c r="C1853" i="1"/>
  <c r="C1852" i="1"/>
  <c r="C1862" i="1"/>
  <c r="C1873" i="1"/>
  <c r="C1865" i="1"/>
  <c r="C1858" i="1"/>
  <c r="C1874" i="1"/>
  <c r="C1863" i="1"/>
  <c r="C1877" i="1"/>
  <c r="C1870" i="1"/>
  <c r="C1857" i="1"/>
  <c r="C1851" i="1"/>
  <c r="C1859" i="1"/>
  <c r="C1854" i="1"/>
  <c r="C1871" i="1"/>
  <c r="C1861" i="1"/>
  <c r="C1866" i="1"/>
  <c r="C1868" i="1"/>
  <c r="C1855" i="1"/>
  <c r="C1872" i="1"/>
  <c r="C1867" i="1"/>
  <c r="C1856" i="1"/>
  <c r="C1864" i="1"/>
  <c r="C1875" i="1"/>
  <c r="C1850" i="1"/>
  <c r="C1843" i="1"/>
  <c r="C1847" i="1"/>
  <c r="C1827" i="1"/>
  <c r="C1838" i="1"/>
  <c r="C1834" i="1"/>
  <c r="C1830" i="1"/>
  <c r="C1840" i="1"/>
  <c r="C1844" i="1"/>
  <c r="C1828" i="1"/>
  <c r="C1839" i="1"/>
  <c r="C1826" i="1"/>
  <c r="C1841" i="1"/>
  <c r="C1829" i="1"/>
  <c r="C1832" i="1"/>
  <c r="C1836" i="1"/>
  <c r="C1845" i="1"/>
  <c r="C1849" i="1"/>
  <c r="C1833" i="1"/>
  <c r="C1842" i="1"/>
  <c r="C1831" i="1"/>
  <c r="C1837" i="1"/>
  <c r="C1846" i="1"/>
  <c r="C1848" i="1"/>
  <c r="C1835" i="1"/>
  <c r="C1954" i="1"/>
  <c r="C1982" i="1"/>
  <c r="C1962" i="1"/>
  <c r="C1819" i="1"/>
  <c r="C1821" i="1"/>
  <c r="C1822" i="1"/>
  <c r="C1823" i="1"/>
  <c r="C1824" i="1"/>
  <c r="C1817" i="1"/>
  <c r="C1825" i="1"/>
  <c r="C1814" i="1"/>
  <c r="C1820" i="1"/>
  <c r="C1815" i="1"/>
  <c r="C1816" i="1"/>
  <c r="C1818" i="1"/>
  <c r="C1798" i="1"/>
  <c r="C1806" i="1"/>
  <c r="C1810" i="1"/>
  <c r="C1786" i="1"/>
  <c r="C1802" i="1"/>
  <c r="C1788" i="1"/>
  <c r="C1796" i="1"/>
  <c r="C1799" i="1"/>
  <c r="C1784" i="1"/>
  <c r="C1785" i="1"/>
  <c r="C1803" i="1"/>
  <c r="C1807" i="1"/>
  <c r="C1811" i="1"/>
  <c r="C1813" i="1"/>
  <c r="C1789" i="1"/>
  <c r="C1797" i="1"/>
  <c r="C1800" i="1"/>
  <c r="C1794" i="1"/>
  <c r="C1787" i="1"/>
  <c r="C1804" i="1"/>
  <c r="C1808" i="1"/>
  <c r="C1812" i="1"/>
  <c r="C1801" i="1"/>
  <c r="C1790" i="1"/>
  <c r="C1793" i="1"/>
  <c r="C1782" i="1"/>
  <c r="C1783" i="1"/>
  <c r="C1805" i="1"/>
  <c r="C1809" i="1"/>
  <c r="C1792" i="1"/>
  <c r="C1791" i="1"/>
  <c r="C1795" i="1"/>
  <c r="C1773" i="1"/>
  <c r="C1779" i="1"/>
  <c r="C1770" i="1"/>
  <c r="C1765" i="1"/>
  <c r="C1772" i="1"/>
  <c r="C1780" i="1"/>
  <c r="C1771" i="1"/>
  <c r="C1766" i="1"/>
  <c r="C1774" i="1"/>
  <c r="C1781" i="1"/>
  <c r="C1769" i="1"/>
  <c r="C1767" i="1"/>
  <c r="C1764" i="1"/>
  <c r="C1775" i="1"/>
  <c r="C1761" i="1"/>
  <c r="C1762" i="1"/>
  <c r="C1759" i="1"/>
  <c r="C1776" i="1"/>
  <c r="C1768" i="1"/>
  <c r="C1763" i="1"/>
  <c r="C1777" i="1"/>
  <c r="C1778" i="1"/>
  <c r="C1760" i="1"/>
  <c r="C1739" i="1"/>
  <c r="C1745" i="1"/>
  <c r="C1754" i="1"/>
  <c r="C1740" i="1"/>
  <c r="C1753" i="1"/>
  <c r="C1738" i="1"/>
  <c r="C1748" i="1"/>
  <c r="C1751" i="1"/>
  <c r="C1755" i="1"/>
  <c r="C1734" i="1"/>
  <c r="C1741" i="1"/>
  <c r="C1736" i="1"/>
  <c r="C1756" i="1"/>
  <c r="C1749" i="1"/>
  <c r="C1742" i="1"/>
  <c r="C1735" i="1"/>
  <c r="C1757" i="1"/>
  <c r="C1750" i="1"/>
  <c r="C1743" i="1"/>
  <c r="C1744" i="1"/>
  <c r="C1758" i="1"/>
  <c r="C1746" i="1"/>
  <c r="C1752" i="1"/>
  <c r="C1747" i="1"/>
  <c r="C1737" i="1"/>
  <c r="C1728" i="1"/>
  <c r="C1729" i="1"/>
  <c r="C1730" i="1"/>
  <c r="C1731" i="1"/>
  <c r="C1732" i="1"/>
  <c r="C1733" i="1"/>
  <c r="C1710" i="1"/>
  <c r="C1718" i="1"/>
  <c r="C1723" i="1"/>
  <c r="C1712" i="1"/>
  <c r="C1711" i="1"/>
  <c r="C1719" i="1"/>
  <c r="C1717" i="1"/>
  <c r="C1724" i="1"/>
  <c r="C1715" i="1"/>
  <c r="C1722" i="1"/>
  <c r="C1720" i="1"/>
  <c r="C1725" i="1"/>
  <c r="C1709" i="1"/>
  <c r="C1714" i="1"/>
  <c r="C1721" i="1"/>
  <c r="C1726" i="1"/>
  <c r="C1713" i="1"/>
  <c r="C1727" i="1"/>
  <c r="C1716" i="1"/>
  <c r="C1693" i="1"/>
  <c r="C1697" i="1"/>
  <c r="C1691" i="1"/>
  <c r="C1705" i="1"/>
  <c r="C1686" i="1"/>
  <c r="C1703" i="1"/>
  <c r="C1692" i="1"/>
  <c r="C1698" i="1"/>
  <c r="C1694" i="1"/>
  <c r="C1687" i="1"/>
  <c r="C1706" i="1"/>
  <c r="C1699" i="1"/>
  <c r="C1683" i="1"/>
  <c r="C1688" i="1"/>
  <c r="C1685" i="1"/>
  <c r="C1695" i="1"/>
  <c r="C1700" i="1"/>
  <c r="C1684" i="1"/>
  <c r="C1707" i="1"/>
  <c r="C1689" i="1"/>
  <c r="C1704" i="1"/>
  <c r="C1701" i="1"/>
  <c r="C1696" i="1"/>
  <c r="C1690" i="1"/>
  <c r="C1708" i="1"/>
  <c r="C1702" i="1"/>
  <c r="C1673" i="1"/>
  <c r="C1679" i="1"/>
  <c r="C1660" i="1"/>
  <c r="C1662" i="1"/>
  <c r="C1661" i="1"/>
  <c r="C1672" i="1"/>
  <c r="C1674" i="1"/>
  <c r="C1668" i="1"/>
  <c r="C1663" i="1"/>
  <c r="C1680" i="1"/>
  <c r="C1675" i="1"/>
  <c r="C1669" i="1"/>
  <c r="C1664" i="1"/>
  <c r="C1681" i="1"/>
  <c r="C1676" i="1"/>
  <c r="C1658" i="1"/>
  <c r="C1665" i="1"/>
  <c r="C1670" i="1"/>
  <c r="C1677" i="1"/>
  <c r="C1682" i="1"/>
  <c r="C1666" i="1"/>
  <c r="C1659" i="1"/>
  <c r="C1667" i="1"/>
  <c r="C1678" i="1"/>
  <c r="C1671" i="1"/>
  <c r="C1657" i="1"/>
  <c r="C1648" i="1"/>
  <c r="C1654" i="1"/>
  <c r="C1649" i="1"/>
  <c r="C1635" i="1"/>
  <c r="C1636" i="1"/>
  <c r="C1643" i="1"/>
  <c r="C1642" i="1"/>
  <c r="C1650" i="1"/>
  <c r="C1655" i="1"/>
  <c r="C1639" i="1"/>
  <c r="C1638" i="1"/>
  <c r="C1651" i="1"/>
  <c r="C1644" i="1"/>
  <c r="C1640" i="1"/>
  <c r="C1656" i="1"/>
  <c r="C1652" i="1"/>
  <c r="C1637" i="1"/>
  <c r="C1647" i="1"/>
  <c r="C1645" i="1"/>
  <c r="C1641" i="1"/>
  <c r="C1634" i="1"/>
  <c r="C1653" i="1"/>
  <c r="C1646" i="1"/>
  <c r="C1610" i="1"/>
  <c r="C1616" i="1"/>
  <c r="C1633" i="1"/>
  <c r="C1628" i="1"/>
  <c r="C1623" i="1"/>
  <c r="C1617" i="1"/>
  <c r="C1632" i="1"/>
  <c r="C1612" i="1"/>
  <c r="C1629" i="1"/>
  <c r="C1624" i="1"/>
  <c r="C1618" i="1"/>
  <c r="C1613" i="1"/>
  <c r="C1630" i="1"/>
  <c r="C1625" i="1"/>
  <c r="C1622" i="1"/>
  <c r="C1614" i="1"/>
  <c r="C1619" i="1"/>
  <c r="C1626" i="1"/>
  <c r="C1631" i="1"/>
  <c r="C1621" i="1"/>
  <c r="C1611" i="1"/>
  <c r="C1627" i="1"/>
  <c r="C1615" i="1"/>
  <c r="C1620" i="1"/>
  <c r="C1587" i="1"/>
  <c r="C1598" i="1"/>
  <c r="C1582" i="1"/>
  <c r="C1599" i="1"/>
  <c r="C1603" i="1"/>
  <c r="C1594" i="1"/>
  <c r="C1588" i="1"/>
  <c r="C1580" i="1"/>
  <c r="C1606" i="1"/>
  <c r="C1600" i="1"/>
  <c r="C1592" i="1"/>
  <c r="C1591" i="1"/>
  <c r="C1590" i="1"/>
  <c r="C1589" i="1"/>
  <c r="C1604" i="1"/>
  <c r="C1583" i="1"/>
  <c r="C1593" i="1"/>
  <c r="C1609" i="1"/>
  <c r="C1601" i="1"/>
  <c r="C1596" i="1"/>
  <c r="C1595" i="1"/>
  <c r="C1597" i="1"/>
  <c r="C1579" i="1"/>
  <c r="C1584" i="1"/>
  <c r="C1576" i="1"/>
  <c r="C1607" i="1"/>
  <c r="C1586" i="1"/>
  <c r="C1577" i="1"/>
  <c r="C1581" i="1"/>
  <c r="C1585" i="1"/>
  <c r="C1605" i="1"/>
  <c r="C1578" i="1"/>
  <c r="C1602" i="1"/>
  <c r="C1608" i="1"/>
  <c r="C1563" i="1"/>
  <c r="C1558" i="1"/>
  <c r="C1575" i="1"/>
  <c r="C1570" i="1"/>
  <c r="C1573" i="1"/>
  <c r="C1564" i="1"/>
  <c r="C1562" i="1"/>
  <c r="C1554" i="1"/>
  <c r="C1557" i="1"/>
  <c r="C1572" i="1"/>
  <c r="C1566" i="1"/>
  <c r="C1559" i="1"/>
  <c r="C1555" i="1"/>
  <c r="C1571" i="1"/>
  <c r="C1567" i="1"/>
  <c r="C1574" i="1"/>
  <c r="C1561" i="1"/>
  <c r="C1556" i="1"/>
  <c r="C1565" i="1"/>
  <c r="C1568" i="1"/>
  <c r="C1560" i="1"/>
  <c r="C1569" i="1"/>
  <c r="C1531" i="1"/>
  <c r="C1536" i="1"/>
  <c r="C1552" i="1"/>
  <c r="C1543" i="1"/>
  <c r="C1548" i="1"/>
  <c r="C1532" i="1"/>
  <c r="C1530" i="1"/>
  <c r="C1542" i="1"/>
  <c r="C1544" i="1"/>
  <c r="C1537" i="1"/>
  <c r="C1540" i="1"/>
  <c r="C1533" i="1"/>
  <c r="C1549" i="1"/>
  <c r="C1545" i="1"/>
  <c r="C1538" i="1"/>
  <c r="C1534" i="1"/>
  <c r="C1550" i="1"/>
  <c r="C1546" i="1"/>
  <c r="C1541" i="1"/>
  <c r="C1547" i="1"/>
  <c r="C1529" i="1"/>
  <c r="C1539" i="1"/>
  <c r="C1535" i="1"/>
  <c r="C1551" i="1"/>
  <c r="C1553" i="1"/>
  <c r="C1512" i="1"/>
  <c r="C1517" i="1"/>
  <c r="C1518" i="1"/>
  <c r="C1515" i="1"/>
  <c r="C1524" i="1"/>
  <c r="C1523" i="1"/>
  <c r="C1509" i="1"/>
  <c r="C1525" i="1"/>
  <c r="C1522" i="1"/>
  <c r="C1520" i="1"/>
  <c r="C1513" i="1"/>
  <c r="C1516" i="1"/>
  <c r="C1511" i="1"/>
  <c r="C1526" i="1"/>
  <c r="C1519" i="1"/>
  <c r="C1521" i="1"/>
  <c r="C1510" i="1"/>
  <c r="C1528" i="1"/>
  <c r="C1527" i="1"/>
  <c r="C1508" i="1"/>
  <c r="C1514" i="1"/>
  <c r="C1497" i="1"/>
  <c r="C1498" i="1"/>
  <c r="C1499" i="1"/>
  <c r="C1500" i="1"/>
  <c r="C1501" i="1"/>
  <c r="C1502" i="1"/>
  <c r="C1503" i="1"/>
  <c r="C1504" i="1"/>
  <c r="C1505" i="1"/>
  <c r="C1506" i="1"/>
  <c r="C1507" i="1"/>
  <c r="C1485" i="1"/>
  <c r="C1495" i="1"/>
  <c r="C1486" i="1"/>
  <c r="C1487" i="1"/>
  <c r="C1488" i="1"/>
  <c r="C1489" i="1"/>
  <c r="C1490" i="1"/>
  <c r="C1491" i="1"/>
  <c r="C1496" i="1"/>
  <c r="C1492" i="1"/>
  <c r="C1484" i="1"/>
  <c r="C1493" i="1"/>
  <c r="C1494" i="1"/>
  <c r="C1478" i="1"/>
  <c r="C1479" i="1"/>
  <c r="C1480" i="1"/>
  <c r="C1481" i="1"/>
  <c r="C1482" i="1"/>
  <c r="C1483" i="1"/>
  <c r="C1477" i="1"/>
  <c r="C1474" i="1"/>
  <c r="C1473" i="1"/>
  <c r="C1472" i="1"/>
  <c r="C1471" i="1"/>
  <c r="C1475" i="1"/>
  <c r="C1464" i="1"/>
  <c r="C1476" i="1"/>
  <c r="C1470" i="1"/>
  <c r="C1465" i="1"/>
  <c r="C1466" i="1"/>
  <c r="C1467" i="1"/>
  <c r="C1468" i="1"/>
  <c r="C1469" i="1"/>
  <c r="C1463" i="1"/>
  <c r="C1458" i="1"/>
  <c r="C1452" i="1"/>
  <c r="C1448" i="1"/>
  <c r="C1443" i="1"/>
  <c r="C1444" i="1"/>
  <c r="C1435" i="1"/>
  <c r="C1453" i="1"/>
  <c r="C1441" i="1"/>
  <c r="C1447" i="1"/>
  <c r="C1449" i="1"/>
  <c r="C1445" i="1"/>
  <c r="C1438" i="1"/>
  <c r="C1440" i="1"/>
  <c r="C1459" i="1"/>
  <c r="C1442" i="1"/>
  <c r="C1457" i="1"/>
  <c r="C1451" i="1"/>
  <c r="C1460" i="1"/>
  <c r="C1454" i="1"/>
  <c r="C1456" i="1"/>
  <c r="C1461" i="1"/>
  <c r="C1455" i="1"/>
  <c r="C1462" i="1"/>
  <c r="C1439" i="1"/>
  <c r="C1446" i="1"/>
  <c r="C1450" i="1"/>
  <c r="C1423" i="1"/>
  <c r="C1416" i="1"/>
  <c r="C1410" i="1"/>
  <c r="C1415" i="1"/>
  <c r="C1420" i="1"/>
  <c r="C1412" i="1"/>
  <c r="C1430" i="1"/>
  <c r="C1408" i="1"/>
  <c r="C1432" i="1"/>
  <c r="C1428" i="1"/>
  <c r="C1421" i="1"/>
  <c r="C1424" i="1"/>
  <c r="C1434" i="1"/>
  <c r="C1409" i="1"/>
  <c r="C1419" i="1"/>
  <c r="C1394" i="1"/>
  <c r="C1399" i="1"/>
  <c r="C1389" i="1"/>
  <c r="C1405" i="1"/>
  <c r="C1387" i="1"/>
  <c r="C1391" i="1"/>
  <c r="C1407" i="1"/>
  <c r="C1400" i="1"/>
  <c r="C1402" i="1"/>
  <c r="C1403" i="1"/>
  <c r="C1392" i="1"/>
  <c r="C1385" i="1"/>
  <c r="C1406" i="1"/>
  <c r="C1383" i="1"/>
  <c r="C1388" i="1"/>
  <c r="C1397" i="1"/>
  <c r="C1373" i="1"/>
  <c r="C1376" i="1"/>
  <c r="C1374" i="1"/>
  <c r="C1368" i="1"/>
  <c r="C1364" i="1"/>
  <c r="C1372" i="1"/>
  <c r="C1361" i="1"/>
  <c r="C1355" i="1"/>
  <c r="C1381" i="1"/>
  <c r="C1358" i="1"/>
  <c r="C1382" i="1"/>
  <c r="C1365" i="1"/>
  <c r="C1359" i="1"/>
  <c r="C1366" i="1"/>
  <c r="C1363" i="1"/>
  <c r="C1327" i="1"/>
  <c r="C1332" i="1"/>
  <c r="C1348" i="1"/>
  <c r="C1325" i="1"/>
  <c r="C1331" i="1"/>
  <c r="C1339" i="1"/>
  <c r="C1352" i="1"/>
  <c r="C1329" i="1"/>
  <c r="C1345" i="1"/>
  <c r="C1354" i="1"/>
  <c r="C1344" i="1"/>
  <c r="C1337" i="1"/>
  <c r="C1330" i="1"/>
  <c r="C1335" i="1"/>
  <c r="C1349" i="1"/>
  <c r="C1326" i="1"/>
  <c r="C1342" i="1"/>
  <c r="C1328" i="1"/>
  <c r="C1347" i="1"/>
  <c r="C1346" i="1"/>
  <c r="C1311" i="1"/>
  <c r="C1304" i="1"/>
  <c r="C1299" i="1"/>
  <c r="C1292" i="1"/>
  <c r="C1305" i="1"/>
  <c r="C1321" i="1"/>
  <c r="C1300" i="1"/>
  <c r="C1323" i="1"/>
  <c r="C1318" i="1"/>
  <c r="C1302" i="1"/>
  <c r="C1319" i="1"/>
  <c r="C1324" i="1"/>
  <c r="C1307" i="1"/>
  <c r="C1293" i="1"/>
  <c r="C1309" i="1"/>
  <c r="C1316" i="1"/>
  <c r="C1301" i="1"/>
  <c r="C1296" i="1"/>
  <c r="C1298" i="1"/>
  <c r="C1315" i="1"/>
  <c r="C1297" i="1"/>
  <c r="C1314" i="1"/>
  <c r="C1303" i="1"/>
  <c r="C1306" i="1"/>
  <c r="C1317" i="1"/>
  <c r="C1277" i="1"/>
  <c r="C1286" i="1"/>
  <c r="C1270" i="1"/>
  <c r="C1271" i="1"/>
  <c r="C1288" i="1"/>
  <c r="C1282" i="1"/>
  <c r="C1274" i="1"/>
  <c r="C1289" i="1"/>
  <c r="C1290" i="1"/>
  <c r="C1269" i="1"/>
  <c r="C1279" i="1"/>
  <c r="C1276" i="1"/>
  <c r="C1287" i="1"/>
  <c r="C1278" i="1"/>
  <c r="C1273" i="1"/>
  <c r="C1275" i="1"/>
  <c r="C1281" i="1"/>
  <c r="C1283" i="1"/>
  <c r="C1280" i="1"/>
  <c r="C1268" i="1"/>
  <c r="C1237" i="1"/>
  <c r="C119" i="1"/>
  <c r="C1234" i="1"/>
  <c r="C121" i="1"/>
  <c r="C1238" i="1"/>
  <c r="C556" i="1"/>
  <c r="C1241" i="1"/>
  <c r="C1245" i="1"/>
  <c r="C555" i="1"/>
  <c r="C122" i="1"/>
  <c r="C645" i="1"/>
  <c r="C1239" i="1"/>
  <c r="C557" i="1"/>
  <c r="C1236" i="1"/>
  <c r="C699" i="1"/>
  <c r="C1243" i="1"/>
  <c r="C120" i="1"/>
  <c r="C547" i="1"/>
  <c r="C117" i="1"/>
  <c r="C1229" i="1"/>
  <c r="C1228" i="1"/>
  <c r="C1233" i="1"/>
  <c r="C554" i="1"/>
  <c r="C552" i="1"/>
  <c r="C1231" i="1"/>
  <c r="C551" i="1"/>
  <c r="C1223" i="1"/>
  <c r="C1220" i="1"/>
  <c r="C549" i="1"/>
  <c r="C553" i="1"/>
  <c r="C166" i="1"/>
  <c r="C644" i="1"/>
  <c r="C698" i="1"/>
  <c r="C118" i="1"/>
  <c r="C1222" i="1"/>
  <c r="C1224" i="1"/>
  <c r="C550" i="1"/>
  <c r="C548" i="1"/>
  <c r="C1221" i="1"/>
  <c r="C1225" i="1"/>
  <c r="C1230" i="1"/>
  <c r="C1227" i="1"/>
  <c r="C545" i="1"/>
  <c r="C165" i="1"/>
  <c r="C164" i="1"/>
  <c r="C541" i="1"/>
  <c r="C1206" i="1"/>
  <c r="C113" i="1"/>
  <c r="C1216" i="1"/>
  <c r="C1215" i="1"/>
  <c r="C1208" i="1"/>
  <c r="C1207" i="1"/>
  <c r="C114" i="1"/>
  <c r="C1205" i="1"/>
  <c r="C1210" i="1"/>
  <c r="C582" i="1"/>
  <c r="C695" i="1"/>
  <c r="C696" i="1"/>
  <c r="C643" i="1"/>
  <c r="C1214" i="1"/>
  <c r="C115" i="1"/>
  <c r="C1212" i="1"/>
  <c r="C1218" i="1"/>
  <c r="C1193" i="1"/>
  <c r="C1202" i="1"/>
  <c r="C1199" i="1"/>
  <c r="C1197" i="1"/>
  <c r="C111" i="1"/>
  <c r="C1204" i="1"/>
  <c r="C1201" i="1"/>
  <c r="C641" i="1"/>
  <c r="C1203" i="1"/>
  <c r="C110" i="1"/>
  <c r="C540" i="1"/>
  <c r="C1264" i="1"/>
  <c r="C581" i="1"/>
  <c r="C1195" i="1"/>
  <c r="C1200" i="1"/>
  <c r="C640" i="1"/>
  <c r="C112" i="1"/>
  <c r="C538" i="1"/>
  <c r="C1194" i="1"/>
  <c r="C1192" i="1"/>
  <c r="C639" i="1"/>
  <c r="C536" i="1"/>
  <c r="C1188" i="1"/>
  <c r="C1186" i="1"/>
  <c r="C1185" i="1"/>
  <c r="C1182" i="1"/>
  <c r="C109" i="1"/>
  <c r="C535" i="1"/>
  <c r="C638" i="1"/>
  <c r="C580" i="1"/>
  <c r="C1191" i="1"/>
  <c r="C1190" i="1"/>
  <c r="C694" i="1"/>
  <c r="C1184" i="1"/>
  <c r="C637" i="1"/>
  <c r="C108" i="1"/>
  <c r="C533" i="1"/>
  <c r="C1180" i="1"/>
  <c r="C1177" i="1"/>
  <c r="C1262" i="1"/>
  <c r="C1263" i="1"/>
  <c r="C106" i="1"/>
  <c r="C1178" i="1"/>
  <c r="C107" i="1"/>
  <c r="C692" i="1"/>
  <c r="C532" i="1"/>
  <c r="C1157" i="1"/>
  <c r="C517" i="1"/>
  <c r="C1161" i="1"/>
  <c r="C1159" i="1"/>
  <c r="C1173" i="1"/>
  <c r="C530" i="1"/>
  <c r="C635" i="1"/>
  <c r="C636" i="1"/>
  <c r="C1171" i="1"/>
  <c r="C523" i="1"/>
  <c r="C1169" i="1"/>
  <c r="C1166" i="1"/>
  <c r="C521" i="1"/>
  <c r="C105" i="1"/>
  <c r="C518" i="1"/>
  <c r="C1160" i="1"/>
  <c r="C1174" i="1"/>
  <c r="C531" i="1"/>
  <c r="C520" i="1"/>
  <c r="C1170" i="1"/>
  <c r="C1167" i="1"/>
  <c r="C522" i="1"/>
  <c r="C1175" i="1"/>
  <c r="C1164" i="1"/>
  <c r="C519" i="1"/>
  <c r="C1158" i="1"/>
  <c r="C529" i="1"/>
  <c r="C1156" i="1"/>
  <c r="C526" i="1"/>
  <c r="C1168" i="1"/>
  <c r="C1137" i="1"/>
  <c r="C1155" i="1"/>
  <c r="C1145" i="1"/>
  <c r="C513" i="1"/>
  <c r="C1150" i="1"/>
  <c r="C1153" i="1"/>
  <c r="C512" i="1"/>
  <c r="C1144" i="1"/>
  <c r="C102" i="1"/>
  <c r="C511" i="1"/>
  <c r="C1143" i="1"/>
  <c r="C691" i="1"/>
  <c r="C1141" i="1"/>
  <c r="C1142" i="1"/>
  <c r="C1138" i="1"/>
  <c r="C1149" i="1"/>
  <c r="C103" i="1"/>
  <c r="C506" i="1"/>
  <c r="C516" i="1"/>
  <c r="C1136" i="1"/>
  <c r="C1147" i="1"/>
  <c r="C515" i="1"/>
  <c r="C1148" i="1"/>
  <c r="C690" i="1"/>
  <c r="C1152" i="1"/>
  <c r="C104" i="1"/>
  <c r="C510" i="1"/>
  <c r="C634" i="1"/>
  <c r="C1139" i="1"/>
  <c r="C689" i="1"/>
  <c r="C1151" i="1"/>
  <c r="C1154" i="1"/>
  <c r="C514" i="1"/>
  <c r="C1140" i="1"/>
  <c r="C507" i="1"/>
  <c r="C1129" i="1"/>
  <c r="C633" i="1"/>
  <c r="C498" i="1"/>
  <c r="C99" i="1"/>
  <c r="C505" i="1"/>
  <c r="C1131" i="1"/>
  <c r="C500" i="1"/>
  <c r="C97" i="1"/>
  <c r="C98" i="1"/>
  <c r="C493" i="1"/>
  <c r="C1133" i="1"/>
  <c r="C502" i="1"/>
  <c r="C100" i="1"/>
  <c r="C579" i="1"/>
  <c r="C1130" i="1"/>
  <c r="C1261" i="1"/>
  <c r="C504" i="1"/>
  <c r="C497" i="1"/>
  <c r="C1135" i="1"/>
  <c r="C1132" i="1"/>
  <c r="C495" i="1"/>
  <c r="C1134" i="1"/>
  <c r="C1128" i="1"/>
  <c r="C492" i="1"/>
  <c r="C96" i="1"/>
  <c r="C496" i="1"/>
  <c r="C1113" i="1"/>
  <c r="C482" i="1"/>
  <c r="C491" i="1"/>
  <c r="C1115" i="1"/>
  <c r="C95" i="1"/>
  <c r="C1112" i="1"/>
  <c r="C1125" i="1"/>
  <c r="C1120" i="1"/>
  <c r="C1124" i="1"/>
  <c r="C1122" i="1"/>
  <c r="C1116" i="1"/>
  <c r="C1114" i="1"/>
  <c r="C1127" i="1"/>
  <c r="C1117" i="1"/>
  <c r="C484" i="1"/>
  <c r="C631" i="1"/>
  <c r="C481" i="1"/>
  <c r="C1123" i="1"/>
  <c r="C688" i="1"/>
  <c r="C489" i="1"/>
  <c r="C632" i="1"/>
  <c r="C490" i="1"/>
  <c r="C1121" i="1"/>
  <c r="C488" i="1"/>
  <c r="C1118" i="1"/>
  <c r="C485" i="1"/>
  <c r="C487" i="1"/>
  <c r="C486" i="1"/>
  <c r="C1103" i="1"/>
  <c r="C478" i="1"/>
  <c r="C473" i="1"/>
  <c r="C1104" i="1"/>
  <c r="C479" i="1"/>
  <c r="C93" i="1"/>
  <c r="C1111" i="1"/>
  <c r="C474" i="1"/>
  <c r="C475" i="1"/>
  <c r="C480" i="1"/>
  <c r="C1106" i="1"/>
  <c r="C1107" i="1"/>
  <c r="C1100" i="1"/>
  <c r="C1110" i="1"/>
  <c r="C1098" i="1"/>
  <c r="C472" i="1"/>
  <c r="C1097" i="1"/>
  <c r="C630" i="1"/>
  <c r="C1105" i="1"/>
  <c r="C687" i="1"/>
  <c r="C1099" i="1"/>
  <c r="C578" i="1"/>
  <c r="C471" i="1"/>
  <c r="C1102" i="1"/>
  <c r="C1101" i="1"/>
  <c r="C469" i="1"/>
  <c r="C477" i="1"/>
  <c r="C628" i="1"/>
  <c r="C88" i="1"/>
  <c r="C466" i="1"/>
  <c r="C1085" i="1"/>
  <c r="C1092" i="1"/>
  <c r="C1086" i="1"/>
  <c r="C1093" i="1"/>
  <c r="C1091" i="1"/>
  <c r="C467" i="1"/>
  <c r="C1090" i="1"/>
  <c r="C627" i="1"/>
  <c r="C465" i="1"/>
  <c r="C629" i="1"/>
  <c r="C1087" i="1"/>
  <c r="C90" i="1"/>
  <c r="C685" i="1"/>
  <c r="C1095" i="1"/>
  <c r="C1088" i="1"/>
  <c r="C577" i="1"/>
  <c r="C464" i="1"/>
  <c r="C1094" i="1"/>
  <c r="C686" i="1"/>
  <c r="C89" i="1"/>
  <c r="C461" i="1"/>
  <c r="C468" i="1"/>
  <c r="C462" i="1"/>
  <c r="C1260" i="1"/>
  <c r="C86" i="1"/>
  <c r="C1071" i="1"/>
  <c r="C458" i="1"/>
  <c r="C460" i="1"/>
  <c r="C1078" i="1"/>
  <c r="C1072" i="1"/>
  <c r="C459" i="1"/>
  <c r="C1079" i="1"/>
  <c r="C87" i="1"/>
  <c r="C1080" i="1"/>
  <c r="C1083" i="1"/>
  <c r="C1074" i="1"/>
  <c r="C576" i="1"/>
  <c r="C1077" i="1"/>
  <c r="C625" i="1"/>
  <c r="C626" i="1"/>
  <c r="C457" i="1"/>
  <c r="C1076" i="1"/>
  <c r="C456" i="1"/>
  <c r="C1073" i="1"/>
  <c r="C1259" i="1"/>
  <c r="C1081" i="1"/>
  <c r="C684" i="1"/>
  <c r="C454" i="1"/>
  <c r="C452" i="1"/>
  <c r="C455" i="1"/>
  <c r="C453" i="1"/>
  <c r="C1070" i="1"/>
  <c r="C451" i="1"/>
  <c r="C1069" i="1"/>
  <c r="C1068" i="1"/>
  <c r="C623" i="1"/>
  <c r="C624" i="1"/>
  <c r="C85" i="1"/>
  <c r="C1062" i="1"/>
  <c r="C683" i="1"/>
  <c r="C1064" i="1"/>
  <c r="C1063" i="1"/>
  <c r="C1066" i="1"/>
  <c r="C1065" i="1"/>
  <c r="C1067" i="1"/>
  <c r="C1061" i="1"/>
  <c r="C84" i="1"/>
  <c r="C575" i="1"/>
  <c r="C1060" i="1"/>
  <c r="C445" i="1"/>
  <c r="C446" i="1"/>
  <c r="C1059" i="1"/>
  <c r="C447" i="1"/>
  <c r="C448" i="1"/>
  <c r="C449" i="1"/>
  <c r="C450" i="1"/>
  <c r="C83" i="1"/>
  <c r="C82" i="1"/>
  <c r="C682" i="1"/>
  <c r="C1055" i="1"/>
  <c r="C1053" i="1"/>
  <c r="C1056" i="1"/>
  <c r="C1054" i="1"/>
  <c r="C1052" i="1"/>
  <c r="C81" i="1"/>
  <c r="C1051" i="1"/>
  <c r="C1050" i="1"/>
  <c r="C80" i="1"/>
  <c r="C442" i="1"/>
  <c r="C444" i="1"/>
  <c r="C440" i="1"/>
  <c r="C443" i="1"/>
  <c r="C574" i="1"/>
  <c r="C441" i="1"/>
  <c r="C1049" i="1"/>
  <c r="C1048" i="1"/>
  <c r="C1044" i="1"/>
  <c r="C1258" i="1"/>
  <c r="C79" i="1"/>
  <c r="C1039" i="1"/>
  <c r="C1045" i="1"/>
  <c r="C622" i="1"/>
  <c r="C1040" i="1"/>
  <c r="C1042" i="1"/>
  <c r="C1046" i="1"/>
  <c r="C1041" i="1"/>
  <c r="C573" i="1"/>
  <c r="C78" i="1"/>
  <c r="C680" i="1"/>
  <c r="C681" i="1"/>
  <c r="C1043" i="1"/>
  <c r="C1047" i="1"/>
  <c r="C1036" i="1"/>
  <c r="C1038" i="1"/>
  <c r="C1035" i="1"/>
  <c r="C431" i="1"/>
  <c r="C433" i="1"/>
  <c r="C438" i="1"/>
  <c r="C436" i="1"/>
  <c r="C432" i="1"/>
  <c r="C437" i="1"/>
  <c r="C434" i="1"/>
  <c r="C435" i="1"/>
  <c r="C430" i="1"/>
  <c r="C572" i="1"/>
  <c r="C1034" i="1"/>
  <c r="C571" i="1"/>
  <c r="C1028" i="1"/>
  <c r="C1029" i="1"/>
  <c r="C77" i="1"/>
  <c r="C1030" i="1"/>
  <c r="C1031" i="1"/>
  <c r="C1032" i="1"/>
  <c r="C1027" i="1"/>
  <c r="C1033" i="1"/>
  <c r="C1026" i="1"/>
  <c r="C679" i="1"/>
  <c r="C1024" i="1"/>
  <c r="C427" i="1"/>
  <c r="C425" i="1"/>
  <c r="C424" i="1"/>
  <c r="C420" i="1"/>
  <c r="C429" i="1"/>
  <c r="C422" i="1"/>
  <c r="C428" i="1"/>
  <c r="C423" i="1"/>
  <c r="C426" i="1"/>
  <c r="C421" i="1"/>
  <c r="C161" i="1"/>
  <c r="C160" i="1"/>
  <c r="C75" i="1"/>
  <c r="C1022" i="1"/>
  <c r="C621" i="1"/>
  <c r="C570" i="1"/>
  <c r="C678" i="1"/>
  <c r="C1023" i="1"/>
  <c r="C1021" i="1"/>
  <c r="C76" i="1"/>
  <c r="C1019" i="1"/>
  <c r="C1020" i="1"/>
  <c r="C1018" i="1"/>
  <c r="C1015" i="1"/>
  <c r="C1013" i="1"/>
  <c r="C1016" i="1"/>
  <c r="C1014" i="1"/>
  <c r="C1017" i="1"/>
  <c r="C1012" i="1"/>
  <c r="C619" i="1"/>
  <c r="C1010" i="1"/>
  <c r="C415" i="1"/>
  <c r="C410" i="1"/>
  <c r="C1257" i="1"/>
  <c r="C73" i="1"/>
  <c r="C1008" i="1"/>
  <c r="C413" i="1"/>
  <c r="C568" i="1"/>
  <c r="C409" i="1"/>
  <c r="C418" i="1"/>
  <c r="C677" i="1"/>
  <c r="C419" i="1"/>
  <c r="C1007" i="1"/>
  <c r="C412" i="1"/>
  <c r="C72" i="1"/>
  <c r="C417" i="1"/>
  <c r="C1002" i="1"/>
  <c r="C1001" i="1"/>
  <c r="C1011" i="1"/>
  <c r="C416" i="1"/>
  <c r="C1003" i="1"/>
  <c r="C411" i="1"/>
  <c r="C1005" i="1"/>
  <c r="C620" i="1"/>
  <c r="C569" i="1"/>
  <c r="C1006" i="1"/>
  <c r="C1009" i="1"/>
  <c r="C1004" i="1"/>
  <c r="C996" i="1"/>
  <c r="C405" i="1"/>
  <c r="C993" i="1"/>
  <c r="C994" i="1"/>
  <c r="C402" i="1"/>
  <c r="C991" i="1"/>
  <c r="C618" i="1"/>
  <c r="C617" i="1"/>
  <c r="C404" i="1"/>
  <c r="C992" i="1"/>
  <c r="C68" i="1"/>
  <c r="C998" i="1"/>
  <c r="C406" i="1"/>
  <c r="C995" i="1"/>
  <c r="C403" i="1"/>
  <c r="C676" i="1"/>
  <c r="C159" i="1"/>
  <c r="C70" i="1"/>
  <c r="C997" i="1"/>
  <c r="C71" i="1"/>
  <c r="C401" i="1"/>
  <c r="C69" i="1"/>
  <c r="C1000" i="1"/>
  <c r="C999" i="1"/>
  <c r="C407" i="1"/>
  <c r="C408" i="1"/>
  <c r="C567" i="1"/>
  <c r="C400" i="1"/>
  <c r="C983" i="1"/>
  <c r="C393" i="1"/>
  <c r="C392" i="1"/>
  <c r="C66" i="1"/>
  <c r="C978" i="1"/>
  <c r="C979" i="1"/>
  <c r="C67" i="1"/>
  <c r="C982" i="1"/>
  <c r="C394" i="1"/>
  <c r="C985" i="1"/>
  <c r="C616" i="1"/>
  <c r="C990" i="1"/>
  <c r="C988" i="1"/>
  <c r="C398" i="1"/>
  <c r="C396" i="1"/>
  <c r="C989" i="1"/>
  <c r="C399" i="1"/>
  <c r="C987" i="1"/>
  <c r="C397" i="1"/>
  <c r="C980" i="1"/>
  <c r="C675" i="1"/>
  <c r="C986" i="1"/>
  <c r="C981" i="1"/>
  <c r="C1256" i="1"/>
  <c r="C65" i="1"/>
  <c r="C984" i="1"/>
  <c r="C566" i="1"/>
  <c r="C395" i="1"/>
  <c r="C63" i="1"/>
  <c r="C967" i="1"/>
  <c r="C972" i="1"/>
  <c r="C965" i="1"/>
  <c r="C62" i="1"/>
  <c r="C971" i="1"/>
  <c r="C973" i="1"/>
  <c r="C389" i="1"/>
  <c r="C385" i="1"/>
  <c r="C674" i="1"/>
  <c r="C975" i="1"/>
  <c r="C976" i="1"/>
  <c r="C966" i="1"/>
  <c r="C615" i="1"/>
  <c r="C384" i="1"/>
  <c r="C390" i="1"/>
  <c r="C974" i="1"/>
  <c r="C969" i="1"/>
  <c r="C386" i="1"/>
  <c r="C388" i="1"/>
  <c r="C64" i="1"/>
  <c r="C970" i="1"/>
  <c r="C387" i="1"/>
  <c r="C968" i="1"/>
  <c r="C391" i="1"/>
  <c r="C950" i="1"/>
  <c r="C379" i="1"/>
  <c r="C378" i="1"/>
  <c r="C376" i="1"/>
  <c r="C382" i="1"/>
  <c r="C964" i="1"/>
  <c r="C957" i="1"/>
  <c r="C373" i="1"/>
  <c r="C958" i="1"/>
  <c r="C952" i="1"/>
  <c r="C949" i="1"/>
  <c r="C58" i="1"/>
  <c r="C381" i="1"/>
  <c r="C375" i="1"/>
  <c r="C59" i="1"/>
  <c r="C960" i="1"/>
  <c r="C953" i="1"/>
  <c r="C962" i="1"/>
  <c r="C60" i="1"/>
  <c r="C383" i="1"/>
  <c r="C959" i="1"/>
  <c r="C380" i="1"/>
  <c r="C951" i="1"/>
  <c r="C61" i="1"/>
  <c r="C961" i="1"/>
  <c r="C377" i="1"/>
  <c r="C673" i="1"/>
  <c r="C374" i="1"/>
  <c r="C672" i="1"/>
  <c r="C954" i="1"/>
  <c r="C956" i="1"/>
  <c r="C955" i="1"/>
  <c r="C614" i="1"/>
  <c r="C613" i="1"/>
  <c r="C941" i="1"/>
  <c r="C372" i="1"/>
  <c r="C611" i="1"/>
  <c r="C945" i="1"/>
  <c r="C671" i="1"/>
  <c r="C939" i="1"/>
  <c r="C612" i="1"/>
  <c r="C947" i="1"/>
  <c r="C371" i="1"/>
  <c r="C364" i="1"/>
  <c r="C942" i="1"/>
  <c r="C362" i="1"/>
  <c r="C368" i="1"/>
  <c r="C565" i="1"/>
  <c r="C940" i="1"/>
  <c r="C363" i="1"/>
  <c r="C1255" i="1"/>
  <c r="C370" i="1"/>
  <c r="C369" i="1"/>
  <c r="C937" i="1"/>
  <c r="C943" i="1"/>
  <c r="C366" i="1"/>
  <c r="C938" i="1"/>
  <c r="C365" i="1"/>
  <c r="C944" i="1"/>
  <c r="C367" i="1"/>
  <c r="C946" i="1"/>
  <c r="C948" i="1"/>
  <c r="C670" i="1"/>
  <c r="C936" i="1"/>
  <c r="C57" i="1"/>
  <c r="C934" i="1"/>
  <c r="C935" i="1"/>
  <c r="C360" i="1"/>
  <c r="C359" i="1"/>
  <c r="C361" i="1"/>
  <c r="C931" i="1"/>
  <c r="C1254" i="1"/>
  <c r="C932" i="1"/>
  <c r="C933" i="1"/>
  <c r="C930" i="1"/>
  <c r="C669" i="1"/>
  <c r="C564" i="1"/>
  <c r="C928" i="1"/>
  <c r="C929" i="1"/>
  <c r="C56" i="1"/>
  <c r="C925" i="1"/>
  <c r="C926" i="1"/>
  <c r="C927" i="1"/>
  <c r="C923" i="1"/>
  <c r="C55" i="1"/>
  <c r="C921" i="1"/>
  <c r="C668" i="1"/>
  <c r="C563" i="1"/>
  <c r="C924" i="1"/>
  <c r="C54" i="1"/>
  <c r="C922" i="1"/>
  <c r="C351" i="1"/>
  <c r="C356" i="1"/>
  <c r="C358" i="1"/>
  <c r="C353" i="1"/>
  <c r="C350" i="1"/>
  <c r="C352" i="1"/>
  <c r="C355" i="1"/>
  <c r="C357" i="1"/>
  <c r="C354" i="1"/>
  <c r="C610" i="1"/>
  <c r="C919" i="1"/>
  <c r="C53" i="1"/>
  <c r="C920" i="1"/>
  <c r="C52" i="1"/>
  <c r="C915" i="1"/>
  <c r="C609" i="1"/>
  <c r="C913" i="1"/>
  <c r="C914" i="1"/>
  <c r="C918" i="1"/>
  <c r="C917" i="1"/>
  <c r="C912" i="1"/>
  <c r="C916" i="1"/>
  <c r="C910" i="1"/>
  <c r="C908" i="1"/>
  <c r="C907" i="1"/>
  <c r="C911" i="1"/>
  <c r="C909" i="1"/>
  <c r="C343" i="1"/>
  <c r="C349" i="1"/>
  <c r="C344" i="1"/>
  <c r="C348" i="1"/>
  <c r="C347" i="1"/>
  <c r="C346" i="1"/>
  <c r="C345" i="1"/>
  <c r="C49" i="1"/>
  <c r="C902" i="1"/>
  <c r="C903" i="1"/>
  <c r="C905" i="1"/>
  <c r="C899" i="1"/>
  <c r="C666" i="1"/>
  <c r="C667" i="1"/>
  <c r="C51" i="1"/>
  <c r="C50" i="1"/>
  <c r="C906" i="1"/>
  <c r="C901" i="1"/>
  <c r="C900" i="1"/>
  <c r="C904" i="1"/>
  <c r="C898" i="1"/>
  <c r="C48" i="1"/>
  <c r="C896" i="1"/>
  <c r="C897" i="1"/>
  <c r="C895" i="1"/>
  <c r="C341" i="1"/>
  <c r="C342" i="1"/>
  <c r="C608" i="1"/>
  <c r="C338" i="1"/>
  <c r="C340" i="1"/>
  <c r="C607" i="1"/>
  <c r="C339" i="1"/>
  <c r="C894" i="1"/>
  <c r="C47" i="1"/>
  <c r="C893" i="1"/>
  <c r="C891" i="1"/>
  <c r="C892" i="1"/>
  <c r="C890" i="1"/>
  <c r="C46" i="1"/>
  <c r="C332" i="1"/>
  <c r="C333" i="1"/>
  <c r="C334" i="1"/>
  <c r="C665" i="1"/>
  <c r="C336" i="1"/>
  <c r="C337" i="1"/>
  <c r="C331" i="1"/>
  <c r="C335" i="1"/>
  <c r="C889" i="1"/>
  <c r="C888" i="1"/>
  <c r="C44" i="1"/>
  <c r="C887" i="1"/>
  <c r="C886" i="1"/>
  <c r="C45" i="1"/>
  <c r="C881" i="1"/>
  <c r="C885" i="1"/>
  <c r="C664" i="1"/>
  <c r="C882" i="1"/>
  <c r="C884" i="1"/>
  <c r="C883" i="1"/>
  <c r="C880" i="1"/>
  <c r="C879" i="1"/>
  <c r="C877" i="1"/>
  <c r="C43" i="1"/>
  <c r="C878" i="1"/>
  <c r="C327" i="1"/>
  <c r="C330" i="1"/>
  <c r="C328" i="1"/>
  <c r="C329" i="1"/>
  <c r="C42" i="1"/>
  <c r="C874" i="1"/>
  <c r="C663" i="1"/>
  <c r="C876" i="1"/>
  <c r="C606" i="1"/>
  <c r="C875" i="1"/>
  <c r="C605" i="1"/>
  <c r="C1253" i="1"/>
  <c r="C41" i="1"/>
  <c r="C324" i="1"/>
  <c r="C868" i="1"/>
  <c r="C871" i="1"/>
  <c r="C322" i="1"/>
  <c r="C870" i="1"/>
  <c r="C317" i="1"/>
  <c r="C323" i="1"/>
  <c r="C326" i="1"/>
  <c r="C869" i="1"/>
  <c r="C316" i="1"/>
  <c r="C319" i="1"/>
  <c r="C321" i="1"/>
  <c r="C562" i="1"/>
  <c r="C872" i="1"/>
  <c r="C320" i="1"/>
  <c r="C873" i="1"/>
  <c r="C325" i="1"/>
  <c r="C318" i="1"/>
  <c r="C865" i="1"/>
  <c r="C604" i="1"/>
  <c r="C867" i="1"/>
  <c r="C866" i="1"/>
  <c r="C40" i="1"/>
  <c r="C662" i="1"/>
  <c r="C862" i="1"/>
  <c r="C864" i="1"/>
  <c r="C863" i="1"/>
  <c r="C861" i="1"/>
  <c r="C39" i="1"/>
  <c r="C855" i="1"/>
  <c r="C859" i="1"/>
  <c r="C311" i="1"/>
  <c r="C857" i="1"/>
  <c r="C155" i="1"/>
  <c r="C307" i="1"/>
  <c r="C858" i="1"/>
  <c r="C315" i="1"/>
  <c r="C153" i="1"/>
  <c r="C310" i="1"/>
  <c r="C853" i="1"/>
  <c r="C313" i="1"/>
  <c r="C154" i="1"/>
  <c r="C156" i="1"/>
  <c r="C309" i="1"/>
  <c r="C860" i="1"/>
  <c r="C38" i="1"/>
  <c r="C157" i="1"/>
  <c r="C306" i="1"/>
  <c r="C856" i="1"/>
  <c r="C854" i="1"/>
  <c r="C314" i="1"/>
  <c r="C312" i="1"/>
  <c r="C308" i="1"/>
  <c r="C158" i="1"/>
  <c r="C603" i="1"/>
  <c r="C1251" i="1"/>
  <c r="C852" i="1"/>
  <c r="C36" i="1"/>
  <c r="C850" i="1"/>
  <c r="C37" i="1"/>
  <c r="C661" i="1"/>
  <c r="C1252" i="1"/>
  <c r="C601" i="1"/>
  <c r="C851" i="1"/>
  <c r="C146" i="1"/>
  <c r="C849" i="1"/>
  <c r="C149" i="1"/>
  <c r="C845" i="1"/>
  <c r="C847" i="1"/>
  <c r="C152" i="1"/>
  <c r="C147" i="1"/>
  <c r="C846" i="1"/>
  <c r="C302" i="1"/>
  <c r="C150" i="1"/>
  <c r="C304" i="1"/>
  <c r="C848" i="1"/>
  <c r="C844" i="1"/>
  <c r="C151" i="1"/>
  <c r="C148" i="1"/>
  <c r="C305" i="1"/>
  <c r="C303" i="1"/>
  <c r="C840" i="1"/>
  <c r="C842" i="1"/>
  <c r="C660" i="1"/>
  <c r="C841" i="1"/>
  <c r="C600" i="1"/>
  <c r="C35" i="1"/>
  <c r="C843" i="1"/>
  <c r="C298" i="1"/>
  <c r="C300" i="1"/>
  <c r="C839" i="1"/>
  <c r="C143" i="1"/>
  <c r="C299" i="1"/>
  <c r="C145" i="1"/>
  <c r="C301" i="1"/>
  <c r="C144" i="1"/>
  <c r="C838" i="1"/>
  <c r="C835" i="1"/>
  <c r="C34" i="1"/>
  <c r="C834" i="1"/>
  <c r="C33" i="1"/>
  <c r="C836" i="1"/>
  <c r="C833" i="1"/>
  <c r="C837" i="1"/>
  <c r="C659" i="1"/>
  <c r="C826" i="1"/>
  <c r="C830" i="1"/>
  <c r="C829" i="1"/>
  <c r="C832" i="1"/>
  <c r="C599" i="1"/>
  <c r="C831" i="1"/>
  <c r="C827" i="1"/>
  <c r="C828" i="1"/>
  <c r="C287" i="1"/>
  <c r="C289" i="1"/>
  <c r="C292" i="1"/>
  <c r="C142" i="1"/>
  <c r="C297" i="1"/>
  <c r="C291" i="1"/>
  <c r="C295" i="1"/>
  <c r="C293" i="1"/>
  <c r="C141" i="1"/>
  <c r="C288" i="1"/>
  <c r="C290" i="1"/>
  <c r="C296" i="1"/>
  <c r="C294" i="1"/>
  <c r="C825" i="1"/>
  <c r="C823" i="1"/>
  <c r="C822" i="1"/>
  <c r="C1250" i="1"/>
  <c r="C824" i="1"/>
  <c r="C31" i="1"/>
  <c r="C32" i="1"/>
  <c r="C820" i="1"/>
  <c r="C598" i="1"/>
  <c r="C821" i="1"/>
  <c r="C597" i="1"/>
  <c r="C658" i="1"/>
  <c r="C277" i="1"/>
  <c r="C278" i="1"/>
  <c r="C30" i="1"/>
  <c r="C279" i="1"/>
  <c r="C283" i="1"/>
  <c r="C286" i="1"/>
  <c r="C276" i="1"/>
  <c r="C284" i="1"/>
  <c r="C282" i="1"/>
  <c r="C281" i="1"/>
  <c r="C140" i="1"/>
  <c r="C275" i="1"/>
  <c r="C285" i="1"/>
  <c r="C280" i="1"/>
  <c r="C819" i="1"/>
  <c r="C29" i="1"/>
  <c r="C810" i="1"/>
  <c r="C809" i="1"/>
  <c r="C813" i="1"/>
  <c r="C806" i="1"/>
  <c r="C818" i="1"/>
  <c r="C807" i="1"/>
  <c r="C816" i="1"/>
  <c r="C817" i="1"/>
  <c r="C811" i="1"/>
  <c r="C808" i="1"/>
  <c r="C28" i="1"/>
  <c r="C596" i="1"/>
  <c r="C815" i="1"/>
  <c r="C814" i="1"/>
  <c r="C812" i="1"/>
  <c r="C805" i="1"/>
  <c r="C139" i="1"/>
  <c r="C265" i="1"/>
  <c r="C137" i="1"/>
  <c r="C266" i="1"/>
  <c r="C272" i="1"/>
  <c r="C273" i="1"/>
  <c r="C274" i="1"/>
  <c r="C138" i="1"/>
  <c r="C267" i="1"/>
  <c r="C271" i="1"/>
  <c r="C269" i="1"/>
  <c r="C264" i="1"/>
  <c r="C270" i="1"/>
  <c r="C268" i="1"/>
  <c r="C263" i="1"/>
  <c r="C803" i="1"/>
  <c r="C657" i="1"/>
  <c r="C804" i="1"/>
  <c r="C27" i="1"/>
  <c r="C798" i="1"/>
  <c r="C595" i="1"/>
  <c r="C26" i="1"/>
  <c r="C799" i="1"/>
  <c r="C561" i="1"/>
  <c r="C801" i="1"/>
  <c r="C800" i="1"/>
  <c r="C802" i="1"/>
  <c r="C24" i="1"/>
  <c r="C25" i="1"/>
  <c r="C797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48" i="1"/>
  <c r="C796" i="1"/>
  <c r="C656" i="1"/>
  <c r="C795" i="1"/>
  <c r="C1249" i="1"/>
  <c r="C792" i="1"/>
  <c r="C594" i="1"/>
  <c r="C793" i="1"/>
  <c r="C794" i="1"/>
  <c r="C23" i="1"/>
  <c r="C790" i="1"/>
  <c r="C21" i="1"/>
  <c r="C22" i="1"/>
  <c r="C789" i="1"/>
  <c r="C655" i="1"/>
  <c r="C791" i="1"/>
  <c r="C788" i="1"/>
  <c r="C236" i="1"/>
  <c r="C239" i="1"/>
  <c r="C233" i="1"/>
  <c r="C238" i="1"/>
  <c r="C244" i="1"/>
  <c r="C237" i="1"/>
  <c r="C242" i="1"/>
  <c r="C241" i="1"/>
  <c r="C247" i="1"/>
  <c r="C245" i="1"/>
  <c r="C235" i="1"/>
  <c r="C234" i="1"/>
  <c r="C243" i="1"/>
  <c r="C246" i="1"/>
  <c r="C240" i="1"/>
  <c r="C787" i="1"/>
  <c r="C778" i="1"/>
  <c r="C782" i="1"/>
  <c r="C785" i="1"/>
  <c r="C784" i="1"/>
  <c r="C786" i="1"/>
  <c r="C654" i="1"/>
  <c r="C593" i="1"/>
  <c r="C781" i="1"/>
  <c r="C780" i="1"/>
  <c r="C779" i="1"/>
  <c r="C20" i="1"/>
  <c r="C783" i="1"/>
  <c r="C560" i="1"/>
  <c r="C777" i="1"/>
  <c r="C19" i="1"/>
  <c r="C653" i="1"/>
  <c r="C222" i="1"/>
  <c r="C230" i="1"/>
  <c r="C231" i="1"/>
  <c r="C136" i="1"/>
  <c r="C221" i="1"/>
  <c r="C225" i="1"/>
  <c r="C229" i="1"/>
  <c r="C220" i="1"/>
  <c r="C226" i="1"/>
  <c r="C232" i="1"/>
  <c r="C223" i="1"/>
  <c r="C224" i="1"/>
  <c r="C227" i="1"/>
  <c r="C228" i="1"/>
  <c r="C18" i="1"/>
  <c r="C774" i="1"/>
  <c r="C775" i="1"/>
  <c r="C772" i="1"/>
  <c r="C769" i="1"/>
  <c r="C592" i="1"/>
  <c r="C591" i="1"/>
  <c r="C771" i="1"/>
  <c r="C773" i="1"/>
  <c r="C776" i="1"/>
  <c r="C768" i="1"/>
  <c r="C770" i="1"/>
  <c r="C1248" i="1"/>
  <c r="C17" i="1"/>
  <c r="C16" i="1"/>
  <c r="C766" i="1"/>
  <c r="C764" i="1"/>
  <c r="C652" i="1"/>
  <c r="C765" i="1"/>
  <c r="C651" i="1"/>
  <c r="C767" i="1"/>
  <c r="C133" i="1"/>
  <c r="C219" i="1"/>
  <c r="C210" i="1"/>
  <c r="C211" i="1"/>
  <c r="C209" i="1"/>
  <c r="C215" i="1"/>
  <c r="C134" i="1"/>
  <c r="C213" i="1"/>
  <c r="C214" i="1"/>
  <c r="C135" i="1"/>
  <c r="C216" i="1"/>
  <c r="C212" i="1"/>
  <c r="C217" i="1"/>
  <c r="C218" i="1"/>
  <c r="C132" i="1"/>
  <c r="C760" i="1"/>
  <c r="C758" i="1"/>
  <c r="C759" i="1"/>
  <c r="C763" i="1"/>
  <c r="C762" i="1"/>
  <c r="C761" i="1"/>
  <c r="C1247" i="1"/>
  <c r="C590" i="1"/>
  <c r="C754" i="1"/>
  <c r="C751" i="1"/>
  <c r="C650" i="1"/>
  <c r="C750" i="1"/>
  <c r="C15" i="1"/>
  <c r="C755" i="1"/>
  <c r="C752" i="1"/>
  <c r="C753" i="1"/>
  <c r="C757" i="1"/>
  <c r="C756" i="1"/>
  <c r="C747" i="1"/>
  <c r="C749" i="1"/>
  <c r="C748" i="1"/>
  <c r="C14" i="1"/>
  <c r="C746" i="1"/>
  <c r="C130" i="1"/>
  <c r="C208" i="1"/>
  <c r="C131" i="1"/>
  <c r="C207" i="1"/>
  <c r="C206" i="1"/>
  <c r="C129" i="1"/>
  <c r="C559" i="1"/>
  <c r="C205" i="1"/>
  <c r="C745" i="1"/>
  <c r="C742" i="1"/>
  <c r="C13" i="1"/>
  <c r="C588" i="1"/>
  <c r="C740" i="1"/>
  <c r="C9" i="1"/>
  <c r="C739" i="1"/>
  <c r="C741" i="1"/>
  <c r="C11" i="1"/>
  <c r="C12" i="1"/>
  <c r="C743" i="1"/>
  <c r="C10" i="1"/>
  <c r="C738" i="1"/>
  <c r="C589" i="1"/>
  <c r="C744" i="1"/>
  <c r="C726" i="1"/>
  <c r="C7" i="1"/>
  <c r="C730" i="1"/>
  <c r="C728" i="1"/>
  <c r="C194" i="1"/>
  <c r="C196" i="1"/>
  <c r="C729" i="1"/>
  <c r="C195" i="1"/>
  <c r="C8" i="1"/>
  <c r="C648" i="1"/>
  <c r="C6" i="1"/>
  <c r="C558" i="1"/>
  <c r="C649" i="1"/>
  <c r="C732" i="1"/>
  <c r="C198" i="1"/>
  <c r="C727" i="1"/>
  <c r="C733" i="1"/>
  <c r="C199" i="1"/>
  <c r="C201" i="1"/>
  <c r="C734" i="1"/>
  <c r="C200" i="1"/>
  <c r="C197" i="1"/>
  <c r="C204" i="1"/>
  <c r="C736" i="1"/>
  <c r="C202" i="1"/>
  <c r="C724" i="1"/>
  <c r="C737" i="1"/>
  <c r="C203" i="1"/>
  <c r="C731" i="1"/>
  <c r="C735" i="1"/>
  <c r="C725" i="1"/>
  <c r="C717" i="1"/>
  <c r="C718" i="1"/>
  <c r="C187" i="1"/>
  <c r="C128" i="1"/>
  <c r="C723" i="1"/>
  <c r="C192" i="1"/>
  <c r="C710" i="1"/>
  <c r="C193" i="1"/>
  <c r="C182" i="1"/>
  <c r="C722" i="1"/>
  <c r="C191" i="1"/>
  <c r="C711" i="1"/>
  <c r="C126" i="1"/>
  <c r="C713" i="1"/>
  <c r="C712" i="1"/>
  <c r="C127" i="1"/>
  <c r="C714" i="1"/>
  <c r="C586" i="1"/>
  <c r="C188" i="1"/>
  <c r="C720" i="1"/>
  <c r="C190" i="1"/>
  <c r="C587" i="1"/>
  <c r="C709" i="1"/>
  <c r="C715" i="1"/>
  <c r="C184" i="1"/>
  <c r="C721" i="1"/>
  <c r="C716" i="1"/>
  <c r="C185" i="1"/>
  <c r="C183" i="1"/>
  <c r="C719" i="1"/>
  <c r="C186" i="1"/>
  <c r="C189" i="1"/>
  <c r="C3" i="1"/>
  <c r="C178" i="1"/>
  <c r="C179" i="1"/>
  <c r="C1246" i="1"/>
  <c r="C181" i="1"/>
  <c r="C700" i="1"/>
  <c r="C169" i="1"/>
  <c r="C174" i="1"/>
  <c r="C177" i="1"/>
  <c r="C173" i="1"/>
  <c r="C585" i="1"/>
  <c r="C180" i="1"/>
  <c r="C703" i="1"/>
  <c r="C123" i="1"/>
  <c r="C701" i="1"/>
  <c r="C704" i="1"/>
  <c r="C172" i="1"/>
  <c r="C706" i="1"/>
  <c r="C4" i="1"/>
  <c r="C646" i="1"/>
  <c r="C702" i="1"/>
  <c r="C171" i="1"/>
  <c r="C705" i="1"/>
  <c r="C707" i="1"/>
  <c r="C175" i="1"/>
  <c r="C647" i="1"/>
  <c r="C708" i="1"/>
  <c r="C176" i="1"/>
  <c r="C170" i="1"/>
  <c r="C124" i="1"/>
  <c r="C125" i="1"/>
  <c r="C1436" i="1"/>
  <c r="C1437" i="1"/>
  <c r="C1433" i="1"/>
  <c r="C1431" i="1"/>
  <c r="C1429" i="1"/>
  <c r="C1427" i="1"/>
  <c r="C1426" i="1"/>
  <c r="C1425" i="1"/>
  <c r="C1422" i="1"/>
  <c r="C1418" i="1"/>
  <c r="C1417" i="1"/>
  <c r="C1414" i="1"/>
  <c r="C1413" i="1"/>
  <c r="C1411" i="1"/>
  <c r="C1404" i="1"/>
  <c r="C1401" i="1"/>
  <c r="C1398" i="1"/>
  <c r="C1396" i="1"/>
  <c r="C1395" i="1"/>
  <c r="C1393" i="1"/>
  <c r="C1390" i="1"/>
  <c r="C1386" i="1"/>
  <c r="C1384" i="1"/>
  <c r="C1380" i="1"/>
  <c r="C1379" i="1"/>
  <c r="C1378" i="1"/>
  <c r="C1377" i="1"/>
  <c r="C1375" i="1"/>
  <c r="C1371" i="1"/>
  <c r="C1369" i="1"/>
  <c r="C1370" i="1"/>
  <c r="C1367" i="1"/>
  <c r="C1362" i="1"/>
  <c r="C1360" i="1"/>
  <c r="C1357" i="1"/>
  <c r="C1356" i="1"/>
  <c r="C1353" i="1"/>
  <c r="C1350" i="1"/>
  <c r="C1351" i="1"/>
  <c r="C1343" i="1"/>
  <c r="C1341" i="1"/>
  <c r="C1340" i="1"/>
  <c r="C1338" i="1"/>
  <c r="C1336" i="1"/>
  <c r="C1333" i="1"/>
  <c r="C1334" i="1"/>
  <c r="C1322" i="1"/>
  <c r="C1320" i="1"/>
  <c r="C1313" i="1"/>
  <c r="C1312" i="1"/>
  <c r="C1310" i="1"/>
  <c r="C1308" i="1"/>
  <c r="C1295" i="1"/>
  <c r="C1294" i="1"/>
  <c r="C1291" i="1"/>
  <c r="C1285" i="1"/>
  <c r="C1284" i="1"/>
  <c r="C1272" i="1"/>
  <c r="C1267" i="1"/>
  <c r="C1244" i="1"/>
  <c r="C584" i="1"/>
  <c r="C1235" i="1"/>
  <c r="C546" i="1"/>
  <c r="C116" i="1"/>
  <c r="C1266" i="1"/>
  <c r="C168" i="1"/>
  <c r="C167" i="1"/>
  <c r="C583" i="1"/>
  <c r="C697" i="1"/>
  <c r="C1232" i="1"/>
  <c r="C1219" i="1"/>
  <c r="C1242" i="1"/>
  <c r="C1226" i="1"/>
  <c r="C1240" i="1"/>
  <c r="C544" i="1"/>
  <c r="C543" i="1"/>
  <c r="C163" i="1"/>
  <c r="C542" i="1"/>
  <c r="C1265" i="1"/>
  <c r="C1213" i="1"/>
  <c r="C1211" i="1"/>
  <c r="C162" i="1"/>
  <c r="C1209" i="1"/>
  <c r="C1217" i="1"/>
  <c r="C539" i="1"/>
  <c r="C1198" i="1"/>
  <c r="C1196" i="1"/>
  <c r="C642" i="1"/>
  <c r="C1189" i="1"/>
  <c r="C537" i="1"/>
  <c r="C1183" i="1"/>
  <c r="C1187" i="1"/>
  <c r="C534" i="1"/>
  <c r="C1176" i="1"/>
  <c r="C693" i="1"/>
  <c r="C1181" i="1"/>
  <c r="C1179" i="1"/>
  <c r="C1172" i="1"/>
  <c r="C509" i="1"/>
  <c r="C494" i="1"/>
  <c r="C501" i="1"/>
  <c r="C1119" i="1"/>
  <c r="C94" i="1"/>
  <c r="C1126" i="1"/>
  <c r="C483" i="1"/>
  <c r="C470" i="1"/>
  <c r="C92" i="1"/>
  <c r="C1096" i="1"/>
  <c r="C1109" i="1"/>
  <c r="C476" i="1"/>
  <c r="C1108" i="1"/>
  <c r="C1084" i="1"/>
  <c r="C463" i="1"/>
  <c r="C91" i="1"/>
  <c r="C1089" i="1"/>
  <c r="C1082" i="1"/>
  <c r="C1075" i="1"/>
  <c r="C528" i="1"/>
  <c r="C527" i="1"/>
  <c r="C525" i="1"/>
  <c r="C524" i="1"/>
  <c r="C1165" i="1"/>
  <c r="C1163" i="1"/>
  <c r="C1162" i="1"/>
  <c r="C508" i="1"/>
  <c r="C1146" i="1"/>
  <c r="C101" i="1"/>
  <c r="C503" i="1"/>
  <c r="C499" i="1"/>
  <c r="C1058" i="1"/>
  <c r="C1057" i="1"/>
  <c r="C1037" i="1"/>
  <c r="C439" i="1"/>
  <c r="C1025" i="1"/>
  <c r="C977" i="1"/>
  <c r="C963" i="1"/>
  <c r="C602" i="1"/>
  <c r="C74" i="1"/>
  <c r="C414" i="1"/>
  <c r="C28" i="3"/>
  <c r="C9" i="3"/>
  <c r="R28" i="3"/>
  <c r="M28" i="3"/>
  <c r="H28" i="3"/>
  <c r="R9" i="3"/>
  <c r="M9" i="3"/>
  <c r="H9" i="3"/>
  <c r="X6" i="5" l="1"/>
  <c r="W6" i="5"/>
  <c r="U12" i="5" s="1"/>
  <c r="W12" i="5" l="1"/>
  <c r="Y12" i="5" s="1" a="1"/>
  <c r="Y12" i="5" s="1"/>
  <c r="V12" i="5"/>
  <c r="I12" i="5"/>
  <c r="U13" i="5"/>
  <c r="U47" i="5"/>
  <c r="C47" i="5"/>
  <c r="O47" i="5"/>
  <c r="C12" i="5"/>
  <c r="I47" i="5"/>
  <c r="O12" i="5"/>
  <c r="X12" i="5" l="1" a="1"/>
  <c r="X12" i="5" s="1"/>
  <c r="D47" i="5"/>
  <c r="E47" i="5"/>
  <c r="F47" i="5" s="1" a="1"/>
  <c r="F47" i="5" s="1"/>
  <c r="E12" i="5"/>
  <c r="F12" i="5" s="1" a="1"/>
  <c r="F12" i="5" s="1"/>
  <c r="D12" i="5"/>
  <c r="W13" i="5"/>
  <c r="Y13" i="5" s="1" a="1"/>
  <c r="Y13" i="5" s="1"/>
  <c r="V13" i="5"/>
  <c r="K12" i="5"/>
  <c r="M12" i="5" s="1" a="1"/>
  <c r="M12" i="5" s="1"/>
  <c r="J12" i="5"/>
  <c r="P47" i="5"/>
  <c r="Q47" i="5"/>
  <c r="S47" i="5" s="1" a="1"/>
  <c r="S47" i="5" s="1"/>
  <c r="Q12" i="5"/>
  <c r="R12" i="5" s="1" a="1"/>
  <c r="R12" i="5" s="1"/>
  <c r="P12" i="5"/>
  <c r="K47" i="5"/>
  <c r="M47" i="5" s="1" a="1"/>
  <c r="M47" i="5" s="1"/>
  <c r="J47" i="5"/>
  <c r="W47" i="5"/>
  <c r="X47" i="5" s="1" a="1"/>
  <c r="X47" i="5" s="1"/>
  <c r="V47" i="5"/>
  <c r="I13" i="5"/>
  <c r="C13" i="5"/>
  <c r="I48" i="5"/>
  <c r="O48" i="5"/>
  <c r="U48" i="5"/>
  <c r="O13" i="5"/>
  <c r="U14" i="5"/>
  <c r="C48" i="5"/>
  <c r="G12" i="5" l="1" a="1"/>
  <c r="G12" i="5" s="1"/>
  <c r="G47" i="5" a="1"/>
  <c r="G47" i="5" s="1"/>
  <c r="Y47" i="5" a="1"/>
  <c r="Y47" i="5" s="1"/>
  <c r="L47" i="5" a="1"/>
  <c r="L47" i="5" s="1"/>
  <c r="D48" i="5"/>
  <c r="E48" i="5"/>
  <c r="G48" i="5" s="1" a="1"/>
  <c r="G48" i="5" s="1"/>
  <c r="D13" i="5"/>
  <c r="E13" i="5"/>
  <c r="F13" i="5" s="1" a="1"/>
  <c r="F13" i="5" s="1"/>
  <c r="L12" i="5" a="1"/>
  <c r="L12" i="5" s="1"/>
  <c r="S12" i="5" a="1"/>
  <c r="S12" i="5" s="1"/>
  <c r="X13" i="5" a="1"/>
  <c r="X13" i="5" s="1"/>
  <c r="R47" i="5" a="1"/>
  <c r="R47" i="5" s="1"/>
  <c r="K13" i="5"/>
  <c r="M13" i="5" s="1" a="1"/>
  <c r="M13" i="5" s="1"/>
  <c r="J13" i="5"/>
  <c r="W14" i="5"/>
  <c r="Y14" i="5" s="1" a="1"/>
  <c r="Y14" i="5" s="1"/>
  <c r="V14" i="5"/>
  <c r="Q48" i="5"/>
  <c r="S48" i="5" s="1" a="1"/>
  <c r="S48" i="5" s="1"/>
  <c r="P48" i="5"/>
  <c r="Q13" i="5"/>
  <c r="S13" i="5" s="1" a="1"/>
  <c r="S13" i="5" s="1"/>
  <c r="P13" i="5"/>
  <c r="W48" i="5"/>
  <c r="Y48" i="5" s="1" a="1"/>
  <c r="Y48" i="5" s="1"/>
  <c r="V48" i="5"/>
  <c r="K48" i="5"/>
  <c r="M48" i="5" s="1" a="1"/>
  <c r="M48" i="5" s="1"/>
  <c r="J48" i="5"/>
  <c r="I14" i="5"/>
  <c r="C14" i="5"/>
  <c r="O49" i="5"/>
  <c r="I49" i="5"/>
  <c r="O14" i="5"/>
  <c r="U49" i="5"/>
  <c r="C49" i="5"/>
  <c r="U15" i="5"/>
  <c r="F48" i="5" l="1" a="1"/>
  <c r="F48" i="5" s="1"/>
  <c r="D49" i="5"/>
  <c r="E49" i="5"/>
  <c r="G49" i="5" s="1" a="1"/>
  <c r="G49" i="5" s="1"/>
  <c r="G13" i="5" a="1"/>
  <c r="G13" i="5" s="1"/>
  <c r="E14" i="5"/>
  <c r="G14" i="5" s="1" a="1"/>
  <c r="G14" i="5" s="1"/>
  <c r="D14" i="5"/>
  <c r="L13" i="5" a="1"/>
  <c r="L13" i="5" s="1"/>
  <c r="X14" i="5" a="1"/>
  <c r="X14" i="5" s="1"/>
  <c r="R13" i="5" a="1"/>
  <c r="R13" i="5" s="1"/>
  <c r="R48" i="5" a="1"/>
  <c r="R48" i="5" s="1"/>
  <c r="X48" i="5" a="1"/>
  <c r="X48" i="5" s="1"/>
  <c r="L48" i="5" a="1"/>
  <c r="L48" i="5" s="1"/>
  <c r="W49" i="5"/>
  <c r="Y49" i="5" s="1" a="1"/>
  <c r="Y49" i="5" s="1"/>
  <c r="V49" i="5"/>
  <c r="W15" i="5"/>
  <c r="Y15" i="5" s="1" a="1"/>
  <c r="Y15" i="5" s="1"/>
  <c r="V15" i="5"/>
  <c r="Q49" i="5"/>
  <c r="S49" i="5" s="1" a="1"/>
  <c r="S49" i="5" s="1"/>
  <c r="P49" i="5"/>
  <c r="Q14" i="5"/>
  <c r="R14" i="5" s="1" a="1"/>
  <c r="R14" i="5" s="1"/>
  <c r="P14" i="5"/>
  <c r="K49" i="5"/>
  <c r="L49" i="5" s="1" a="1"/>
  <c r="L49" i="5" s="1"/>
  <c r="J49" i="5"/>
  <c r="K14" i="5"/>
  <c r="M14" i="5" s="1" a="1"/>
  <c r="M14" i="5" s="1"/>
  <c r="J14" i="5"/>
  <c r="I15" i="5"/>
  <c r="C15" i="5"/>
  <c r="O50" i="5"/>
  <c r="I50" i="5"/>
  <c r="C50" i="5"/>
  <c r="O15" i="5"/>
  <c r="U16" i="5"/>
  <c r="U50" i="5"/>
  <c r="F49" i="5" l="1" a="1"/>
  <c r="F49" i="5" s="1"/>
  <c r="F14" i="5" a="1"/>
  <c r="F14" i="5" s="1"/>
  <c r="D15" i="5"/>
  <c r="E15" i="5"/>
  <c r="G15" i="5" s="1" a="1"/>
  <c r="G15" i="5" s="1"/>
  <c r="E50" i="5"/>
  <c r="F50" i="5" s="1" a="1"/>
  <c r="F50" i="5" s="1"/>
  <c r="D50" i="5"/>
  <c r="X49" i="5" a="1"/>
  <c r="X49" i="5" s="1"/>
  <c r="R49" i="5" a="1"/>
  <c r="R49" i="5" s="1"/>
  <c r="M49" i="5" a="1"/>
  <c r="M49" i="5" s="1"/>
  <c r="X15" i="5" a="1"/>
  <c r="X15" i="5" s="1"/>
  <c r="S14" i="5" a="1"/>
  <c r="S14" i="5" s="1"/>
  <c r="Q15" i="5"/>
  <c r="S15" i="5" s="1" a="1"/>
  <c r="S15" i="5" s="1"/>
  <c r="P15" i="5"/>
  <c r="L14" i="5" a="1"/>
  <c r="L14" i="5" s="1"/>
  <c r="W50" i="5"/>
  <c r="Y50" i="5" s="1" a="1"/>
  <c r="Y50" i="5" s="1"/>
  <c r="V50" i="5"/>
  <c r="Q50" i="5"/>
  <c r="S50" i="5" s="1" a="1"/>
  <c r="S50" i="5" s="1"/>
  <c r="P50" i="5"/>
  <c r="K50" i="5"/>
  <c r="M50" i="5" s="1" a="1"/>
  <c r="M50" i="5" s="1"/>
  <c r="J50" i="5"/>
  <c r="W16" i="5"/>
  <c r="Y16" i="5" s="1" a="1"/>
  <c r="Y16" i="5" s="1"/>
  <c r="V16" i="5"/>
  <c r="K15" i="5"/>
  <c r="L15" i="5" s="1" a="1"/>
  <c r="L15" i="5" s="1"/>
  <c r="J15" i="5"/>
  <c r="I16" i="5"/>
  <c r="C16" i="5"/>
  <c r="I51" i="5"/>
  <c r="O51" i="5"/>
  <c r="U51" i="5"/>
  <c r="O16" i="5"/>
  <c r="U17" i="5"/>
  <c r="C51" i="5"/>
  <c r="F15" i="5" l="1" a="1"/>
  <c r="F15" i="5" s="1"/>
  <c r="G50" i="5" a="1"/>
  <c r="G50" i="5" s="1"/>
  <c r="D16" i="5"/>
  <c r="E16" i="5"/>
  <c r="F16" i="5" s="1" a="1"/>
  <c r="F16" i="5" s="1"/>
  <c r="E51" i="5"/>
  <c r="G51" i="5" s="1" a="1"/>
  <c r="G51" i="5" s="1"/>
  <c r="D51" i="5"/>
  <c r="R15" i="5" a="1"/>
  <c r="R15" i="5" s="1"/>
  <c r="L50" i="5" a="1"/>
  <c r="L50" i="5" s="1"/>
  <c r="X50" i="5" a="1"/>
  <c r="X50" i="5" s="1"/>
  <c r="M15" i="5" a="1"/>
  <c r="M15" i="5" s="1"/>
  <c r="R50" i="5" a="1"/>
  <c r="R50" i="5" s="1"/>
  <c r="X16" i="5" a="1"/>
  <c r="X16" i="5" s="1"/>
  <c r="Q16" i="5"/>
  <c r="S16" i="5" s="1" a="1"/>
  <c r="S16" i="5" s="1"/>
  <c r="P16" i="5"/>
  <c r="W51" i="5"/>
  <c r="Y51" i="5" s="1" a="1"/>
  <c r="Y51" i="5" s="1"/>
  <c r="V51" i="5"/>
  <c r="K51" i="5"/>
  <c r="L51" i="5" s="1" a="1"/>
  <c r="L51" i="5" s="1"/>
  <c r="J51" i="5"/>
  <c r="W17" i="5"/>
  <c r="Y17" i="5" s="1" a="1"/>
  <c r="Y17" i="5" s="1"/>
  <c r="V17" i="5"/>
  <c r="Q51" i="5"/>
  <c r="R51" i="5" s="1" a="1"/>
  <c r="R51" i="5" s="1"/>
  <c r="P51" i="5"/>
  <c r="K16" i="5"/>
  <c r="L16" i="5" s="1" a="1"/>
  <c r="L16" i="5" s="1"/>
  <c r="J16" i="5"/>
  <c r="I17" i="5"/>
  <c r="C17" i="5"/>
  <c r="O52" i="5"/>
  <c r="I52" i="5"/>
  <c r="U18" i="5"/>
  <c r="C52" i="5"/>
  <c r="O17" i="5"/>
  <c r="U52" i="5"/>
  <c r="G16" i="5" l="1" a="1"/>
  <c r="G16" i="5" s="1"/>
  <c r="F51" i="5" a="1"/>
  <c r="F51" i="5" s="1"/>
  <c r="E52" i="5"/>
  <c r="F52" i="5" s="1" a="1"/>
  <c r="F52" i="5" s="1"/>
  <c r="D52" i="5"/>
  <c r="D17" i="5"/>
  <c r="E17" i="5"/>
  <c r="G17" i="5" s="1" a="1"/>
  <c r="G17" i="5" s="1"/>
  <c r="S51" i="5" a="1"/>
  <c r="S51" i="5" s="1"/>
  <c r="M51" i="5" a="1"/>
  <c r="M51" i="5" s="1"/>
  <c r="R16" i="5" a="1"/>
  <c r="R16" i="5" s="1"/>
  <c r="X51" i="5" a="1"/>
  <c r="X51" i="5" s="1"/>
  <c r="X17" i="5" a="1"/>
  <c r="X17" i="5" s="1"/>
  <c r="M16" i="5" a="1"/>
  <c r="M16" i="5" s="1"/>
  <c r="W52" i="5"/>
  <c r="Y52" i="5" s="1" a="1"/>
  <c r="Y52" i="5" s="1"/>
  <c r="V52" i="5"/>
  <c r="Q17" i="5"/>
  <c r="R17" i="5" s="1" a="1"/>
  <c r="R17" i="5" s="1"/>
  <c r="P17" i="5"/>
  <c r="W18" i="5"/>
  <c r="X18" i="5" s="1" a="1"/>
  <c r="X18" i="5" s="1"/>
  <c r="V18" i="5"/>
  <c r="K52" i="5"/>
  <c r="M52" i="5" s="1" a="1"/>
  <c r="M52" i="5" s="1"/>
  <c r="J52" i="5"/>
  <c r="Q52" i="5"/>
  <c r="R52" i="5" s="1" a="1"/>
  <c r="R52" i="5" s="1"/>
  <c r="P52" i="5"/>
  <c r="K17" i="5"/>
  <c r="L17" i="5" s="1" a="1"/>
  <c r="L17" i="5" s="1"/>
  <c r="J17" i="5"/>
  <c r="I18" i="5"/>
  <c r="C18" i="5"/>
  <c r="I53" i="5"/>
  <c r="O53" i="5"/>
  <c r="O18" i="5"/>
  <c r="C53" i="5"/>
  <c r="U19" i="5"/>
  <c r="U53" i="5"/>
  <c r="F17" i="5" l="1" a="1"/>
  <c r="F17" i="5" s="1"/>
  <c r="G52" i="5" a="1"/>
  <c r="G52" i="5" s="1"/>
  <c r="D53" i="5"/>
  <c r="E53" i="5"/>
  <c r="G53" i="5" s="1" a="1"/>
  <c r="G53" i="5" s="1"/>
  <c r="E18" i="5"/>
  <c r="G18" i="5" s="1" a="1"/>
  <c r="G18" i="5" s="1"/>
  <c r="D18" i="5"/>
  <c r="X52" i="5" a="1"/>
  <c r="X52" i="5" s="1"/>
  <c r="S52" i="5" a="1"/>
  <c r="S52" i="5" s="1"/>
  <c r="M17" i="5" a="1"/>
  <c r="M17" i="5" s="1"/>
  <c r="S17" i="5" a="1"/>
  <c r="S17" i="5" s="1"/>
  <c r="Y18" i="5" a="1"/>
  <c r="Y18" i="5" s="1"/>
  <c r="W53" i="5"/>
  <c r="Y53" i="5" s="1" a="1"/>
  <c r="Y53" i="5" s="1"/>
  <c r="V53" i="5"/>
  <c r="L52" i="5" a="1"/>
  <c r="L52" i="5" s="1"/>
  <c r="W19" i="5"/>
  <c r="X19" i="5" s="1" a="1"/>
  <c r="X19" i="5" s="1"/>
  <c r="V19" i="5"/>
  <c r="Q18" i="5"/>
  <c r="S18" i="5" s="1" a="1"/>
  <c r="S18" i="5" s="1"/>
  <c r="P18" i="5"/>
  <c r="K53" i="5"/>
  <c r="L53" i="5" s="1" a="1"/>
  <c r="L53" i="5" s="1"/>
  <c r="J53" i="5"/>
  <c r="Q53" i="5"/>
  <c r="R53" i="5" s="1" a="1"/>
  <c r="R53" i="5" s="1"/>
  <c r="P53" i="5"/>
  <c r="K18" i="5"/>
  <c r="M18" i="5" s="1" a="1"/>
  <c r="M18" i="5" s="1"/>
  <c r="J18" i="5"/>
  <c r="I19" i="5"/>
  <c r="C19" i="5"/>
  <c r="O54" i="5"/>
  <c r="I54" i="5"/>
  <c r="U20" i="5"/>
  <c r="O19" i="5"/>
  <c r="U54" i="5"/>
  <c r="C54" i="5"/>
  <c r="F18" i="5" l="1" a="1"/>
  <c r="F18" i="5" s="1"/>
  <c r="S53" i="5" a="1"/>
  <c r="S53" i="5" s="1"/>
  <c r="M53" i="5" a="1"/>
  <c r="M53" i="5" s="1"/>
  <c r="R18" i="5" a="1"/>
  <c r="R18" i="5" s="1"/>
  <c r="Y19" i="5" a="1"/>
  <c r="Y19" i="5" s="1"/>
  <c r="F53" i="5" a="1"/>
  <c r="F53" i="5" s="1"/>
  <c r="E19" i="5"/>
  <c r="G19" i="5" s="1" a="1"/>
  <c r="G19" i="5" s="1"/>
  <c r="D19" i="5"/>
  <c r="E54" i="5"/>
  <c r="G54" i="5" s="1" a="1"/>
  <c r="G54" i="5" s="1"/>
  <c r="D54" i="5"/>
  <c r="X53" i="5" a="1"/>
  <c r="X53" i="5" s="1"/>
  <c r="K54" i="5"/>
  <c r="M54" i="5" s="1" a="1"/>
  <c r="M54" i="5" s="1"/>
  <c r="J54" i="5"/>
  <c r="Q19" i="5"/>
  <c r="S19" i="5" s="1" a="1"/>
  <c r="S19" i="5" s="1"/>
  <c r="P19" i="5"/>
  <c r="L18" i="5" a="1"/>
  <c r="L18" i="5" s="1"/>
  <c r="W54" i="5"/>
  <c r="Y54" i="5" s="1" a="1"/>
  <c r="Y54" i="5" s="1"/>
  <c r="V54" i="5"/>
  <c r="W20" i="5"/>
  <c r="Y20" i="5" s="1" a="1"/>
  <c r="Y20" i="5" s="1"/>
  <c r="V20" i="5"/>
  <c r="Q54" i="5"/>
  <c r="S54" i="5" s="1" a="1"/>
  <c r="S54" i="5" s="1"/>
  <c r="P54" i="5"/>
  <c r="K19" i="5"/>
  <c r="M19" i="5" s="1" a="1"/>
  <c r="M19" i="5" s="1"/>
  <c r="J19" i="5"/>
  <c r="I20" i="5"/>
  <c r="C20" i="5"/>
  <c r="I55" i="5"/>
  <c r="O55" i="5"/>
  <c r="O20" i="5"/>
  <c r="C55" i="5"/>
  <c r="U55" i="5"/>
  <c r="U21" i="5"/>
  <c r="L54" i="5" l="1" a="1"/>
  <c r="L54" i="5" s="1"/>
  <c r="F54" i="5" a="1"/>
  <c r="F54" i="5" s="1"/>
  <c r="F19" i="5" a="1"/>
  <c r="F19" i="5" s="1"/>
  <c r="D55" i="5"/>
  <c r="E55" i="5"/>
  <c r="G55" i="5" s="1" a="1"/>
  <c r="G55" i="5" s="1"/>
  <c r="E20" i="5"/>
  <c r="G20" i="5" s="1" a="1"/>
  <c r="G20" i="5" s="1"/>
  <c r="D20" i="5"/>
  <c r="L19" i="5" a="1"/>
  <c r="L19" i="5" s="1"/>
  <c r="R54" i="5" a="1"/>
  <c r="R54" i="5" s="1"/>
  <c r="X54" i="5" a="1"/>
  <c r="X54" i="5" s="1"/>
  <c r="R19" i="5" a="1"/>
  <c r="R19" i="5" s="1"/>
  <c r="X20" i="5" a="1"/>
  <c r="X20" i="5" s="1"/>
  <c r="W55" i="5"/>
  <c r="Y55" i="5" s="1" a="1"/>
  <c r="Y55" i="5" s="1"/>
  <c r="V55" i="5"/>
  <c r="K55" i="5"/>
  <c r="L55" i="5" s="1" a="1"/>
  <c r="L55" i="5" s="1"/>
  <c r="J55" i="5"/>
  <c r="J20" i="5"/>
  <c r="K20" i="5"/>
  <c r="M20" i="5" s="1" a="1"/>
  <c r="M20" i="5" s="1"/>
  <c r="Q20" i="5"/>
  <c r="S20" i="5" s="1" a="1"/>
  <c r="S20" i="5" s="1"/>
  <c r="P20" i="5"/>
  <c r="Q55" i="5"/>
  <c r="S55" i="5" s="1" a="1"/>
  <c r="S55" i="5" s="1"/>
  <c r="P55" i="5"/>
  <c r="W21" i="5"/>
  <c r="X21" i="5" s="1" a="1"/>
  <c r="X21" i="5" s="1"/>
  <c r="V21" i="5"/>
  <c r="I21" i="5"/>
  <c r="C21" i="5"/>
  <c r="O56" i="5"/>
  <c r="I56" i="5"/>
  <c r="O21" i="5"/>
  <c r="U22" i="5"/>
  <c r="C56" i="5"/>
  <c r="U56" i="5"/>
  <c r="F55" i="5" l="1" a="1"/>
  <c r="F55" i="5" s="1"/>
  <c r="F20" i="5" a="1"/>
  <c r="F20" i="5" s="1"/>
  <c r="R55" i="5" a="1"/>
  <c r="R55" i="5" s="1"/>
  <c r="M55" i="5" a="1"/>
  <c r="M55" i="5" s="1"/>
  <c r="D21" i="5"/>
  <c r="E21" i="5"/>
  <c r="F21" i="5" s="1" a="1"/>
  <c r="F21" i="5" s="1"/>
  <c r="D56" i="5"/>
  <c r="E56" i="5"/>
  <c r="F56" i="5" s="1" a="1"/>
  <c r="F56" i="5" s="1"/>
  <c r="X55" i="5" a="1"/>
  <c r="X55" i="5" s="1"/>
  <c r="Y21" i="5" a="1"/>
  <c r="Y21" i="5" s="1"/>
  <c r="R20" i="5" a="1"/>
  <c r="R20" i="5" s="1"/>
  <c r="L20" i="5" a="1"/>
  <c r="L20" i="5" s="1"/>
  <c r="W56" i="5"/>
  <c r="Y56" i="5" s="1" a="1"/>
  <c r="Y56" i="5" s="1"/>
  <c r="V56" i="5"/>
  <c r="W22" i="5"/>
  <c r="X22" i="5" s="1" a="1"/>
  <c r="X22" i="5" s="1"/>
  <c r="V22" i="5"/>
  <c r="P21" i="5"/>
  <c r="Q21" i="5"/>
  <c r="S21" i="5" s="1" a="1"/>
  <c r="S21" i="5" s="1"/>
  <c r="K56" i="5"/>
  <c r="M56" i="5" s="1" a="1"/>
  <c r="M56" i="5" s="1"/>
  <c r="J56" i="5"/>
  <c r="Q56" i="5"/>
  <c r="S56" i="5" s="1" a="1"/>
  <c r="S56" i="5" s="1"/>
  <c r="P56" i="5"/>
  <c r="K21" i="5"/>
  <c r="M21" i="5" s="1" a="1"/>
  <c r="M21" i="5" s="1"/>
  <c r="J21" i="5"/>
  <c r="I22" i="5"/>
  <c r="C22" i="5"/>
  <c r="I57" i="5"/>
  <c r="O57" i="5"/>
  <c r="C57" i="5"/>
  <c r="O22" i="5"/>
  <c r="U57" i="5"/>
  <c r="U23" i="5"/>
  <c r="R56" i="5" l="1" a="1"/>
  <c r="R56" i="5" s="1"/>
  <c r="G21" i="5" a="1"/>
  <c r="G21" i="5" s="1"/>
  <c r="Y22" i="5" a="1"/>
  <c r="Y22" i="5" s="1"/>
  <c r="G56" i="5" a="1"/>
  <c r="G56" i="5" s="1"/>
  <c r="E22" i="5"/>
  <c r="G22" i="5" s="1" a="1"/>
  <c r="G22" i="5" s="1"/>
  <c r="D22" i="5"/>
  <c r="D57" i="5"/>
  <c r="E57" i="5"/>
  <c r="F57" i="5" s="1" a="1"/>
  <c r="F57" i="5" s="1"/>
  <c r="X56" i="5" a="1"/>
  <c r="X56" i="5" s="1"/>
  <c r="L21" i="5" a="1"/>
  <c r="L21" i="5" s="1"/>
  <c r="L56" i="5" a="1"/>
  <c r="L56" i="5" s="1"/>
  <c r="R21" i="5" a="1"/>
  <c r="R21" i="5" s="1"/>
  <c r="Q22" i="5"/>
  <c r="S22" i="5" s="1" a="1"/>
  <c r="S22" i="5" s="1"/>
  <c r="P22" i="5"/>
  <c r="Q57" i="5"/>
  <c r="R57" i="5" s="1" a="1"/>
  <c r="R57" i="5" s="1"/>
  <c r="P57" i="5"/>
  <c r="W23" i="5"/>
  <c r="Y23" i="5" s="1" a="1"/>
  <c r="Y23" i="5" s="1"/>
  <c r="V23" i="5"/>
  <c r="W57" i="5"/>
  <c r="X57" i="5" s="1" a="1"/>
  <c r="X57" i="5" s="1"/>
  <c r="V57" i="5"/>
  <c r="K57" i="5"/>
  <c r="M57" i="5" s="1" a="1"/>
  <c r="M57" i="5" s="1"/>
  <c r="J57" i="5"/>
  <c r="K22" i="5"/>
  <c r="M22" i="5" s="1" a="1"/>
  <c r="M22" i="5" s="1"/>
  <c r="J22" i="5"/>
  <c r="I23" i="5"/>
  <c r="C23" i="5"/>
  <c r="O58" i="5"/>
  <c r="I58" i="5"/>
  <c r="U58" i="5"/>
  <c r="C58" i="5"/>
  <c r="U24" i="5"/>
  <c r="O23" i="5"/>
  <c r="F22" i="5" l="1" a="1"/>
  <c r="F22" i="5" s="1"/>
  <c r="L57" i="5" a="1"/>
  <c r="L57" i="5" s="1"/>
  <c r="Y57" i="5" a="1"/>
  <c r="Y57" i="5" s="1"/>
  <c r="G57" i="5" a="1"/>
  <c r="G57" i="5" s="1"/>
  <c r="E58" i="5"/>
  <c r="G58" i="5" s="1" a="1"/>
  <c r="G58" i="5" s="1"/>
  <c r="D58" i="5"/>
  <c r="E23" i="5"/>
  <c r="F23" i="5" s="1" a="1"/>
  <c r="F23" i="5" s="1"/>
  <c r="D23" i="5"/>
  <c r="L22" i="5" a="1"/>
  <c r="L22" i="5" s="1"/>
  <c r="X23" i="5" a="1"/>
  <c r="X23" i="5" s="1"/>
  <c r="S57" i="5" a="1"/>
  <c r="S57" i="5" s="1"/>
  <c r="R22" i="5" a="1"/>
  <c r="R22" i="5" s="1"/>
  <c r="W24" i="5"/>
  <c r="Y24" i="5" s="1" a="1"/>
  <c r="Y24" i="5" s="1"/>
  <c r="V24" i="5"/>
  <c r="W58" i="5"/>
  <c r="X58" i="5" s="1" a="1"/>
  <c r="X58" i="5" s="1"/>
  <c r="V58" i="5"/>
  <c r="Q23" i="5"/>
  <c r="R23" i="5" s="1" a="1"/>
  <c r="R23" i="5" s="1"/>
  <c r="P23" i="5"/>
  <c r="K58" i="5"/>
  <c r="M58" i="5" s="1" a="1"/>
  <c r="M58" i="5" s="1"/>
  <c r="J58" i="5"/>
  <c r="Q58" i="5"/>
  <c r="S58" i="5" s="1" a="1"/>
  <c r="S58" i="5" s="1"/>
  <c r="P58" i="5"/>
  <c r="K23" i="5"/>
  <c r="M23" i="5" s="1" a="1"/>
  <c r="M23" i="5" s="1"/>
  <c r="J23" i="5"/>
  <c r="I24" i="5"/>
  <c r="C24" i="5"/>
  <c r="I59" i="5"/>
  <c r="O59" i="5"/>
  <c r="O24" i="5"/>
  <c r="C59" i="5"/>
  <c r="U25" i="5"/>
  <c r="U59" i="5"/>
  <c r="G23" i="5" l="1" a="1"/>
  <c r="G23" i="5" s="1"/>
  <c r="F58" i="5" a="1"/>
  <c r="F58" i="5" s="1"/>
  <c r="E59" i="5"/>
  <c r="G59" i="5" s="1" a="1"/>
  <c r="G59" i="5" s="1"/>
  <c r="D59" i="5"/>
  <c r="D24" i="5"/>
  <c r="E24" i="5"/>
  <c r="G24" i="5" s="1" a="1"/>
  <c r="G24" i="5" s="1"/>
  <c r="L58" i="5" a="1"/>
  <c r="L58" i="5" s="1"/>
  <c r="S23" i="5" a="1"/>
  <c r="S23" i="5" s="1"/>
  <c r="Y58" i="5" a="1"/>
  <c r="Y58" i="5" s="1"/>
  <c r="R58" i="5" a="1"/>
  <c r="R58" i="5" s="1"/>
  <c r="L23" i="5" a="1"/>
  <c r="L23" i="5" s="1"/>
  <c r="X24" i="5" a="1"/>
  <c r="X24" i="5" s="1"/>
  <c r="Q59" i="5"/>
  <c r="S59" i="5" s="1" a="1"/>
  <c r="S59" i="5" s="1"/>
  <c r="P59" i="5"/>
  <c r="W59" i="5"/>
  <c r="Y59" i="5" s="1" a="1"/>
  <c r="Y59" i="5" s="1"/>
  <c r="V59" i="5"/>
  <c r="W25" i="5"/>
  <c r="Y25" i="5" s="1" a="1"/>
  <c r="Y25" i="5" s="1"/>
  <c r="V25" i="5"/>
  <c r="Q24" i="5"/>
  <c r="S24" i="5" s="1" a="1"/>
  <c r="S24" i="5" s="1"/>
  <c r="P24" i="5"/>
  <c r="K59" i="5"/>
  <c r="M59" i="5" s="1" a="1"/>
  <c r="M59" i="5" s="1"/>
  <c r="J59" i="5"/>
  <c r="K24" i="5"/>
  <c r="L24" i="5" s="1" a="1"/>
  <c r="L24" i="5" s="1"/>
  <c r="J24" i="5"/>
  <c r="I25" i="5"/>
  <c r="C25" i="5"/>
  <c r="O60" i="5"/>
  <c r="I60" i="5"/>
  <c r="U60" i="5"/>
  <c r="O25" i="5"/>
  <c r="C60" i="5"/>
  <c r="U26" i="5"/>
  <c r="R59" i="5" l="1" a="1"/>
  <c r="R59" i="5" s="1"/>
  <c r="X59" i="5" a="1"/>
  <c r="X59" i="5" s="1"/>
  <c r="X25" i="5" a="1"/>
  <c r="X25" i="5" s="1"/>
  <c r="F24" i="5" a="1"/>
  <c r="F24" i="5" s="1"/>
  <c r="F59" i="5" a="1"/>
  <c r="F59" i="5" s="1"/>
  <c r="E60" i="5"/>
  <c r="F60" i="5" s="1" a="1"/>
  <c r="F60" i="5" s="1"/>
  <c r="D60" i="5"/>
  <c r="E25" i="5"/>
  <c r="F25" i="5" s="1" a="1"/>
  <c r="F25" i="5" s="1"/>
  <c r="D25" i="5"/>
  <c r="R24" i="5" a="1"/>
  <c r="R24" i="5" s="1"/>
  <c r="L59" i="5" a="1"/>
  <c r="L59" i="5" s="1"/>
  <c r="M24" i="5" a="1"/>
  <c r="M24" i="5" s="1"/>
  <c r="W26" i="5"/>
  <c r="Y26" i="5" s="1" a="1"/>
  <c r="Y26" i="5" s="1"/>
  <c r="V26" i="5"/>
  <c r="Q60" i="5"/>
  <c r="S60" i="5" s="1" a="1"/>
  <c r="S60" i="5" s="1"/>
  <c r="P60" i="5"/>
  <c r="Q25" i="5"/>
  <c r="R25" i="5" s="1" a="1"/>
  <c r="R25" i="5" s="1"/>
  <c r="P25" i="5"/>
  <c r="W60" i="5"/>
  <c r="Y60" i="5" s="1" a="1"/>
  <c r="Y60" i="5" s="1"/>
  <c r="V60" i="5"/>
  <c r="K60" i="5"/>
  <c r="L60" i="5" s="1" a="1"/>
  <c r="L60" i="5" s="1"/>
  <c r="J60" i="5"/>
  <c r="K25" i="5"/>
  <c r="M25" i="5" s="1" a="1"/>
  <c r="M25" i="5" s="1"/>
  <c r="J25" i="5"/>
  <c r="I26" i="5"/>
  <c r="C26" i="5"/>
  <c r="I61" i="5"/>
  <c r="O61" i="5"/>
  <c r="U27" i="5"/>
  <c r="C61" i="5"/>
  <c r="U61" i="5"/>
  <c r="O26" i="5"/>
  <c r="G25" i="5" l="1" a="1"/>
  <c r="G25" i="5" s="1"/>
  <c r="G60" i="5" a="1"/>
  <c r="G60" i="5" s="1"/>
  <c r="D61" i="5"/>
  <c r="E61" i="5"/>
  <c r="G61" i="5" s="1" a="1"/>
  <c r="G61" i="5" s="1"/>
  <c r="E26" i="5"/>
  <c r="F26" i="5" s="1" a="1"/>
  <c r="F26" i="5" s="1"/>
  <c r="D26" i="5"/>
  <c r="R60" i="5" a="1"/>
  <c r="R60" i="5" s="1"/>
  <c r="M60" i="5" a="1"/>
  <c r="M60" i="5" s="1"/>
  <c r="X26" i="5" a="1"/>
  <c r="X26" i="5" s="1"/>
  <c r="X60" i="5" a="1"/>
  <c r="X60" i="5" s="1"/>
  <c r="S25" i="5" a="1"/>
  <c r="S25" i="5" s="1"/>
  <c r="L25" i="5" a="1"/>
  <c r="L25" i="5" s="1"/>
  <c r="K26" i="5"/>
  <c r="M26" i="5" s="1" a="1"/>
  <c r="M26" i="5" s="1"/>
  <c r="J26" i="5"/>
  <c r="Q26" i="5"/>
  <c r="R26" i="5" s="1" a="1"/>
  <c r="R26" i="5" s="1"/>
  <c r="P26" i="5"/>
  <c r="K61" i="5"/>
  <c r="M61" i="5" s="1" a="1"/>
  <c r="M61" i="5" s="1"/>
  <c r="J61" i="5"/>
  <c r="W27" i="5"/>
  <c r="Y27" i="5" s="1" a="1"/>
  <c r="Y27" i="5" s="1"/>
  <c r="V27" i="5"/>
  <c r="W61" i="5"/>
  <c r="Y61" i="5" s="1" a="1"/>
  <c r="Y61" i="5" s="1"/>
  <c r="V61" i="5"/>
  <c r="Q61" i="5"/>
  <c r="S61" i="5" s="1" a="1"/>
  <c r="S61" i="5" s="1"/>
  <c r="P61" i="5"/>
  <c r="I27" i="5"/>
  <c r="C27" i="5"/>
  <c r="O62" i="5"/>
  <c r="I62" i="5"/>
  <c r="O27" i="5"/>
  <c r="U28" i="5"/>
  <c r="U62" i="5"/>
  <c r="C62" i="5"/>
  <c r="G26" i="5" l="1" a="1"/>
  <c r="G26" i="5" s="1"/>
  <c r="F61" i="5" a="1"/>
  <c r="F61" i="5" s="1"/>
  <c r="D27" i="5"/>
  <c r="E27" i="5"/>
  <c r="F27" i="5" s="1" a="1"/>
  <c r="F27" i="5" s="1"/>
  <c r="E62" i="5"/>
  <c r="G62" i="5" s="1" a="1"/>
  <c r="G62" i="5" s="1"/>
  <c r="D62" i="5"/>
  <c r="S26" i="5" a="1"/>
  <c r="S26" i="5" s="1"/>
  <c r="X61" i="5" a="1"/>
  <c r="X61" i="5" s="1"/>
  <c r="R61" i="5" a="1"/>
  <c r="R61" i="5" s="1"/>
  <c r="X27" i="5" a="1"/>
  <c r="X27" i="5" s="1"/>
  <c r="L26" i="5" a="1"/>
  <c r="L26" i="5" s="1"/>
  <c r="W62" i="5"/>
  <c r="Y62" i="5" s="1" a="1"/>
  <c r="Y62" i="5" s="1"/>
  <c r="V62" i="5"/>
  <c r="W28" i="5"/>
  <c r="Y28" i="5" s="1" a="1"/>
  <c r="Y28" i="5" s="1"/>
  <c r="V28" i="5"/>
  <c r="Q27" i="5"/>
  <c r="S27" i="5" s="1" a="1"/>
  <c r="S27" i="5" s="1"/>
  <c r="P27" i="5"/>
  <c r="L61" i="5" a="1"/>
  <c r="L61" i="5" s="1"/>
  <c r="K62" i="5"/>
  <c r="M62" i="5" s="1" a="1"/>
  <c r="M62" i="5" s="1"/>
  <c r="J62" i="5"/>
  <c r="Q62" i="5"/>
  <c r="R62" i="5" s="1" a="1"/>
  <c r="R62" i="5" s="1"/>
  <c r="P62" i="5"/>
  <c r="K27" i="5"/>
  <c r="L27" i="5" s="1" a="1"/>
  <c r="L27" i="5" s="1"/>
  <c r="J27" i="5"/>
  <c r="I28" i="5"/>
  <c r="C28" i="5"/>
  <c r="I63" i="5"/>
  <c r="O63" i="5"/>
  <c r="C63" i="5"/>
  <c r="U29" i="5"/>
  <c r="U63" i="5"/>
  <c r="O28" i="5"/>
  <c r="G27" i="5" l="1" a="1"/>
  <c r="G27" i="5" s="1"/>
  <c r="X62" i="5" a="1"/>
  <c r="X62" i="5" s="1"/>
  <c r="F62" i="5" a="1"/>
  <c r="F62" i="5" s="1"/>
  <c r="D63" i="5"/>
  <c r="E63" i="5"/>
  <c r="G63" i="5" s="1" a="1"/>
  <c r="G63" i="5" s="1"/>
  <c r="E28" i="5"/>
  <c r="F28" i="5" s="1" a="1"/>
  <c r="F28" i="5" s="1"/>
  <c r="D28" i="5"/>
  <c r="S62" i="5" a="1"/>
  <c r="S62" i="5" s="1"/>
  <c r="X28" i="5" a="1"/>
  <c r="X28" i="5" s="1"/>
  <c r="M27" i="5" a="1"/>
  <c r="M27" i="5" s="1"/>
  <c r="L62" i="5" a="1"/>
  <c r="L62" i="5" s="1"/>
  <c r="W63" i="5"/>
  <c r="Y63" i="5" s="1" a="1"/>
  <c r="Y63" i="5" s="1"/>
  <c r="V63" i="5"/>
  <c r="W29" i="5"/>
  <c r="Y29" i="5" s="1" a="1"/>
  <c r="Y29" i="5" s="1"/>
  <c r="V29" i="5"/>
  <c r="Q63" i="5"/>
  <c r="S63" i="5" s="1" a="1"/>
  <c r="S63" i="5" s="1"/>
  <c r="P63" i="5"/>
  <c r="K63" i="5"/>
  <c r="L63" i="5" s="1" a="1"/>
  <c r="L63" i="5" s="1"/>
  <c r="J63" i="5"/>
  <c r="Q28" i="5"/>
  <c r="S28" i="5" s="1" a="1"/>
  <c r="S28" i="5" s="1"/>
  <c r="P28" i="5"/>
  <c r="K28" i="5"/>
  <c r="L28" i="5" s="1" a="1"/>
  <c r="L28" i="5" s="1"/>
  <c r="J28" i="5"/>
  <c r="R27" i="5" a="1"/>
  <c r="R27" i="5" s="1"/>
  <c r="I29" i="5"/>
  <c r="C29" i="5"/>
  <c r="O64" i="5"/>
  <c r="I64" i="5"/>
  <c r="O29" i="5"/>
  <c r="C64" i="5"/>
  <c r="U64" i="5"/>
  <c r="U30" i="5"/>
  <c r="X29" i="5" l="1" a="1"/>
  <c r="X29" i="5" s="1"/>
  <c r="G28" i="5" a="1"/>
  <c r="G28" i="5" s="1"/>
  <c r="F63" i="5" a="1"/>
  <c r="F63" i="5" s="1"/>
  <c r="X63" i="5" a="1"/>
  <c r="X63" i="5" s="1"/>
  <c r="D64" i="5"/>
  <c r="E64" i="5"/>
  <c r="G64" i="5" s="1" a="1"/>
  <c r="G64" i="5" s="1"/>
  <c r="D29" i="5"/>
  <c r="E29" i="5"/>
  <c r="G29" i="5" s="1" a="1"/>
  <c r="G29" i="5" s="1"/>
  <c r="R28" i="5" a="1"/>
  <c r="R28" i="5" s="1"/>
  <c r="M63" i="5" a="1"/>
  <c r="M63" i="5" s="1"/>
  <c r="R63" i="5" a="1"/>
  <c r="R63" i="5" s="1"/>
  <c r="M28" i="5" a="1"/>
  <c r="M28" i="5" s="1"/>
  <c r="K64" i="5"/>
  <c r="M64" i="5" s="1" a="1"/>
  <c r="M64" i="5" s="1"/>
  <c r="J64" i="5"/>
  <c r="Q64" i="5"/>
  <c r="R64" i="5" s="1" a="1"/>
  <c r="R64" i="5" s="1"/>
  <c r="P64" i="5"/>
  <c r="W30" i="5"/>
  <c r="Y30" i="5" s="1" a="1"/>
  <c r="Y30" i="5" s="1"/>
  <c r="V30" i="5"/>
  <c r="W64" i="5"/>
  <c r="Y64" i="5" s="1" a="1"/>
  <c r="Y64" i="5" s="1"/>
  <c r="V64" i="5"/>
  <c r="Q29" i="5"/>
  <c r="S29" i="5" s="1" a="1"/>
  <c r="S29" i="5" s="1"/>
  <c r="P29" i="5"/>
  <c r="K29" i="5"/>
  <c r="M29" i="5" s="1" a="1"/>
  <c r="M29" i="5" s="1"/>
  <c r="J29" i="5"/>
  <c r="I30" i="5"/>
  <c r="C30" i="5"/>
  <c r="I65" i="5"/>
  <c r="O65" i="5"/>
  <c r="U31" i="5"/>
  <c r="C65" i="5"/>
  <c r="U65" i="5"/>
  <c r="O30" i="5"/>
  <c r="S64" i="5" l="1" a="1"/>
  <c r="S64" i="5" s="1"/>
  <c r="L64" i="5" a="1"/>
  <c r="L64" i="5" s="1"/>
  <c r="F64" i="5" a="1"/>
  <c r="F64" i="5" s="1"/>
  <c r="F29" i="5" a="1"/>
  <c r="F29" i="5" s="1"/>
  <c r="D65" i="5"/>
  <c r="E65" i="5"/>
  <c r="F65" i="5" s="1" a="1"/>
  <c r="F65" i="5" s="1"/>
  <c r="E30" i="5"/>
  <c r="F30" i="5" s="1" a="1"/>
  <c r="F30" i="5" s="1"/>
  <c r="D30" i="5"/>
  <c r="R29" i="5" a="1"/>
  <c r="R29" i="5" s="1"/>
  <c r="L29" i="5" a="1"/>
  <c r="L29" i="5" s="1"/>
  <c r="X30" i="5" a="1"/>
  <c r="X30" i="5" s="1"/>
  <c r="X64" i="5" a="1"/>
  <c r="X64" i="5" s="1"/>
  <c r="W65" i="5"/>
  <c r="X65" i="5" s="1" a="1"/>
  <c r="X65" i="5" s="1"/>
  <c r="V65" i="5"/>
  <c r="W31" i="5"/>
  <c r="Y31" i="5" s="1" a="1"/>
  <c r="Y31" i="5" s="1"/>
  <c r="V31" i="5"/>
  <c r="Q30" i="5"/>
  <c r="R30" i="5" s="1" a="1"/>
  <c r="R30" i="5" s="1"/>
  <c r="P30" i="5"/>
  <c r="Q65" i="5"/>
  <c r="S65" i="5" s="1" a="1"/>
  <c r="S65" i="5" s="1"/>
  <c r="P65" i="5"/>
  <c r="K65" i="5"/>
  <c r="M65" i="5" s="1" a="1"/>
  <c r="M65" i="5" s="1"/>
  <c r="J65" i="5"/>
  <c r="K30" i="5"/>
  <c r="L30" i="5" s="1" a="1"/>
  <c r="L30" i="5" s="1"/>
  <c r="J30" i="5"/>
  <c r="I31" i="5"/>
  <c r="C31" i="5"/>
  <c r="O66" i="5"/>
  <c r="I66" i="5"/>
  <c r="U66" i="5"/>
  <c r="C66" i="5"/>
  <c r="O31" i="5"/>
  <c r="U32" i="5"/>
  <c r="R65" i="5" l="1" a="1"/>
  <c r="R65" i="5" s="1"/>
  <c r="Y65" i="5" a="1"/>
  <c r="Y65" i="5" s="1"/>
  <c r="X31" i="5" a="1"/>
  <c r="X31" i="5" s="1"/>
  <c r="S30" i="5" a="1"/>
  <c r="S30" i="5" s="1"/>
  <c r="G65" i="5" a="1"/>
  <c r="G65" i="5" s="1"/>
  <c r="G30" i="5" a="1"/>
  <c r="G30" i="5" s="1"/>
  <c r="D66" i="5"/>
  <c r="E66" i="5"/>
  <c r="G66" i="5" s="1" a="1"/>
  <c r="G66" i="5" s="1"/>
  <c r="E31" i="5"/>
  <c r="G31" i="5" s="1" a="1"/>
  <c r="G31" i="5" s="1"/>
  <c r="D31" i="5"/>
  <c r="M30" i="5" a="1"/>
  <c r="M30" i="5" s="1"/>
  <c r="L65" i="5" a="1"/>
  <c r="L65" i="5" s="1"/>
  <c r="Q66" i="5"/>
  <c r="S66" i="5" s="1" a="1"/>
  <c r="S66" i="5" s="1"/>
  <c r="P66" i="5"/>
  <c r="W32" i="5"/>
  <c r="Y32" i="5" s="1" a="1"/>
  <c r="Y32" i="5" s="1"/>
  <c r="V32" i="5"/>
  <c r="Q31" i="5"/>
  <c r="S31" i="5" s="1" a="1"/>
  <c r="S31" i="5" s="1"/>
  <c r="P31" i="5"/>
  <c r="W66" i="5"/>
  <c r="Y66" i="5" s="1" a="1"/>
  <c r="Y66" i="5" s="1"/>
  <c r="V66" i="5"/>
  <c r="K66" i="5"/>
  <c r="M66" i="5" s="1" a="1"/>
  <c r="M66" i="5" s="1"/>
  <c r="J66" i="5"/>
  <c r="K31" i="5"/>
  <c r="L31" i="5" s="1" a="1"/>
  <c r="L31" i="5" s="1"/>
  <c r="J31" i="5"/>
  <c r="I32" i="5"/>
  <c r="C32" i="5"/>
  <c r="I67" i="5"/>
  <c r="O67" i="5"/>
  <c r="C67" i="5"/>
  <c r="O32" i="5"/>
  <c r="U67" i="5"/>
  <c r="U33" i="5"/>
  <c r="L66" i="5" l="1" a="1"/>
  <c r="L66" i="5" s="1"/>
  <c r="X66" i="5" a="1"/>
  <c r="X66" i="5" s="1"/>
  <c r="M31" i="5" a="1"/>
  <c r="M31" i="5" s="1"/>
  <c r="R66" i="5" a="1"/>
  <c r="R66" i="5" s="1"/>
  <c r="X32" i="5" a="1"/>
  <c r="X32" i="5" s="1"/>
  <c r="R31" i="5" a="1"/>
  <c r="R31" i="5" s="1"/>
  <c r="F31" i="5" a="1"/>
  <c r="F31" i="5" s="1"/>
  <c r="F66" i="5" a="1"/>
  <c r="F66" i="5" s="1"/>
  <c r="D32" i="5"/>
  <c r="E32" i="5"/>
  <c r="G32" i="5" s="1" a="1"/>
  <c r="G32" i="5" s="1"/>
  <c r="E67" i="5"/>
  <c r="F67" i="5" s="1" a="1"/>
  <c r="F67" i="5" s="1"/>
  <c r="D67" i="5"/>
  <c r="W67" i="5"/>
  <c r="Y67" i="5" s="1" a="1"/>
  <c r="Y67" i="5" s="1"/>
  <c r="V67" i="5"/>
  <c r="Q32" i="5"/>
  <c r="R32" i="5" s="1" a="1"/>
  <c r="R32" i="5" s="1"/>
  <c r="P32" i="5"/>
  <c r="W33" i="5"/>
  <c r="Y33" i="5" s="1" a="1"/>
  <c r="Y33" i="5" s="1"/>
  <c r="V33" i="5"/>
  <c r="Q67" i="5"/>
  <c r="S67" i="5" s="1" a="1"/>
  <c r="S67" i="5" s="1"/>
  <c r="P67" i="5"/>
  <c r="K67" i="5"/>
  <c r="M67" i="5" s="1" a="1"/>
  <c r="M67" i="5" s="1"/>
  <c r="J67" i="5"/>
  <c r="K32" i="5"/>
  <c r="L32" i="5" s="1" a="1"/>
  <c r="L32" i="5" s="1"/>
  <c r="J32" i="5"/>
  <c r="I33" i="5"/>
  <c r="C33" i="5"/>
  <c r="O68" i="5"/>
  <c r="I68" i="5"/>
  <c r="U68" i="5"/>
  <c r="U34" i="5"/>
  <c r="C68" i="5"/>
  <c r="O33" i="5"/>
  <c r="F32" i="5" l="1" a="1"/>
  <c r="F32" i="5" s="1"/>
  <c r="S32" i="5" a="1"/>
  <c r="S32" i="5" s="1"/>
  <c r="X67" i="5" a="1"/>
  <c r="X67" i="5" s="1"/>
  <c r="G67" i="5" a="1"/>
  <c r="G67" i="5" s="1"/>
  <c r="X33" i="5" a="1"/>
  <c r="X33" i="5" s="1"/>
  <c r="D33" i="5"/>
  <c r="E33" i="5"/>
  <c r="G33" i="5" s="1" a="1"/>
  <c r="G33" i="5" s="1"/>
  <c r="E68" i="5"/>
  <c r="G68" i="5" s="1" a="1"/>
  <c r="G68" i="5" s="1"/>
  <c r="D68" i="5"/>
  <c r="L67" i="5" a="1"/>
  <c r="L67" i="5" s="1"/>
  <c r="M32" i="5" a="1"/>
  <c r="M32" i="5" s="1"/>
  <c r="R67" i="5" a="1"/>
  <c r="R67" i="5" s="1"/>
  <c r="Q33" i="5"/>
  <c r="S33" i="5" s="1" a="1"/>
  <c r="S33" i="5" s="1"/>
  <c r="P33" i="5"/>
  <c r="W34" i="5"/>
  <c r="Y34" i="5" s="1" a="1"/>
  <c r="Y34" i="5" s="1"/>
  <c r="V34" i="5"/>
  <c r="Q68" i="5"/>
  <c r="S68" i="5" s="1" a="1"/>
  <c r="S68" i="5" s="1"/>
  <c r="P68" i="5"/>
  <c r="W68" i="5"/>
  <c r="X68" i="5" s="1" a="1"/>
  <c r="X68" i="5" s="1"/>
  <c r="V68" i="5"/>
  <c r="K68" i="5"/>
  <c r="M68" i="5" s="1" a="1"/>
  <c r="M68" i="5" s="1"/>
  <c r="J68" i="5"/>
  <c r="K33" i="5"/>
  <c r="L33" i="5" s="1" a="1"/>
  <c r="L33" i="5" s="1"/>
  <c r="J33" i="5"/>
  <c r="I34" i="5"/>
  <c r="C34" i="5"/>
  <c r="I69" i="5"/>
  <c r="O69" i="5"/>
  <c r="O34" i="5"/>
  <c r="C69" i="5"/>
  <c r="U69" i="5"/>
  <c r="U35" i="5"/>
  <c r="F68" i="5" l="1" a="1"/>
  <c r="F68" i="5" s="1"/>
  <c r="F33" i="5" a="1"/>
  <c r="F33" i="5" s="1"/>
  <c r="D69" i="5"/>
  <c r="E69" i="5"/>
  <c r="G69" i="5" s="1" a="1"/>
  <c r="G69" i="5" s="1"/>
  <c r="E34" i="5"/>
  <c r="G34" i="5" s="1" a="1"/>
  <c r="G34" i="5" s="1"/>
  <c r="D34" i="5"/>
  <c r="M33" i="5" a="1"/>
  <c r="M33" i="5" s="1"/>
  <c r="Y68" i="5" a="1"/>
  <c r="Y68" i="5" s="1"/>
  <c r="R68" i="5" a="1"/>
  <c r="R68" i="5" s="1"/>
  <c r="X34" i="5" a="1"/>
  <c r="X34" i="5" s="1"/>
  <c r="R33" i="5" a="1"/>
  <c r="R33" i="5" s="1"/>
  <c r="Q69" i="5"/>
  <c r="R69" i="5" s="1" a="1"/>
  <c r="R69" i="5" s="1"/>
  <c r="P69" i="5"/>
  <c r="W35" i="5"/>
  <c r="Y35" i="5" s="1" a="1"/>
  <c r="Y35" i="5" s="1"/>
  <c r="V35" i="5"/>
  <c r="W69" i="5"/>
  <c r="X69" i="5" s="1" a="1"/>
  <c r="X69" i="5" s="1"/>
  <c r="V69" i="5"/>
  <c r="Q34" i="5"/>
  <c r="R34" i="5" s="1" a="1"/>
  <c r="R34" i="5" s="1"/>
  <c r="P34" i="5"/>
  <c r="L68" i="5" a="1"/>
  <c r="L68" i="5" s="1"/>
  <c r="K69" i="5"/>
  <c r="L69" i="5" s="1" a="1"/>
  <c r="L69" i="5" s="1"/>
  <c r="J69" i="5"/>
  <c r="K34" i="5"/>
  <c r="M34" i="5" s="1" a="1"/>
  <c r="M34" i="5" s="1"/>
  <c r="J34" i="5"/>
  <c r="I35" i="5"/>
  <c r="C35" i="5"/>
  <c r="O70" i="5"/>
  <c r="I70" i="5"/>
  <c r="U70" i="5"/>
  <c r="O35" i="5"/>
  <c r="U36" i="5"/>
  <c r="C70" i="5"/>
  <c r="F34" i="5" l="1" a="1"/>
  <c r="F34" i="5" s="1"/>
  <c r="M69" i="5" a="1"/>
  <c r="M69" i="5" s="1"/>
  <c r="F69" i="5" a="1"/>
  <c r="F69" i="5" s="1"/>
  <c r="E35" i="5"/>
  <c r="G35" i="5" s="1" a="1"/>
  <c r="G35" i="5" s="1"/>
  <c r="D35" i="5"/>
  <c r="E70" i="5"/>
  <c r="G70" i="5" s="1" a="1"/>
  <c r="G70" i="5" s="1"/>
  <c r="D70" i="5"/>
  <c r="S34" i="5" a="1"/>
  <c r="S34" i="5" s="1"/>
  <c r="Y69" i="5" a="1"/>
  <c r="Y69" i="5" s="1"/>
  <c r="X35" i="5" a="1"/>
  <c r="X35" i="5" s="1"/>
  <c r="S69" i="5" a="1"/>
  <c r="S69" i="5" s="1"/>
  <c r="L34" i="5" a="1"/>
  <c r="L34" i="5" s="1"/>
  <c r="W70" i="5"/>
  <c r="Y70" i="5" s="1" a="1"/>
  <c r="Y70" i="5" s="1"/>
  <c r="V70" i="5"/>
  <c r="W36" i="5"/>
  <c r="Y36" i="5" s="1" a="1"/>
  <c r="Y36" i="5" s="1"/>
  <c r="V36" i="5"/>
  <c r="Q35" i="5"/>
  <c r="S35" i="5" s="1" a="1"/>
  <c r="S35" i="5" s="1"/>
  <c r="P35" i="5"/>
  <c r="K70" i="5"/>
  <c r="M70" i="5" s="1" a="1"/>
  <c r="M70" i="5" s="1"/>
  <c r="J70" i="5"/>
  <c r="Q70" i="5"/>
  <c r="S70" i="5" s="1" a="1"/>
  <c r="S70" i="5" s="1"/>
  <c r="P70" i="5"/>
  <c r="K35" i="5"/>
  <c r="L35" i="5" s="1" a="1"/>
  <c r="L35" i="5" s="1"/>
  <c r="J35" i="5"/>
  <c r="I36" i="5"/>
  <c r="C36" i="5"/>
  <c r="O71" i="5"/>
  <c r="I71" i="5"/>
  <c r="C71" i="5"/>
  <c r="U37" i="5"/>
  <c r="U71" i="5"/>
  <c r="O36" i="5"/>
  <c r="F35" i="5" l="1" a="1"/>
  <c r="F35" i="5" s="1"/>
  <c r="X36" i="5" a="1"/>
  <c r="X36" i="5" s="1"/>
  <c r="X70" i="5" a="1"/>
  <c r="X70" i="5" s="1"/>
  <c r="F70" i="5" a="1"/>
  <c r="F70" i="5" s="1"/>
  <c r="M35" i="5" a="1"/>
  <c r="M35" i="5" s="1"/>
  <c r="R35" i="5" a="1"/>
  <c r="R35" i="5" s="1"/>
  <c r="E36" i="5"/>
  <c r="F36" i="5" s="1" a="1"/>
  <c r="F36" i="5" s="1"/>
  <c r="D36" i="5"/>
  <c r="D71" i="5"/>
  <c r="E71" i="5"/>
  <c r="G71" i="5" s="1" a="1"/>
  <c r="G71" i="5" s="1"/>
  <c r="R70" i="5" a="1"/>
  <c r="R70" i="5" s="1"/>
  <c r="L70" i="5" a="1"/>
  <c r="L70" i="5" s="1"/>
  <c r="J36" i="5"/>
  <c r="K36" i="5"/>
  <c r="M36" i="5" s="1" a="1"/>
  <c r="M36" i="5" s="1"/>
  <c r="Q36" i="5"/>
  <c r="R36" i="5" s="1" a="1"/>
  <c r="R36" i="5" s="1"/>
  <c r="P36" i="5"/>
  <c r="W71" i="5"/>
  <c r="Y71" i="5" s="1" a="1"/>
  <c r="Y71" i="5" s="1"/>
  <c r="V71" i="5"/>
  <c r="W37" i="5"/>
  <c r="X37" i="5" s="1" a="1"/>
  <c r="X37" i="5" s="1"/>
  <c r="V37" i="5"/>
  <c r="K71" i="5"/>
  <c r="M71" i="5" s="1" a="1"/>
  <c r="M71" i="5" s="1"/>
  <c r="J71" i="5"/>
  <c r="Q71" i="5"/>
  <c r="S71" i="5" s="1" a="1"/>
  <c r="S71" i="5" s="1"/>
  <c r="P71" i="5"/>
  <c r="I37" i="5"/>
  <c r="C37" i="5"/>
  <c r="I72" i="5"/>
  <c r="O72" i="5"/>
  <c r="U38" i="5"/>
  <c r="O37" i="5"/>
  <c r="C72" i="5"/>
  <c r="U72" i="5"/>
  <c r="F71" i="5" l="1" a="1"/>
  <c r="F71" i="5" s="1"/>
  <c r="G36" i="5" a="1"/>
  <c r="G36" i="5" s="1"/>
  <c r="D37" i="5"/>
  <c r="E37" i="5"/>
  <c r="F37" i="5" s="1" a="1"/>
  <c r="F37" i="5" s="1"/>
  <c r="D72" i="5"/>
  <c r="E72" i="5"/>
  <c r="F72" i="5" s="1" a="1"/>
  <c r="F72" i="5" s="1"/>
  <c r="R71" i="5" a="1"/>
  <c r="R71" i="5" s="1"/>
  <c r="X71" i="5" a="1"/>
  <c r="X71" i="5" s="1"/>
  <c r="S36" i="5" a="1"/>
  <c r="S36" i="5" s="1"/>
  <c r="Y37" i="5" a="1"/>
  <c r="Y37" i="5" s="1"/>
  <c r="L71" i="5" a="1"/>
  <c r="L71" i="5" s="1"/>
  <c r="L36" i="5" a="1"/>
  <c r="L36" i="5" s="1"/>
  <c r="Q37" i="5"/>
  <c r="S37" i="5" s="1" a="1"/>
  <c r="S37" i="5" s="1"/>
  <c r="P37" i="5"/>
  <c r="W38" i="5"/>
  <c r="Y38" i="5" s="1" a="1"/>
  <c r="Y38" i="5" s="1"/>
  <c r="V38" i="5"/>
  <c r="W72" i="5"/>
  <c r="Y72" i="5" s="1" a="1"/>
  <c r="Y72" i="5" s="1"/>
  <c r="V72" i="5"/>
  <c r="Q72" i="5"/>
  <c r="R72" i="5" s="1" a="1"/>
  <c r="R72" i="5" s="1"/>
  <c r="P72" i="5"/>
  <c r="K72" i="5"/>
  <c r="M72" i="5" s="1" a="1"/>
  <c r="M72" i="5" s="1"/>
  <c r="J72" i="5"/>
  <c r="K37" i="5"/>
  <c r="L37" i="5" s="1" a="1"/>
  <c r="L37" i="5" s="1"/>
  <c r="J37" i="5"/>
  <c r="I38" i="5"/>
  <c r="C38" i="5"/>
  <c r="O73" i="5"/>
  <c r="I73" i="5"/>
  <c r="O38" i="5"/>
  <c r="C73" i="5"/>
  <c r="U39" i="5"/>
  <c r="U73" i="5"/>
  <c r="G37" i="5" l="1" a="1"/>
  <c r="G37" i="5" s="1"/>
  <c r="D73" i="5"/>
  <c r="E73" i="5"/>
  <c r="F73" i="5" s="1" a="1"/>
  <c r="F73" i="5" s="1"/>
  <c r="E38" i="5"/>
  <c r="G38" i="5" s="1" a="1"/>
  <c r="G38" i="5" s="1"/>
  <c r="D38" i="5"/>
  <c r="M37" i="5" a="1"/>
  <c r="M37" i="5" s="1"/>
  <c r="G72" i="5" a="1"/>
  <c r="G72" i="5" s="1"/>
  <c r="S72" i="5" a="1"/>
  <c r="S72" i="5" s="1"/>
  <c r="X38" i="5" a="1"/>
  <c r="X38" i="5" s="1"/>
  <c r="R37" i="5" a="1"/>
  <c r="R37" i="5" s="1"/>
  <c r="X72" i="5" a="1"/>
  <c r="X72" i="5" s="1"/>
  <c r="L72" i="5" a="1"/>
  <c r="L72" i="5" s="1"/>
  <c r="Q38" i="5"/>
  <c r="R38" i="5" s="1" a="1"/>
  <c r="R38" i="5" s="1"/>
  <c r="P38" i="5"/>
  <c r="W73" i="5"/>
  <c r="X73" i="5" s="1" a="1"/>
  <c r="X73" i="5" s="1"/>
  <c r="V73" i="5"/>
  <c r="W39" i="5"/>
  <c r="Y39" i="5" s="1" a="1"/>
  <c r="Y39" i="5" s="1"/>
  <c r="V39" i="5"/>
  <c r="K73" i="5"/>
  <c r="M73" i="5" s="1" a="1"/>
  <c r="M73" i="5" s="1"/>
  <c r="J73" i="5"/>
  <c r="Q73" i="5"/>
  <c r="S73" i="5" s="1" a="1"/>
  <c r="S73" i="5" s="1"/>
  <c r="P73" i="5"/>
  <c r="K38" i="5"/>
  <c r="M38" i="5" s="1" a="1"/>
  <c r="M38" i="5" s="1"/>
  <c r="J38" i="5"/>
  <c r="I39" i="5"/>
  <c r="C39" i="5"/>
  <c r="O74" i="5"/>
  <c r="I74" i="5"/>
  <c r="O39" i="5"/>
  <c r="U74" i="5"/>
  <c r="C74" i="5"/>
  <c r="U40" i="5"/>
  <c r="G73" i="5" l="1" a="1"/>
  <c r="G73" i="5" s="1"/>
  <c r="F38" i="5" a="1"/>
  <c r="F38" i="5" s="1"/>
  <c r="E39" i="5"/>
  <c r="F39" i="5" s="1" a="1"/>
  <c r="F39" i="5" s="1"/>
  <c r="D39" i="5"/>
  <c r="E74" i="5"/>
  <c r="F74" i="5" s="1" a="1"/>
  <c r="F74" i="5" s="1"/>
  <c r="D74" i="5"/>
  <c r="R73" i="5" a="1"/>
  <c r="R73" i="5" s="1"/>
  <c r="L38" i="5" a="1"/>
  <c r="L38" i="5" s="1"/>
  <c r="Y73" i="5" a="1"/>
  <c r="Y73" i="5" s="1"/>
  <c r="S38" i="5" a="1"/>
  <c r="S38" i="5" s="1"/>
  <c r="X39" i="5" a="1"/>
  <c r="X39" i="5" s="1"/>
  <c r="L73" i="5" a="1"/>
  <c r="L73" i="5" s="1"/>
  <c r="W74" i="5"/>
  <c r="X74" i="5" s="1" a="1"/>
  <c r="X74" i="5" s="1"/>
  <c r="V74" i="5"/>
  <c r="Q39" i="5"/>
  <c r="R39" i="5" s="1" a="1"/>
  <c r="R39" i="5" s="1"/>
  <c r="P39" i="5"/>
  <c r="Q74" i="5"/>
  <c r="S74" i="5" s="1" a="1"/>
  <c r="S74" i="5" s="1"/>
  <c r="P74" i="5"/>
  <c r="W40" i="5"/>
  <c r="X40" i="5" s="1" a="1"/>
  <c r="X40" i="5" s="1"/>
  <c r="V40" i="5"/>
  <c r="K74" i="5"/>
  <c r="M74" i="5" s="1" a="1"/>
  <c r="M74" i="5" s="1"/>
  <c r="J74" i="5"/>
  <c r="K39" i="5"/>
  <c r="M39" i="5" s="1" a="1"/>
  <c r="M39" i="5" s="1"/>
  <c r="J39" i="5"/>
  <c r="I40" i="5"/>
  <c r="C40" i="5"/>
  <c r="I75" i="5"/>
  <c r="O75" i="5"/>
  <c r="U41" i="5"/>
  <c r="C75" i="5"/>
  <c r="U75" i="5"/>
  <c r="O40" i="5"/>
  <c r="Y40" i="5" l="1" a="1"/>
  <c r="Y40" i="5" s="1"/>
  <c r="G39" i="5" a="1"/>
  <c r="G39" i="5" s="1"/>
  <c r="G74" i="5" a="1"/>
  <c r="G74" i="5" s="1"/>
  <c r="E75" i="5"/>
  <c r="G75" i="5" s="1" a="1"/>
  <c r="G75" i="5" s="1"/>
  <c r="D75" i="5"/>
  <c r="E40" i="5"/>
  <c r="F40" i="5" s="1" a="1"/>
  <c r="F40" i="5" s="1"/>
  <c r="D40" i="5"/>
  <c r="L74" i="5" a="1"/>
  <c r="L74" i="5" s="1"/>
  <c r="Y74" i="5" a="1"/>
  <c r="Y74" i="5" s="1"/>
  <c r="S39" i="5" a="1"/>
  <c r="S39" i="5" s="1"/>
  <c r="R74" i="5" a="1"/>
  <c r="R74" i="5" s="1"/>
  <c r="L39" i="5" a="1"/>
  <c r="L39" i="5" s="1"/>
  <c r="Q40" i="5"/>
  <c r="S40" i="5" s="1" a="1"/>
  <c r="S40" i="5" s="1"/>
  <c r="P40" i="5"/>
  <c r="W75" i="5"/>
  <c r="X75" i="5" s="1" a="1"/>
  <c r="X75" i="5" s="1"/>
  <c r="V75" i="5"/>
  <c r="K40" i="5"/>
  <c r="L40" i="5" s="1" a="1"/>
  <c r="L40" i="5" s="1"/>
  <c r="J40" i="5"/>
  <c r="Q75" i="5"/>
  <c r="S75" i="5" s="1" a="1"/>
  <c r="S75" i="5" s="1"/>
  <c r="P75" i="5"/>
  <c r="K75" i="5"/>
  <c r="L75" i="5" s="1" a="1"/>
  <c r="L75" i="5" s="1"/>
  <c r="J75" i="5"/>
  <c r="W41" i="5"/>
  <c r="Y41" i="5" s="1" a="1"/>
  <c r="Y41" i="5" s="1"/>
  <c r="V41" i="5"/>
  <c r="I41" i="5"/>
  <c r="C41" i="5"/>
  <c r="O76" i="5"/>
  <c r="I76" i="5"/>
  <c r="U42" i="5"/>
  <c r="C76" i="5"/>
  <c r="U76" i="5"/>
  <c r="O41" i="5"/>
  <c r="F75" i="5" l="1" a="1"/>
  <c r="F75" i="5" s="1"/>
  <c r="G40" i="5" a="1"/>
  <c r="G40" i="5" s="1"/>
  <c r="M40" i="5" a="1"/>
  <c r="M40" i="5" s="1"/>
  <c r="D76" i="5"/>
  <c r="E76" i="5"/>
  <c r="F76" i="5" s="1" a="1"/>
  <c r="F76" i="5" s="1"/>
  <c r="E41" i="5"/>
  <c r="G41" i="5" s="1" a="1"/>
  <c r="G41" i="5" s="1"/>
  <c r="D41" i="5"/>
  <c r="M75" i="5" a="1"/>
  <c r="M75" i="5" s="1"/>
  <c r="R40" i="5" a="1"/>
  <c r="R40" i="5" s="1"/>
  <c r="Y75" i="5" a="1"/>
  <c r="Y75" i="5" s="1"/>
  <c r="R75" i="5" a="1"/>
  <c r="R75" i="5" s="1"/>
  <c r="X41" i="5" a="1"/>
  <c r="X41" i="5" s="1"/>
  <c r="W76" i="5"/>
  <c r="Y76" i="5" s="1" a="1"/>
  <c r="Y76" i="5" s="1"/>
  <c r="V76" i="5"/>
  <c r="K76" i="5"/>
  <c r="M76" i="5" s="1" a="1"/>
  <c r="M76" i="5" s="1"/>
  <c r="J76" i="5"/>
  <c r="K41" i="5"/>
  <c r="M41" i="5" s="1" a="1"/>
  <c r="M41" i="5" s="1"/>
  <c r="J41" i="5"/>
  <c r="Q41" i="5"/>
  <c r="R41" i="5" s="1" a="1"/>
  <c r="R41" i="5" s="1"/>
  <c r="P41" i="5"/>
  <c r="W42" i="5"/>
  <c r="Y42" i="5" s="1" a="1"/>
  <c r="Y42" i="5" s="1"/>
  <c r="V42" i="5"/>
  <c r="Q76" i="5"/>
  <c r="R76" i="5" s="1" a="1"/>
  <c r="R76" i="5" s="1"/>
  <c r="P76" i="5"/>
  <c r="I42" i="5"/>
  <c r="C42" i="5"/>
  <c r="I77" i="5"/>
  <c r="O77" i="5"/>
  <c r="U77" i="5"/>
  <c r="O42" i="5"/>
  <c r="C77" i="5"/>
  <c r="G76" i="5" l="1" a="1"/>
  <c r="G76" i="5" s="1"/>
  <c r="F41" i="5" a="1"/>
  <c r="F41" i="5" s="1"/>
  <c r="S76" i="5" a="1"/>
  <c r="S76" i="5" s="1"/>
  <c r="X42" i="5" a="1"/>
  <c r="X42" i="5" s="1"/>
  <c r="D42" i="5"/>
  <c r="E42" i="5"/>
  <c r="F42" i="5" s="1" a="1"/>
  <c r="F42" i="5" s="1"/>
  <c r="E77" i="5"/>
  <c r="F77" i="5" s="1" a="1"/>
  <c r="F77" i="5" s="1"/>
  <c r="D77" i="5"/>
  <c r="L41" i="5" a="1"/>
  <c r="L41" i="5" s="1"/>
  <c r="X76" i="5" a="1"/>
  <c r="X76" i="5" s="1"/>
  <c r="S41" i="5" a="1"/>
  <c r="S41" i="5" s="1"/>
  <c r="L76" i="5" a="1"/>
  <c r="L76" i="5" s="1"/>
  <c r="Q42" i="5"/>
  <c r="S42" i="5" s="1" a="1"/>
  <c r="S42" i="5" s="1"/>
  <c r="P42" i="5"/>
  <c r="K77" i="5"/>
  <c r="M77" i="5" s="1" a="1"/>
  <c r="M77" i="5" s="1"/>
  <c r="J77" i="5"/>
  <c r="W77" i="5"/>
  <c r="Y77" i="5" s="1" a="1"/>
  <c r="Y77" i="5" s="1"/>
  <c r="V77" i="5"/>
  <c r="Q77" i="5"/>
  <c r="S77" i="5" s="1" a="1"/>
  <c r="S77" i="5" s="1"/>
  <c r="P77" i="5"/>
  <c r="K42" i="5"/>
  <c r="M42" i="5" s="1" a="1"/>
  <c r="M42" i="5" s="1"/>
  <c r="J42" i="5"/>
  <c r="G42" i="5" l="1" a="1"/>
  <c r="G42" i="5" s="1"/>
  <c r="R42" i="5" a="1"/>
  <c r="R42" i="5" s="1"/>
  <c r="G77" i="5" a="1"/>
  <c r="G77" i="5" s="1"/>
  <c r="L77" i="5" a="1"/>
  <c r="L77" i="5" s="1"/>
  <c r="X77" i="5" a="1"/>
  <c r="X77" i="5" s="1"/>
  <c r="L42" i="5" a="1"/>
  <c r="L42" i="5" s="1"/>
  <c r="R77" i="5" a="1"/>
  <c r="R77" i="5" s="1"/>
  <c r="C31" i="3"/>
  <c r="R31" i="3"/>
  <c r="M31" i="3"/>
  <c r="H31" i="3"/>
  <c r="M12" i="3"/>
  <c r="R12" i="3"/>
  <c r="C12" i="3"/>
  <c r="H12" i="3"/>
  <c r="J12" i="3" l="1"/>
  <c r="K12" i="3"/>
  <c r="I12" i="3"/>
  <c r="E12" i="3"/>
  <c r="F12" i="3"/>
  <c r="D12" i="3"/>
  <c r="P12" i="3"/>
  <c r="N12" i="3"/>
  <c r="O12" i="3"/>
  <c r="U12" i="3"/>
  <c r="T12" i="3"/>
  <c r="S12" i="3"/>
  <c r="K31" i="3"/>
  <c r="J31" i="3"/>
  <c r="I31" i="3"/>
  <c r="P31" i="3"/>
  <c r="N31" i="3"/>
  <c r="O31" i="3"/>
  <c r="S31" i="3"/>
  <c r="U31" i="3"/>
  <c r="T31" i="3"/>
  <c r="F31" i="3"/>
  <c r="E31" i="3"/>
  <c r="D31" i="3"/>
  <c r="D43" i="5"/>
  <c r="P78" i="5"/>
  <c r="J78" i="5"/>
  <c r="W78" i="5"/>
  <c r="W43" i="5"/>
  <c r="D78" i="5"/>
  <c r="K43" i="5"/>
  <c r="J43" i="5"/>
  <c r="E78" i="5"/>
  <c r="V43" i="5"/>
  <c r="V78" i="5"/>
  <c r="E43" i="5"/>
  <c r="Q43" i="5"/>
  <c r="P43" i="5"/>
  <c r="M13" i="3"/>
  <c r="H32" i="3"/>
  <c r="M32" i="3"/>
  <c r="R32" i="3"/>
  <c r="C32" i="3"/>
  <c r="R13" i="3"/>
  <c r="C13" i="3"/>
  <c r="H13" i="3"/>
  <c r="I13" i="3" l="1"/>
  <c r="K13" i="3"/>
  <c r="J13" i="3"/>
  <c r="U13" i="3"/>
  <c r="T13" i="3"/>
  <c r="S13" i="3"/>
  <c r="O32" i="3"/>
  <c r="N32" i="3"/>
  <c r="P32" i="3"/>
  <c r="O13" i="3"/>
  <c r="P13" i="3"/>
  <c r="N13" i="3"/>
  <c r="U32" i="3"/>
  <c r="T32" i="3"/>
  <c r="S32" i="3"/>
  <c r="D13" i="3"/>
  <c r="F13" i="3"/>
  <c r="E13" i="3"/>
  <c r="F32" i="3"/>
  <c r="E32" i="3"/>
  <c r="D32" i="3"/>
  <c r="K32" i="3"/>
  <c r="J32" i="3"/>
  <c r="I32" i="3"/>
  <c r="M43" i="5"/>
  <c r="C33" i="3"/>
  <c r="R33" i="3"/>
  <c r="M33" i="3"/>
  <c r="H33" i="3"/>
  <c r="H14" i="3"/>
  <c r="C14" i="3"/>
  <c r="R14" i="3"/>
  <c r="M14" i="3"/>
  <c r="F43" i="5"/>
  <c r="G43" i="5"/>
  <c r="Q78" i="5"/>
  <c r="F78" i="5"/>
  <c r="X78" i="5"/>
  <c r="G78" i="5"/>
  <c r="Y78" i="5"/>
  <c r="R43" i="5"/>
  <c r="L43" i="5"/>
  <c r="Y43" i="5"/>
  <c r="S43" i="5"/>
  <c r="X43" i="5"/>
  <c r="K78" i="5"/>
  <c r="I14" i="3" l="1"/>
  <c r="K14" i="3"/>
  <c r="J14" i="3"/>
  <c r="R34" i="3"/>
  <c r="R35" i="3" s="1"/>
  <c r="U33" i="3"/>
  <c r="T33" i="3"/>
  <c r="S33" i="3"/>
  <c r="C34" i="3"/>
  <c r="C35" i="3" s="1"/>
  <c r="E33" i="3"/>
  <c r="D33" i="3"/>
  <c r="F33" i="3"/>
  <c r="O14" i="3"/>
  <c r="N14" i="3"/>
  <c r="P14" i="3"/>
  <c r="R15" i="3"/>
  <c r="R16" i="3" s="1"/>
  <c r="U14" i="3"/>
  <c r="T14" i="3"/>
  <c r="S14" i="3"/>
  <c r="C15" i="3"/>
  <c r="C16" i="3" s="1"/>
  <c r="D14" i="3"/>
  <c r="F14" i="3"/>
  <c r="E14" i="3"/>
  <c r="H34" i="3"/>
  <c r="H35" i="3" s="1"/>
  <c r="K33" i="3"/>
  <c r="J33" i="3"/>
  <c r="I33" i="3"/>
  <c r="M34" i="3"/>
  <c r="M35" i="3" s="1"/>
  <c r="O33" i="3"/>
  <c r="N33" i="3"/>
  <c r="P33" i="3"/>
  <c r="H15" i="3"/>
  <c r="M15" i="3"/>
  <c r="M78" i="5"/>
  <c r="L78" i="5"/>
  <c r="R78" i="5"/>
  <c r="S78" i="5"/>
  <c r="I15" i="3" l="1"/>
  <c r="J15" i="3"/>
  <c r="K15" i="3"/>
  <c r="E16" i="3"/>
  <c r="D16" i="3"/>
  <c r="F16" i="3"/>
  <c r="P34" i="3"/>
  <c r="O34" i="3"/>
  <c r="N34" i="3"/>
  <c r="F15" i="3"/>
  <c r="D15" i="3"/>
  <c r="E15" i="3"/>
  <c r="N35" i="3"/>
  <c r="O35" i="3"/>
  <c r="P35" i="3"/>
  <c r="O15" i="3"/>
  <c r="N15" i="3"/>
  <c r="P15" i="3"/>
  <c r="F34" i="3"/>
  <c r="E34" i="3"/>
  <c r="D34" i="3"/>
  <c r="U35" i="3"/>
  <c r="T35" i="3"/>
  <c r="S35" i="3"/>
  <c r="I34" i="3"/>
  <c r="K34" i="3"/>
  <c r="J34" i="3"/>
  <c r="T15" i="3"/>
  <c r="S15" i="3"/>
  <c r="U15" i="3"/>
  <c r="U16" i="3"/>
  <c r="T16" i="3"/>
  <c r="S16" i="3"/>
  <c r="J35" i="3"/>
  <c r="I35" i="3"/>
  <c r="K35" i="3"/>
  <c r="E35" i="3"/>
  <c r="D35" i="3"/>
  <c r="F35" i="3"/>
  <c r="S34" i="3"/>
  <c r="U34" i="3"/>
  <c r="T34" i="3"/>
  <c r="M16" i="3"/>
  <c r="H16" i="3"/>
  <c r="R17" i="3"/>
  <c r="C17" i="3"/>
  <c r="I16" i="3" l="1"/>
  <c r="K16" i="3"/>
  <c r="J16" i="3"/>
  <c r="N36" i="3"/>
  <c r="S36" i="3"/>
  <c r="D36" i="3"/>
  <c r="P36" i="3"/>
  <c r="T36" i="3"/>
  <c r="I36" i="3"/>
  <c r="O36" i="3"/>
  <c r="E36" i="3"/>
  <c r="K36" i="3"/>
  <c r="U36" i="3"/>
  <c r="J36" i="3"/>
  <c r="F36" i="3"/>
  <c r="U17" i="3"/>
  <c r="T17" i="3"/>
  <c r="S17" i="3"/>
  <c r="M17" i="3"/>
  <c r="M18" i="3" s="1"/>
  <c r="P16" i="3"/>
  <c r="O16" i="3"/>
  <c r="N16" i="3"/>
  <c r="F17" i="3"/>
  <c r="E17" i="3"/>
  <c r="D17" i="3"/>
  <c r="H17" i="3"/>
  <c r="C18" i="3"/>
  <c r="R18" i="3"/>
  <c r="I17" i="3" l="1"/>
  <c r="J17" i="3"/>
  <c r="K17" i="3"/>
  <c r="P18" i="3"/>
  <c r="O18" i="3"/>
  <c r="N18" i="3"/>
  <c r="S18" i="3"/>
  <c r="U18" i="3"/>
  <c r="T18" i="3"/>
  <c r="E18" i="3"/>
  <c r="F18" i="3"/>
  <c r="D18" i="3"/>
  <c r="N17" i="3"/>
  <c r="P17" i="3"/>
  <c r="O17" i="3"/>
  <c r="H18" i="3"/>
  <c r="C19" i="3"/>
  <c r="M19" i="3"/>
  <c r="R19" i="3"/>
  <c r="I18" i="3" l="1"/>
  <c r="J18" i="3"/>
  <c r="K18" i="3"/>
  <c r="E19" i="3"/>
  <c r="F19" i="3"/>
  <c r="D19" i="3"/>
  <c r="S19" i="3"/>
  <c r="U19" i="3"/>
  <c r="T19" i="3"/>
  <c r="P19" i="3"/>
  <c r="O19" i="3"/>
  <c r="N19" i="3"/>
  <c r="H19" i="3"/>
  <c r="M20" i="3"/>
  <c r="C20" i="3"/>
  <c r="R20" i="3"/>
  <c r="I19" i="3" l="1"/>
  <c r="J19" i="3"/>
  <c r="K19" i="3"/>
  <c r="U20" i="3"/>
  <c r="T20" i="3"/>
  <c r="S20" i="3"/>
  <c r="D20" i="3"/>
  <c r="F20" i="3"/>
  <c r="E20" i="3"/>
  <c r="N20" i="3"/>
  <c r="P20" i="3"/>
  <c r="O20" i="3"/>
  <c r="H20" i="3"/>
  <c r="M21" i="3"/>
  <c r="R21" i="3"/>
  <c r="C21" i="3"/>
  <c r="I20" i="3" l="1"/>
  <c r="J20" i="3"/>
  <c r="K20" i="3"/>
  <c r="D21" i="3"/>
  <c r="F21" i="3"/>
  <c r="E21" i="3"/>
  <c r="U21" i="3"/>
  <c r="S21" i="3"/>
  <c r="T21" i="3"/>
  <c r="O21" i="3"/>
  <c r="P21" i="3"/>
  <c r="N21" i="3"/>
  <c r="H21" i="3"/>
  <c r="R22" i="3"/>
  <c r="M22" i="3"/>
  <c r="C22" i="3"/>
  <c r="I21" i="3" l="1"/>
  <c r="K21" i="3"/>
  <c r="J21" i="3"/>
  <c r="E22" i="3"/>
  <c r="D22" i="3"/>
  <c r="F22" i="3"/>
  <c r="O22" i="3"/>
  <c r="N22" i="3"/>
  <c r="P22" i="3"/>
  <c r="S22" i="3"/>
  <c r="U22" i="3"/>
  <c r="T22" i="3"/>
  <c r="H22" i="3"/>
  <c r="C23" i="3"/>
  <c r="R23" i="3"/>
  <c r="M23" i="3"/>
  <c r="I22" i="3" l="1"/>
  <c r="K22" i="3"/>
  <c r="J22" i="3"/>
  <c r="N23" i="3"/>
  <c r="P23" i="3"/>
  <c r="O23" i="3"/>
  <c r="T23" i="3"/>
  <c r="S23" i="3"/>
  <c r="U23" i="3"/>
  <c r="F23" i="3"/>
  <c r="E23" i="3"/>
  <c r="D23" i="3"/>
  <c r="H23" i="3"/>
  <c r="C24" i="3"/>
  <c r="R24" i="3"/>
  <c r="M24" i="3"/>
  <c r="I23" i="3" l="1"/>
  <c r="J23" i="3"/>
  <c r="K23" i="3"/>
  <c r="P24" i="3"/>
  <c r="N24" i="3"/>
  <c r="O24" i="3"/>
  <c r="U24" i="3"/>
  <c r="T24" i="3"/>
  <c r="S24" i="3"/>
  <c r="F24" i="3"/>
  <c r="E24" i="3"/>
  <c r="D24" i="3"/>
  <c r="H24" i="3"/>
  <c r="R25" i="3"/>
  <c r="M25" i="3"/>
  <c r="C25" i="3"/>
  <c r="I24" i="3" l="1"/>
  <c r="K24" i="3"/>
  <c r="J24" i="3"/>
  <c r="F25" i="3"/>
  <c r="E25" i="3"/>
  <c r="D25" i="3"/>
  <c r="N25" i="3"/>
  <c r="P25" i="3"/>
  <c r="O25" i="3"/>
  <c r="U25" i="3"/>
  <c r="T25" i="3"/>
  <c r="S25" i="3"/>
  <c r="H25" i="3"/>
  <c r="R26" i="3"/>
  <c r="C26" i="3"/>
  <c r="M26" i="3"/>
  <c r="I25" i="3" l="1"/>
  <c r="J25" i="3"/>
  <c r="K25" i="3"/>
  <c r="P26" i="3"/>
  <c r="P27" i="3" s="1"/>
  <c r="O26" i="3"/>
  <c r="O27" i="3" s="1"/>
  <c r="N26" i="3"/>
  <c r="N27" i="3" s="1"/>
  <c r="E26" i="3"/>
  <c r="E27" i="3" s="1"/>
  <c r="D26" i="3"/>
  <c r="D27" i="3" s="1"/>
  <c r="F26" i="3"/>
  <c r="F27" i="3" s="1"/>
  <c r="S26" i="3"/>
  <c r="S27" i="3" s="1"/>
  <c r="T26" i="3"/>
  <c r="T27" i="3" s="1"/>
  <c r="U26" i="3"/>
  <c r="U27" i="3" s="1"/>
  <c r="H26" i="3"/>
  <c r="J26" i="3" l="1"/>
  <c r="K26" i="3"/>
  <c r="I26" i="3"/>
  <c r="K27" i="3" l="1"/>
  <c r="I27" i="3"/>
  <c r="J2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<sst xmlns="http://schemas.openxmlformats.org/spreadsheetml/2006/main" count="16221" uniqueCount="44">
  <si>
    <t>Big Bag</t>
  </si>
  <si>
    <t>Conc.</t>
  </si>
  <si>
    <t>Proteina</t>
  </si>
  <si>
    <t>TOTAL</t>
  </si>
  <si>
    <t>Para:</t>
  </si>
  <si>
    <t>CC:</t>
  </si>
  <si>
    <t>Assunto</t>
  </si>
  <si>
    <t>Corpo do Email:</t>
  </si>
  <si>
    <t>-</t>
  </si>
  <si>
    <t>ABC1234</t>
  </si>
  <si>
    <t>Bag</t>
  </si>
  <si>
    <t>Bulk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</si>
  <si>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</si>
  <si>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</si>
  <si>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</si>
  <si>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</si>
  <si>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</si>
  <si>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</si>
  <si>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</si>
  <si>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</si>
  <si>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Date:</t>
  </si>
  <si>
    <t>Operator:</t>
  </si>
  <si>
    <t>John Doe</t>
  </si>
  <si>
    <t>Load</t>
  </si>
  <si>
    <t>Loads</t>
  </si>
  <si>
    <t>Weight</t>
  </si>
  <si>
    <t>Spec1</t>
  </si>
  <si>
    <t>Spec2</t>
  </si>
  <si>
    <t>Spec3</t>
  </si>
  <si>
    <t>Spec4</t>
  </si>
  <si>
    <t xml:space="preserve">John_Doe@XXXX.com; 
Joane_Doe@XXXX.com; </t>
  </si>
  <si>
    <t>TRUCK LOADING CONTROL</t>
  </si>
  <si>
    <t>MIN</t>
  </si>
  <si>
    <t>MÁX</t>
  </si>
  <si>
    <t>Good morning,
Find attached all Date on the truck loading.
Regards,
Loading Area</t>
  </si>
  <si>
    <t>Date</t>
  </si>
  <si>
    <t>Time</t>
  </si>
  <si>
    <t>Plate #</t>
  </si>
  <si>
    <t>Product</t>
  </si>
  <si>
    <t>Client</t>
  </si>
  <si>
    <t>Type</t>
  </si>
  <si>
    <t>Amount</t>
  </si>
  <si>
    <t>TESTE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</si>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</sst>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71" formatCode="h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b/>
      <sz val="11"/>
      <color rgb="FF0000FF"/>
      <name val="Calibri"/>
      <family val="2"/>
      <scheme val="minor"/>
    </font>
    <font>
      <b/>
      <sz val="18"/>
      <color indexed="17"/>
      <name val="Calibri"/>
      <family val="2"/>
      <scheme val="minor"/>
    </font>
    <font>
      <b/>
      <i/>
      <sz val="12"/>
      <color indexed="58"/>
      <name val="Calibri"/>
      <family val="2"/>
      <scheme val="minor"/>
    </font>
    <font>
      <b/>
      <sz val="12"/>
      <color indexed="12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1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center" vertical="center"/>
    </xf>
    <xf numFmtId="4" fontId="3" fillId="3" borderId="2" xfId="0" applyNumberFormat="1" applyFont="1" applyFill="1" applyBorder="1" applyAlignment="1">
      <alignment horizontal="center" vertical="center"/>
    </xf>
    <xf numFmtId="3" fontId="5" fillId="4" borderId="1" xfId="0" applyNumberFormat="1" applyFont="1" applyFill="1" applyBorder="1" applyAlignment="1">
      <alignment horizontal="center" vertical="center"/>
    </xf>
    <xf numFmtId="3" fontId="3" fillId="4" borderId="2" xfId="0" applyNumberFormat="1" applyFont="1" applyFill="1" applyBorder="1" applyAlignment="1">
      <alignment horizontal="center" vertical="center"/>
    </xf>
    <xf numFmtId="4" fontId="3" fillId="4" borderId="2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3" fillId="5" borderId="2" xfId="0" applyNumberFormat="1" applyFont="1" applyFill="1" applyBorder="1" applyAlignment="1">
      <alignment horizontal="center" vertical="center"/>
    </xf>
    <xf numFmtId="4" fontId="3" fillId="5" borderId="2" xfId="0" applyNumberFormat="1" applyFont="1" applyFill="1" applyBorder="1" applyAlignment="1">
      <alignment horizontal="center" vertical="center"/>
    </xf>
    <xf numFmtId="3" fontId="5" fillId="6" borderId="1" xfId="0" applyNumberFormat="1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4" fontId="3" fillId="6" borderId="2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3" fillId="7" borderId="2" xfId="0" applyNumberFormat="1" applyFont="1" applyFill="1" applyBorder="1" applyAlignment="1">
      <alignment horizontal="center" vertical="center"/>
    </xf>
    <xf numFmtId="4" fontId="3" fillId="7" borderId="2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" fontId="9" fillId="3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4" fontId="9" fillId="4" borderId="1" xfId="0" applyNumberFormat="1" applyFont="1" applyFill="1" applyBorder="1" applyAlignment="1">
      <alignment horizontal="center" vertical="center"/>
    </xf>
    <xf numFmtId="3" fontId="9" fillId="5" borderId="1" xfId="0" applyNumberFormat="1" applyFont="1" applyFill="1" applyBorder="1" applyAlignment="1">
      <alignment horizontal="center" vertical="center"/>
    </xf>
    <xf numFmtId="4" fontId="9" fillId="5" borderId="1" xfId="0" applyNumberFormat="1" applyFont="1" applyFill="1" applyBorder="1" applyAlignment="1">
      <alignment horizontal="center" vertical="center"/>
    </xf>
    <xf numFmtId="3" fontId="9" fillId="6" borderId="1" xfId="0" applyNumberFormat="1" applyFont="1" applyFill="1" applyBorder="1" applyAlignment="1">
      <alignment horizontal="center" vertical="center"/>
    </xf>
    <xf numFmtId="4" fontId="9" fillId="6" borderId="1" xfId="0" applyNumberFormat="1" applyFont="1" applyFill="1" applyBorder="1" applyAlignment="1">
      <alignment horizontal="center" vertical="center"/>
    </xf>
    <xf numFmtId="3" fontId="9" fillId="7" borderId="1" xfId="0" applyNumberFormat="1" applyFont="1" applyFill="1" applyBorder="1" applyAlignment="1">
      <alignment horizontal="center" vertical="center"/>
    </xf>
    <xf numFmtId="4" fontId="9" fillId="7" borderId="1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3" fillId="9" borderId="2" xfId="0" applyNumberFormat="1" applyFont="1" applyFill="1" applyBorder="1" applyAlignment="1">
      <alignment horizontal="center" vertical="center"/>
    </xf>
    <xf numFmtId="4" fontId="3" fillId="9" borderId="2" xfId="0" applyNumberFormat="1" applyFont="1" applyFill="1" applyBorder="1" applyAlignment="1">
      <alignment horizontal="center" vertical="center"/>
    </xf>
    <xf numFmtId="3" fontId="9" fillId="9" borderId="1" xfId="0" applyNumberFormat="1" applyFont="1" applyFill="1" applyBorder="1" applyAlignment="1">
      <alignment horizontal="center" vertical="center"/>
    </xf>
    <xf numFmtId="4" fontId="9" fillId="9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3" fontId="5" fillId="10" borderId="1" xfId="0" applyNumberFormat="1" applyFont="1" applyFill="1" applyBorder="1" applyAlignment="1">
      <alignment horizontal="center" vertical="center"/>
    </xf>
    <xf numFmtId="3" fontId="3" fillId="10" borderId="2" xfId="0" applyNumberFormat="1" applyFont="1" applyFill="1" applyBorder="1" applyAlignment="1">
      <alignment horizontal="center" vertical="center"/>
    </xf>
    <xf numFmtId="4" fontId="3" fillId="10" borderId="2" xfId="0" applyNumberFormat="1" applyFont="1" applyFill="1" applyBorder="1" applyAlignment="1">
      <alignment horizontal="center" vertical="center"/>
    </xf>
    <xf numFmtId="3" fontId="9" fillId="10" borderId="1" xfId="0" applyNumberFormat="1" applyFont="1" applyFill="1" applyBorder="1" applyAlignment="1">
      <alignment horizontal="center" vertical="center"/>
    </xf>
    <xf numFmtId="4" fontId="9" fillId="10" borderId="1" xfId="0" applyNumberFormat="1" applyFont="1" applyFill="1" applyBorder="1" applyAlignment="1">
      <alignment horizontal="center" vertical="center"/>
    </xf>
    <xf numFmtId="3" fontId="5" fillId="11" borderId="1" xfId="0" applyNumberFormat="1" applyFont="1" applyFill="1" applyBorder="1" applyAlignment="1">
      <alignment horizontal="center" vertical="center"/>
    </xf>
    <xf numFmtId="3" fontId="3" fillId="11" borderId="2" xfId="0" applyNumberFormat="1" applyFont="1" applyFill="1" applyBorder="1" applyAlignment="1">
      <alignment horizontal="center" vertical="center"/>
    </xf>
    <xf numFmtId="4" fontId="3" fillId="11" borderId="2" xfId="0" applyNumberFormat="1" applyFont="1" applyFill="1" applyBorder="1" applyAlignment="1">
      <alignment horizontal="center" vertical="center"/>
    </xf>
    <xf numFmtId="3" fontId="9" fillId="11" borderId="1" xfId="0" applyNumberFormat="1" applyFont="1" applyFill="1" applyBorder="1" applyAlignment="1">
      <alignment horizontal="center" vertical="center"/>
    </xf>
    <xf numFmtId="4" fontId="9" fillId="11" borderId="1" xfId="0" applyNumberFormat="1" applyFont="1" applyFill="1" applyBorder="1" applyAlignment="1">
      <alignment horizontal="center" vertical="center"/>
    </xf>
    <xf numFmtId="4" fontId="9" fillId="10" borderId="1" xfId="0" quotePrefix="1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164" fontId="5" fillId="9" borderId="1" xfId="0" applyNumberFormat="1" applyFont="1" applyFill="1" applyBorder="1" applyAlignment="1">
      <alignment horizontal="center" vertical="center"/>
    </xf>
    <xf numFmtId="164" fontId="9" fillId="9" borderId="1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 applyAlignment="1">
      <alignment horizontal="center" vertical="center"/>
    </xf>
    <xf numFmtId="164" fontId="3" fillId="10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11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0" xfId="0" applyFont="1"/>
    <xf numFmtId="0" fontId="0" fillId="0" borderId="0" xfId="0" quotePrefix="1"/>
    <xf numFmtId="3" fontId="0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quotePrefix="1" applyFont="1" applyAlignment="1">
      <alignment wrapText="1"/>
    </xf>
    <xf numFmtId="0" fontId="16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3" fontId="8" fillId="9" borderId="3" xfId="0" applyNumberFormat="1" applyFont="1" applyFill="1" applyBorder="1" applyAlignment="1">
      <alignment horizontal="center" vertical="center" wrapText="1"/>
    </xf>
    <xf numFmtId="3" fontId="8" fillId="9" borderId="4" xfId="0" applyNumberFormat="1" applyFont="1" applyFill="1" applyBorder="1" applyAlignment="1">
      <alignment horizontal="center" vertical="center"/>
    </xf>
    <xf numFmtId="3" fontId="8" fillId="9" borderId="5" xfId="0" applyNumberFormat="1" applyFont="1" applyFill="1" applyBorder="1" applyAlignment="1">
      <alignment horizontal="center" vertical="center"/>
    </xf>
    <xf numFmtId="3" fontId="8" fillId="3" borderId="3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3" fontId="8" fillId="3" borderId="5" xfId="0" applyNumberFormat="1" applyFont="1" applyFill="1" applyBorder="1" applyAlignment="1">
      <alignment horizontal="center" vertical="center"/>
    </xf>
    <xf numFmtId="3" fontId="8" fillId="4" borderId="3" xfId="0" applyNumberFormat="1" applyFont="1" applyFill="1" applyBorder="1" applyAlignment="1">
      <alignment horizontal="center" vertical="center"/>
    </xf>
    <xf numFmtId="3" fontId="8" fillId="4" borderId="4" xfId="0" applyNumberFormat="1" applyFont="1" applyFill="1" applyBorder="1" applyAlignment="1">
      <alignment horizontal="center" vertical="center"/>
    </xf>
    <xf numFmtId="3" fontId="8" fillId="4" borderId="5" xfId="0" applyNumberFormat="1" applyFont="1" applyFill="1" applyBorder="1" applyAlignment="1">
      <alignment horizontal="center" vertical="center"/>
    </xf>
    <xf numFmtId="3" fontId="8" fillId="5" borderId="3" xfId="0" applyNumberFormat="1" applyFont="1" applyFill="1" applyBorder="1" applyAlignment="1">
      <alignment horizontal="center" vertical="center"/>
    </xf>
    <xf numFmtId="3" fontId="8" fillId="5" borderId="4" xfId="0" applyNumberFormat="1" applyFont="1" applyFill="1" applyBorder="1" applyAlignment="1">
      <alignment horizontal="center" vertical="center"/>
    </xf>
    <xf numFmtId="3" fontId="8" fillId="5" borderId="5" xfId="0" applyNumberFormat="1" applyFont="1" applyFill="1" applyBorder="1" applyAlignment="1">
      <alignment horizontal="center" vertical="center"/>
    </xf>
    <xf numFmtId="3" fontId="8" fillId="10" borderId="3" xfId="0" applyNumberFormat="1" applyFont="1" applyFill="1" applyBorder="1" applyAlignment="1">
      <alignment horizontal="center" vertical="center"/>
    </xf>
    <xf numFmtId="3" fontId="8" fillId="10" borderId="4" xfId="0" applyNumberFormat="1" applyFont="1" applyFill="1" applyBorder="1" applyAlignment="1">
      <alignment horizontal="center" vertical="center"/>
    </xf>
    <xf numFmtId="3" fontId="8" fillId="10" borderId="5" xfId="0" applyNumberFormat="1" applyFont="1" applyFill="1" applyBorder="1" applyAlignment="1">
      <alignment horizontal="center" vertical="center"/>
    </xf>
    <xf numFmtId="3" fontId="8" fillId="6" borderId="3" xfId="0" applyNumberFormat="1" applyFont="1" applyFill="1" applyBorder="1" applyAlignment="1">
      <alignment horizontal="center" vertical="center"/>
    </xf>
    <xf numFmtId="3" fontId="8" fillId="6" borderId="4" xfId="0" applyNumberFormat="1" applyFont="1" applyFill="1" applyBorder="1" applyAlignment="1">
      <alignment horizontal="center" vertical="center"/>
    </xf>
    <xf numFmtId="3" fontId="8" fillId="6" borderId="5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3" fontId="8" fillId="7" borderId="4" xfId="0" applyNumberFormat="1" applyFont="1" applyFill="1" applyBorder="1" applyAlignment="1">
      <alignment horizontal="center" vertical="center"/>
    </xf>
    <xf numFmtId="3" fontId="8" fillId="7" borderId="5" xfId="0" applyNumberFormat="1" applyFont="1" applyFill="1" applyBorder="1" applyAlignment="1">
      <alignment horizontal="center" vertical="center"/>
    </xf>
    <xf numFmtId="3" fontId="8" fillId="11" borderId="3" xfId="0" applyNumberFormat="1" applyFont="1" applyFill="1" applyBorder="1" applyAlignment="1">
      <alignment horizontal="center" vertical="center"/>
    </xf>
    <xf numFmtId="3" fontId="8" fillId="11" borderId="4" xfId="0" applyNumberFormat="1" applyFont="1" applyFill="1" applyBorder="1" applyAlignment="1">
      <alignment horizontal="center" vertical="center"/>
    </xf>
    <xf numFmtId="3" fontId="8" fillId="11" borderId="5" xfId="0" applyNumberFormat="1" applyFont="1" applyFill="1" applyBorder="1" applyAlignment="1">
      <alignment horizontal="center" vertical="center"/>
    </xf>
    <xf numFmtId="0" fontId="11" fillId="8" borderId="3" xfId="1" applyFont="1" applyFill="1" applyBorder="1" applyAlignment="1" applyProtection="1">
      <alignment horizontal="center" vertical="center" wrapText="1"/>
    </xf>
    <xf numFmtId="0" fontId="11" fillId="8" borderId="4" xfId="1" applyFont="1" applyFill="1" applyBorder="1" applyAlignment="1" applyProtection="1">
      <alignment horizontal="center" vertical="center" wrapText="1"/>
    </xf>
    <xf numFmtId="0" fontId="11" fillId="8" borderId="5" xfId="1" applyFont="1" applyFill="1" applyBorder="1" applyAlignment="1" applyProtection="1">
      <alignment horizontal="center" vertical="center" wrapText="1"/>
    </xf>
    <xf numFmtId="14" fontId="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3" fontId="8" fillId="9" borderId="12" xfId="0" applyNumberFormat="1" applyFont="1" applyFill="1" applyBorder="1" applyAlignment="1">
      <alignment horizontal="center" vertical="center" wrapText="1"/>
    </xf>
    <xf numFmtId="3" fontId="8" fillId="9" borderId="14" xfId="0" applyNumberFormat="1" applyFont="1" applyFill="1" applyBorder="1" applyAlignment="1">
      <alignment horizontal="center" vertical="center" wrapText="1"/>
    </xf>
    <xf numFmtId="3" fontId="8" fillId="9" borderId="13" xfId="0" applyNumberFormat="1" applyFont="1" applyFill="1" applyBorder="1" applyAlignment="1">
      <alignment horizontal="center" vertical="center" wrapText="1"/>
    </xf>
    <xf numFmtId="3" fontId="8" fillId="3" borderId="12" xfId="0" applyNumberFormat="1" applyFont="1" applyFill="1" applyBorder="1" applyAlignment="1">
      <alignment horizontal="center" vertical="center"/>
    </xf>
    <xf numFmtId="3" fontId="8" fillId="3" borderId="14" xfId="0" applyNumberFormat="1" applyFont="1" applyFill="1" applyBorder="1" applyAlignment="1">
      <alignment horizontal="center" vertical="center"/>
    </xf>
    <xf numFmtId="3" fontId="8" fillId="3" borderId="13" xfId="0" applyNumberFormat="1" applyFont="1" applyFill="1" applyBorder="1" applyAlignment="1">
      <alignment horizontal="center" vertical="center"/>
    </xf>
    <xf numFmtId="3" fontId="8" fillId="10" borderId="12" xfId="0" applyNumberFormat="1" applyFont="1" applyFill="1" applyBorder="1" applyAlignment="1">
      <alignment horizontal="center" vertical="center"/>
    </xf>
    <xf numFmtId="3" fontId="8" fillId="10" borderId="14" xfId="0" applyNumberFormat="1" applyFont="1" applyFill="1" applyBorder="1" applyAlignment="1">
      <alignment horizontal="center" vertical="center"/>
    </xf>
    <xf numFmtId="3" fontId="8" fillId="6" borderId="12" xfId="0" applyNumberFormat="1" applyFont="1" applyFill="1" applyBorder="1" applyAlignment="1">
      <alignment horizontal="center" vertical="center"/>
    </xf>
    <xf numFmtId="3" fontId="8" fillId="6" borderId="14" xfId="0" applyNumberFormat="1" applyFont="1" applyFill="1" applyBorder="1" applyAlignment="1">
      <alignment horizontal="center" vertical="center"/>
    </xf>
    <xf numFmtId="3" fontId="8" fillId="7" borderId="12" xfId="0" applyNumberFormat="1" applyFont="1" applyFill="1" applyBorder="1" applyAlignment="1">
      <alignment horizontal="center" vertical="center"/>
    </xf>
    <xf numFmtId="3" fontId="8" fillId="7" borderId="14" xfId="0" applyNumberFormat="1" applyFont="1" applyFill="1" applyBorder="1" applyAlignment="1">
      <alignment horizontal="center" vertical="center"/>
    </xf>
    <xf numFmtId="3" fontId="8" fillId="11" borderId="12" xfId="0" applyNumberFormat="1" applyFont="1" applyFill="1" applyBorder="1" applyAlignment="1">
      <alignment horizontal="center" vertical="center"/>
    </xf>
    <xf numFmtId="3" fontId="8" fillId="11" borderId="14" xfId="0" applyNumberFormat="1" applyFont="1" applyFill="1" applyBorder="1" applyAlignment="1">
      <alignment horizontal="center" vertical="center"/>
    </xf>
    <xf numFmtId="3" fontId="8" fillId="4" borderId="12" xfId="0" applyNumberFormat="1" applyFont="1" applyFill="1" applyBorder="1" applyAlignment="1">
      <alignment horizontal="center" vertical="center"/>
    </xf>
    <xf numFmtId="3" fontId="8" fillId="4" borderId="14" xfId="0" applyNumberFormat="1" applyFont="1" applyFill="1" applyBorder="1" applyAlignment="1">
      <alignment horizontal="center" vertical="center"/>
    </xf>
    <xf numFmtId="3" fontId="8" fillId="5" borderId="12" xfId="0" applyNumberFormat="1" applyFont="1" applyFill="1" applyBorder="1" applyAlignment="1">
      <alignment horizontal="center" vertical="center"/>
    </xf>
    <xf numFmtId="3" fontId="8" fillId="5" borderId="14" xfId="0" applyNumberFormat="1" applyFont="1" applyFill="1" applyBorder="1" applyAlignment="1">
      <alignment horizontal="center" vertical="center"/>
    </xf>
    <xf numFmtId="3" fontId="8" fillId="5" borderId="13" xfId="0" applyNumberFormat="1" applyFont="1" applyFill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0" fontId="13" fillId="0" borderId="8" xfId="1" applyFont="1" applyBorder="1" applyAlignment="1" applyProtection="1">
      <alignment vertical="top" wrapText="1"/>
    </xf>
    <xf numFmtId="0" fontId="15" fillId="0" borderId="13" xfId="1" applyFont="1" applyBorder="1" applyAlignment="1" applyProtection="1">
      <alignment vertical="center"/>
    </xf>
    <xf numFmtId="0" fontId="14" fillId="0" borderId="11" xfId="1" applyFont="1" applyBorder="1" applyAlignment="1" applyProtection="1">
      <alignment vertical="center"/>
    </xf>
    <xf numFmtId="0" fontId="13" fillId="0" borderId="9" xfId="1" applyFont="1" applyBorder="1" applyAlignment="1" applyProtection="1">
      <alignment horizontal="center" vertical="center" wrapText="1"/>
    </xf>
    <xf numFmtId="0" fontId="13" fillId="0" borderId="0" xfId="1" applyFont="1" applyBorder="1" applyAlignment="1" applyProtection="1">
      <alignment horizontal="center" vertical="center" wrapText="1"/>
    </xf>
    <xf numFmtId="0" fontId="13" fillId="0" borderId="14" xfId="1" applyFont="1" applyBorder="1" applyAlignment="1" applyProtection="1">
      <alignment horizontal="center" vertical="center" wrapText="1"/>
    </xf>
  </cellXfs>
  <cellStyles count="3">
    <cellStyle name="Normal" xfId="0" builtinId="0"/>
    <cellStyle name="Normal 2" xfId="1" xr:uid="{E3C51514-74FC-49E6-8EFA-288CEF1BE1B8}"/>
    <cellStyle name="Normal 3" xfId="2" xr:uid="{B70C7ECD-197F-4A95-91D5-01916886E4A0}"/>
  </cellStyles>
  <dxfs count="41"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font>
        <b val="0"/>
        <i val="0"/>
        <color auto="1"/>
      </font>
    </dxf>
    <dxf>
      <font>
        <b/>
        <i val="0"/>
        <color rgb="FF9C0006"/>
      </font>
    </dxf>
    <dxf>
      <font>
        <b/>
        <i val="0"/>
        <color rgb="FF9C0006"/>
      </font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71" formatCode="hh:mm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44451</xdr:colOff>
      <xdr:row>4</xdr:row>
      <xdr:rowOff>57150</xdr:rowOff>
    </xdr:from>
    <xdr:to>
      <xdr:col>9</xdr:col>
      <xdr:colOff>431800</xdr:colOff>
      <xdr:row>6</xdr:row>
      <xdr:rowOff>6350</xdr:rowOff>
    </xdr:to>
    <xdr:sp macro="[0]!Inserir_Carregamen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F02342-29A6-4668-9066-20ECADCE369B}"/>
            </a:ext>
          </a:extLst>
        </xdr:cNvPr>
        <xdr:cNvSpPr/>
      </xdr:nvSpPr>
      <xdr:spPr>
        <a:xfrm>
          <a:off x="21272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Insert Load</a:t>
          </a:r>
        </a:p>
      </xdr:txBody>
    </xdr:sp>
    <xdr:clientData/>
  </xdr:twoCellAnchor>
  <xdr:twoCellAnchor>
    <xdr:from>
      <xdr:col>9</xdr:col>
      <xdr:colOff>527051</xdr:colOff>
      <xdr:row>4</xdr:row>
      <xdr:rowOff>57150</xdr:rowOff>
    </xdr:from>
    <xdr:to>
      <xdr:col>13</xdr:col>
      <xdr:colOff>361950</xdr:colOff>
      <xdr:row>6</xdr:row>
      <xdr:rowOff>6350</xdr:rowOff>
    </xdr:to>
    <xdr:sp macro="[0]!Mail_workbook_Outlook_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142531-3EC3-4B98-B952-40A30598310A}"/>
            </a:ext>
          </a:extLst>
        </xdr:cNvPr>
        <xdr:cNvSpPr/>
      </xdr:nvSpPr>
      <xdr:spPr>
        <a:xfrm>
          <a:off x="3575051" y="819150"/>
          <a:ext cx="1352549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E-mail</a:t>
          </a:r>
          <a:r>
            <a:rPr lang="en-US" sz="1000" b="1" baseline="0"/>
            <a:t> Generator</a:t>
          </a:r>
          <a:endParaRPr lang="en-US" sz="1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B41B64-8D45-4A06-AD26-13ADBB5F1FB0}" name="Loads" displayName="Loads" ref="A1:O2352" totalsRowShown="0" headerRowDxfId="40" dataDxfId="39">
  <autoFilter ref="A1:O2352" xr:uid="{BED134DC-B27B-49CD-804C-F22AE671FDEF}"/>
  <sortState xmlns:xlrd2="http://schemas.microsoft.com/office/spreadsheetml/2017/richdata2" ref="A2338:O2338">
    <sortCondition ref="D1:D2338"/>
  </sortState>
  <tableColumns count="15">
    <tableColumn id="13" xr3:uid="{9AFA6B6B-5D12-4C54-A3C2-DD6A748F39DF}" name="Load" dataDxfId="30">
      <calculatedColumnFormula>Loads[[#This Row],[Date]]&amp;Loads[[#This Row],[Product]]</calculatedColumnFormula>
    </tableColumn>
    <tableColumn id="15" xr3:uid="{5995212C-49D4-4E4B-8F9A-C5AA793B37EF}" name="Count" dataDxfId="26">
      <calculatedColumnFormula>COUNTIF($A$1:A2,Loads[[#This Row],[Load]])</calculatedColumnFormula>
    </tableColumn>
    <tableColumn id="16" xr3:uid="{CCB12C4A-58B2-41A3-96BF-C17E18D3AE23}" name="Conc." dataDxfId="29">
      <calculatedColumnFormula>Loads[[#This Row],[Load]]&amp;Loads[[#This Row],[Count]]</calculatedColumnFormula>
    </tableColumn>
    <tableColumn id="1" xr3:uid="{C00D03E5-11F7-43DC-8D74-9A9F33C2FFEC}" name="Date" dataDxfId="28"/>
    <tableColumn id="2" xr3:uid="{929281E4-9CF0-474A-A887-7752E2F04E69}" name="Time" dataDxfId="27"/>
    <tableColumn id="3" xr3:uid="{CFAE7288-C7E8-4DB8-8640-73FD630374D4}" name="Plate #" dataDxfId="25"/>
    <tableColumn id="4" xr3:uid="{224914CB-EF9B-44C5-AFFE-4C169BE998F0}" name="Product" dataDxfId="38"/>
    <tableColumn id="12" xr3:uid="{1EFD326D-2AA8-464F-AA59-3A0203D3F0D3}" name="Client" dataDxfId="24"/>
    <tableColumn id="8" xr3:uid="{590B02E0-CE3A-4785-9CB4-8D1005A32445}" name="Type" dataDxfId="37"/>
    <tableColumn id="9" xr3:uid="{E1BE70B1-1652-4D19-96F6-4D1A2B8BEDFE}" name="Amount" dataDxfId="36"/>
    <tableColumn id="5" xr3:uid="{52FC4D1E-2EDA-42BD-82DF-6BE6C86DB034}" name="Weight" dataDxfId="35"/>
    <tableColumn id="6" xr3:uid="{07D70732-6009-4C28-8F6A-0D373F36BE82}" name="Spec1" dataDxfId="34"/>
    <tableColumn id="7" xr3:uid="{C04B1AC8-8239-481F-A100-078C01B9C0E3}" name="Spec2" dataDxfId="33"/>
    <tableColumn id="10" xr3:uid="{95591EC1-DFD6-46E0-AE51-B4C38ECA2CD5}" name="Spec3" dataDxfId="32"/>
    <tableColumn id="11" xr3:uid="{B9BF2C12-D5F8-4CCD-A2A8-A77784502D52}" name="Spec4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18245"/>
      </a:accent1>
      <a:accent2>
        <a:srgbClr val="201E1F"/>
      </a:accent2>
      <a:accent3>
        <a:srgbClr val="02D470"/>
      </a:accent3>
      <a:accent4>
        <a:srgbClr val="655F62"/>
      </a:accent4>
      <a:accent5>
        <a:srgbClr val="35FD9E"/>
      </a:accent5>
      <a:accent6>
        <a:srgbClr val="90888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14F0-F964-4891-A1A5-02135F8CBC53}">
  <sheetPr codeName="Sheet2"/>
  <dimension ref="B1:AE40"/>
  <sheetViews>
    <sheetView showGridLines="0" tabSelected="1" zoomScaleNormal="100" workbookViewId="0">
      <selection activeCell="X12" sqref="X12"/>
    </sheetView>
  </sheetViews>
  <sheetFormatPr defaultColWidth="8.54296875" defaultRowHeight="12" x14ac:dyDescent="0.35"/>
  <cols>
    <col min="1" max="2" width="1" style="7" customWidth="1"/>
    <col min="3" max="3" width="5.54296875" style="7" bestFit="1" customWidth="1"/>
    <col min="4" max="4" width="7.26953125" style="7" bestFit="1" customWidth="1"/>
    <col min="5" max="5" width="7.54296875" style="7" customWidth="1"/>
    <col min="6" max="6" width="7.453125" style="7" bestFit="1" customWidth="1"/>
    <col min="7" max="7" width="1" style="7" customWidth="1"/>
    <col min="8" max="8" width="5.54296875" style="7" bestFit="1" customWidth="1"/>
    <col min="9" max="9" width="7.26953125" style="7" bestFit="1" customWidth="1"/>
    <col min="10" max="10" width="7.54296875" style="7" customWidth="1"/>
    <col min="11" max="11" width="7.453125" style="7" bestFit="1" customWidth="1"/>
    <col min="12" max="12" width="1" style="7" customWidth="1"/>
    <col min="13" max="13" width="5.54296875" style="7" bestFit="1" customWidth="1"/>
    <col min="14" max="14" width="7.26953125" style="7" bestFit="1" customWidth="1"/>
    <col min="15" max="15" width="7.54296875" style="7" customWidth="1"/>
    <col min="16" max="16" width="7.453125" style="7" bestFit="1" customWidth="1"/>
    <col min="17" max="17" width="1" style="7" customWidth="1"/>
    <col min="18" max="18" width="5.54296875" style="7" bestFit="1" customWidth="1"/>
    <col min="19" max="19" width="7.26953125" style="7" bestFit="1" customWidth="1"/>
    <col min="20" max="20" width="7.54296875" style="7" customWidth="1"/>
    <col min="21" max="21" width="7.453125" style="7" bestFit="1" customWidth="1"/>
    <col min="22" max="23" width="1" style="7" customWidth="1"/>
    <col min="24" max="30" width="8.54296875" style="7"/>
    <col min="31" max="31" width="33.54296875" style="7" customWidth="1"/>
    <col min="32" max="16384" width="8.54296875" style="7"/>
  </cols>
  <sheetData>
    <row r="1" spans="2:31" ht="5.15" customHeight="1" thickBot="1" x14ac:dyDescent="0.4"/>
    <row r="2" spans="2:31" ht="23.5" customHeight="1" x14ac:dyDescent="0.35">
      <c r="B2" s="35"/>
      <c r="C2" s="147" t="s">
        <v>31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4"/>
    </row>
    <row r="3" spans="2:31" ht="15.5" x14ac:dyDescent="0.35">
      <c r="B3" s="36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6"/>
    </row>
    <row r="4" spans="2:31" ht="16" thickBot="1" x14ac:dyDescent="0.4">
      <c r="B4" s="37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5"/>
    </row>
    <row r="5" spans="2:31" ht="5.15" customHeight="1" x14ac:dyDescent="0.35"/>
    <row r="6" spans="2:31" ht="14.5" x14ac:dyDescent="0.35">
      <c r="D6" s="43" t="s">
        <v>20</v>
      </c>
      <c r="E6" s="121">
        <v>44285</v>
      </c>
      <c r="F6" s="121"/>
      <c r="O6" s="122" t="s">
        <v>21</v>
      </c>
      <c r="P6" s="122"/>
      <c r="R6" s="123" t="s">
        <v>22</v>
      </c>
      <c r="S6" s="123"/>
      <c r="T6" s="123"/>
      <c r="U6" s="123"/>
    </row>
    <row r="7" spans="2:31" ht="5.15" customHeight="1" thickBot="1" x14ac:dyDescent="0.4"/>
    <row r="8" spans="2:31" ht="18.5" thickBot="1" x14ac:dyDescent="0.4">
      <c r="B8" s="118" t="str">
        <f>"DAILY MONITORING - "&amp;UPPER(TEXT($E$6,"DD/MMM"))</f>
        <v>DAILY MONITORING - 30/MAR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20"/>
    </row>
    <row r="9" spans="2:31" ht="5.15" customHeight="1" thickBot="1" x14ac:dyDescent="0.4">
      <c r="B9" s="44"/>
      <c r="C9" s="45">
        <f>COUNTIF(Loads!$A$1:$A$13458,Daily!$E$6&amp;Daily!C10)</f>
        <v>7</v>
      </c>
      <c r="D9" s="45">
        <v>9</v>
      </c>
      <c r="E9" s="45">
        <v>10</v>
      </c>
      <c r="F9" s="45">
        <v>11</v>
      </c>
      <c r="G9" s="45"/>
      <c r="H9" s="45">
        <f>COUNTIF(Loads!$A$1:$A$13458,Daily!$E$6&amp;Daily!H10)</f>
        <v>2</v>
      </c>
      <c r="I9" s="45">
        <v>9</v>
      </c>
      <c r="J9" s="45">
        <v>10</v>
      </c>
      <c r="K9" s="45">
        <v>11</v>
      </c>
      <c r="L9" s="45"/>
      <c r="M9" s="45">
        <f>COUNTIF(Loads!$A$1:$A$13458,Daily!$E$6&amp;Daily!M10)</f>
        <v>0</v>
      </c>
      <c r="N9" s="45">
        <v>9</v>
      </c>
      <c r="O9" s="45">
        <v>10</v>
      </c>
      <c r="P9" s="45">
        <v>11</v>
      </c>
      <c r="Q9" s="45"/>
      <c r="R9" s="45">
        <f>COUNTIF(Loads!$A$1:$A$13458,Daily!$E$6&amp;Daily!R10)</f>
        <v>2</v>
      </c>
      <c r="S9" s="45">
        <v>9</v>
      </c>
      <c r="T9" s="45">
        <v>10</v>
      </c>
      <c r="U9" s="45">
        <v>11</v>
      </c>
      <c r="V9" s="45"/>
    </row>
    <row r="10" spans="2:31" s="9" customFormat="1" ht="23.65" customHeight="1" thickBot="1" x14ac:dyDescent="0.4">
      <c r="B10" s="46"/>
      <c r="C10" s="94" t="s">
        <v>12</v>
      </c>
      <c r="D10" s="95"/>
      <c r="E10" s="95"/>
      <c r="F10" s="96"/>
      <c r="G10" s="47"/>
      <c r="H10" s="97" t="s">
        <v>13</v>
      </c>
      <c r="I10" s="98"/>
      <c r="J10" s="98"/>
      <c r="K10" s="99"/>
      <c r="L10" s="47"/>
      <c r="M10" s="100" t="s">
        <v>14</v>
      </c>
      <c r="N10" s="101"/>
      <c r="O10" s="101"/>
      <c r="P10" s="102"/>
      <c r="Q10" s="47"/>
      <c r="R10" s="103" t="s">
        <v>15</v>
      </c>
      <c r="S10" s="104"/>
      <c r="T10" s="104"/>
      <c r="U10" s="105"/>
      <c r="V10" s="47"/>
      <c r="AD10" s="9" t="s">
        <v>4</v>
      </c>
      <c r="AE10" s="91" t="s">
        <v>30</v>
      </c>
    </row>
    <row r="11" spans="2:31" s="8" customFormat="1" ht="13.5" customHeight="1" thickBot="1" x14ac:dyDescent="0.4">
      <c r="B11" s="48"/>
      <c r="C11" s="38" t="s">
        <v>23</v>
      </c>
      <c r="D11" s="38" t="s">
        <v>25</v>
      </c>
      <c r="E11" s="38" t="s">
        <v>26</v>
      </c>
      <c r="F11" s="38" t="s">
        <v>27</v>
      </c>
      <c r="G11" s="49"/>
      <c r="H11" s="10" t="s">
        <v>23</v>
      </c>
      <c r="I11" s="10" t="s">
        <v>25</v>
      </c>
      <c r="J11" s="10" t="s">
        <v>26</v>
      </c>
      <c r="K11" s="10" t="s">
        <v>27</v>
      </c>
      <c r="L11" s="49"/>
      <c r="M11" s="13" t="s">
        <v>23</v>
      </c>
      <c r="N11" s="13" t="s">
        <v>25</v>
      </c>
      <c r="O11" s="13" t="s">
        <v>26</v>
      </c>
      <c r="P11" s="13" t="s">
        <v>27</v>
      </c>
      <c r="Q11" s="49"/>
      <c r="R11" s="16" t="s">
        <v>23</v>
      </c>
      <c r="S11" s="16" t="s">
        <v>25</v>
      </c>
      <c r="T11" s="16" t="s">
        <v>26</v>
      </c>
      <c r="U11" s="16" t="s">
        <v>27</v>
      </c>
      <c r="V11" s="49"/>
      <c r="AD11" s="85" t="s">
        <v>5</v>
      </c>
      <c r="AE11" s="91" t="s">
        <v>30</v>
      </c>
    </row>
    <row r="12" spans="2:31" ht="12" customHeight="1" x14ac:dyDescent="0.35">
      <c r="B12" s="44"/>
      <c r="C12" s="39">
        <f>IF(C9=0,"-",1)</f>
        <v>1</v>
      </c>
      <c r="D12" s="39">
        <f>IFERROR(VLOOKUP($E$6&amp;C$10&amp;C12,Loads!$C$1:$X$13458,D$9,FALSE),"-")</f>
        <v>18660</v>
      </c>
      <c r="E12" s="40">
        <f>IFERROR(VLOOKUP($E$6&amp;C$10&amp;C12,Loads!$C$1:$X$13458,E$9,FALSE),"-")</f>
        <v>7.47</v>
      </c>
      <c r="F12" s="40">
        <f>IFERROR(VLOOKUP($E$6&amp;C$10&amp;C12,Loads!$C$1:$X$13458,F$9,FALSE),"-")</f>
        <v>21.35</v>
      </c>
      <c r="G12" s="45"/>
      <c r="H12" s="11">
        <f>IF(H9=0,"-",1)</f>
        <v>1</v>
      </c>
      <c r="I12" s="11">
        <f>IFERROR(VLOOKUP($E$6&amp;H$10&amp;H12,Loads!$C$1:$X$13458,I$9,FALSE),"-")</f>
        <v>10880</v>
      </c>
      <c r="J12" s="12">
        <f>IFERROR(VLOOKUP($E$6&amp;H$10&amp;H12,Loads!$C$1:$X$13458,J$9,FALSE),"-")</f>
        <v>61.69</v>
      </c>
      <c r="K12" s="12">
        <f>IFERROR(VLOOKUP($E$6&amp;H$10&amp;H12,Loads!$C$1:$X$13458,K$9,FALSE),"-")</f>
        <v>10.28</v>
      </c>
      <c r="L12" s="45"/>
      <c r="M12" s="14" t="str">
        <f>IF(M9=0,"-",1)</f>
        <v>-</v>
      </c>
      <c r="N12" s="14" t="str">
        <f>IFERROR(VLOOKUP($E$6&amp;M$10&amp;M12,Loads!$C$1:$X$13458,N$9,FALSE),"-")</f>
        <v>-</v>
      </c>
      <c r="O12" s="15" t="str">
        <f>IFERROR(VLOOKUP($E$6&amp;M$10&amp;M12,Loads!$C$1:$X$13458,O$9,FALSE),"-")</f>
        <v>-</v>
      </c>
      <c r="P12" s="15" t="str">
        <f>IFERROR(VLOOKUP($E$6&amp;M$10&amp;M12,Loads!$C$1:$X$13458,P$9,FALSE),"-")</f>
        <v>-</v>
      </c>
      <c r="Q12" s="45"/>
      <c r="R12" s="17">
        <f>IF(R9=0,"-",1)</f>
        <v>1</v>
      </c>
      <c r="S12" s="17">
        <f>IFERROR(VLOOKUP($E$6&amp;R$10&amp;R12,Loads!$C$1:$X$13458,S$9,FALSE),"-")</f>
        <v>29120</v>
      </c>
      <c r="T12" s="18">
        <f>IFERROR(VLOOKUP($E$6&amp;R$10&amp;R12,Loads!$C$1:$X$13458,T$9,FALSE),"-")</f>
        <v>8.3800000000000008</v>
      </c>
      <c r="U12" s="18">
        <f>IFERROR(VLOOKUP($E$6&amp;R$10&amp;R12,Loads!$C$1:$X$13458,U$9,FALSE),"-")</f>
        <v>63.62</v>
      </c>
      <c r="V12" s="45"/>
      <c r="AD12" s="85" t="s">
        <v>6</v>
      </c>
      <c r="AE12" s="87" t="str">
        <f>E2&amp;" - "&amp;TEXT($E$6,"dd/mm/aaaa")</f>
        <v xml:space="preserve"> - 30/03/2021</v>
      </c>
    </row>
    <row r="13" spans="2:31" ht="12" customHeight="1" x14ac:dyDescent="0.35">
      <c r="B13" s="44"/>
      <c r="C13" s="39">
        <f>IFERROR(IF(C12+1&lt;=C$9,C12+1,"-"),"-")</f>
        <v>2</v>
      </c>
      <c r="D13" s="39">
        <f>IFERROR(VLOOKUP($E$6&amp;C$10&amp;C13,Loads!$C$1:$X$13458,D$9,FALSE),"-")</f>
        <v>33760</v>
      </c>
      <c r="E13" s="40">
        <f>IFERROR(VLOOKUP($E$6&amp;C$10&amp;C13,Loads!$C$1:$X$13458,E$9,FALSE),"-")</f>
        <v>8</v>
      </c>
      <c r="F13" s="40">
        <f>IFERROR(VLOOKUP($E$6&amp;C$10&amp;C13,Loads!$C$1:$X$13458,F$9,FALSE),"-")</f>
        <v>21.47</v>
      </c>
      <c r="G13" s="45"/>
      <c r="H13" s="11">
        <f>IFERROR(IF(H12+1&lt;=H$9,H12+1,"-"),"-")</f>
        <v>2</v>
      </c>
      <c r="I13" s="11">
        <f>IFERROR(VLOOKUP($E$6&amp;H$10&amp;H13,Loads!$C$1:$X$13458,I$9,FALSE),"-")</f>
        <v>9660</v>
      </c>
      <c r="J13" s="12">
        <f>IFERROR(VLOOKUP($E$6&amp;H$10&amp;H13,Loads!$C$1:$X$13458,J$9,FALSE),"-")</f>
        <v>62.29</v>
      </c>
      <c r="K13" s="12">
        <f>IFERROR(VLOOKUP($E$6&amp;H$10&amp;H13,Loads!$C$1:$X$13458,K$9,FALSE),"-")</f>
        <v>10.28</v>
      </c>
      <c r="L13" s="45"/>
      <c r="M13" s="14" t="str">
        <f>IFERROR(IF(M12+1&lt;=M$9,M12+1,"-"),"-")</f>
        <v>-</v>
      </c>
      <c r="N13" s="14" t="str">
        <f>IFERROR(VLOOKUP($E$6&amp;M$10&amp;M13,Loads!$C$1:$X$13458,N$9,FALSE),"-")</f>
        <v>-</v>
      </c>
      <c r="O13" s="15" t="str">
        <f>IFERROR(VLOOKUP($E$6&amp;M$10&amp;M13,Loads!$C$1:$X$13458,O$9,FALSE),"-")</f>
        <v>-</v>
      </c>
      <c r="P13" s="15" t="str">
        <f>IFERROR(VLOOKUP($E$6&amp;M$10&amp;M13,Loads!$C$1:$X$13458,P$9,FALSE),"-")</f>
        <v>-</v>
      </c>
      <c r="Q13" s="45"/>
      <c r="R13" s="17">
        <f>IFERROR(IF(R12+1&lt;=R$9,R12+1,"-"),"-")</f>
        <v>2</v>
      </c>
      <c r="S13" s="17">
        <f>IFERROR(VLOOKUP($E$6&amp;R$10&amp;R13,Loads!$C$1:$X$13458,S$9,FALSE),"-")</f>
        <v>26860</v>
      </c>
      <c r="T13" s="18">
        <f>IFERROR(VLOOKUP($E$6&amp;R$10&amp;R13,Loads!$C$1:$X$13458,T$9,FALSE),"-")</f>
        <v>7.73</v>
      </c>
      <c r="U13" s="18">
        <f>IFERROR(VLOOKUP($E$6&amp;R$10&amp;R13,Loads!$C$1:$X$13458,U$9,FALSE),"-")</f>
        <v>65.56</v>
      </c>
      <c r="V13" s="45"/>
      <c r="AD13" s="85" t="s">
        <v>7</v>
      </c>
      <c r="AE13" s="86" t="s">
        <v>34</v>
      </c>
    </row>
    <row r="14" spans="2:31" ht="12" customHeight="1" x14ac:dyDescent="0.35">
      <c r="B14" s="44"/>
      <c r="C14" s="39">
        <f t="shared" ref="C14:C26" si="0">IFERROR(IF(C13+1&lt;=C$9,C13+1,"-"),"-")</f>
        <v>3</v>
      </c>
      <c r="D14" s="39">
        <f>IFERROR(VLOOKUP($E$6&amp;C$10&amp;C14,Loads!$C$1:$X$13458,D$9,FALSE),"-")</f>
        <v>34500</v>
      </c>
      <c r="E14" s="40">
        <f>IFERROR(VLOOKUP($E$6&amp;C$10&amp;C14,Loads!$C$1:$X$13458,E$9,FALSE),"-")</f>
        <v>8.09</v>
      </c>
      <c r="F14" s="40">
        <f>IFERROR(VLOOKUP($E$6&amp;C$10&amp;C14,Loads!$C$1:$X$13458,F$9,FALSE),"-")</f>
        <v>21.66</v>
      </c>
      <c r="G14" s="45"/>
      <c r="H14" s="11" t="str">
        <f t="shared" ref="H14:H26" si="1">IFERROR(IF(H13+1&lt;=H$9,H13+1,"-"),"-")</f>
        <v>-</v>
      </c>
      <c r="I14" s="11" t="str">
        <f>IFERROR(VLOOKUP($E$6&amp;H$10&amp;H14,Loads!$C$1:$X$13458,I$9,FALSE),"-")</f>
        <v>-</v>
      </c>
      <c r="J14" s="12" t="str">
        <f>IFERROR(VLOOKUP($E$6&amp;H$10&amp;H14,Loads!$C$1:$X$13458,J$9,FALSE),"-")</f>
        <v>-</v>
      </c>
      <c r="K14" s="12" t="str">
        <f>IFERROR(VLOOKUP($E$6&amp;H$10&amp;H14,Loads!$C$1:$X$13458,K$9,FALSE),"-")</f>
        <v>-</v>
      </c>
      <c r="L14" s="45"/>
      <c r="M14" s="14" t="str">
        <f t="shared" ref="M14:M26" si="2">IFERROR(IF(M13+1&lt;=M$9,M13+1,"-"),"-")</f>
        <v>-</v>
      </c>
      <c r="N14" s="14" t="str">
        <f>IFERROR(VLOOKUP($E$6&amp;M$10&amp;M14,Loads!$C$1:$X$13458,N$9,FALSE),"-")</f>
        <v>-</v>
      </c>
      <c r="O14" s="15" t="str">
        <f>IFERROR(VLOOKUP($E$6&amp;M$10&amp;M14,Loads!$C$1:$X$13458,O$9,FALSE),"-")</f>
        <v>-</v>
      </c>
      <c r="P14" s="15" t="str">
        <f>IFERROR(VLOOKUP($E$6&amp;M$10&amp;M14,Loads!$C$1:$X$13458,P$9,FALSE),"-")</f>
        <v>-</v>
      </c>
      <c r="Q14" s="45"/>
      <c r="R14" s="17" t="str">
        <f t="shared" ref="R14:R26" si="3">IFERROR(IF(R13+1&lt;=R$9,R13+1,"-"),"-")</f>
        <v>-</v>
      </c>
      <c r="S14" s="17" t="str">
        <f>IFERROR(VLOOKUP($E$6&amp;R$10&amp;R14,Loads!$C$1:$X$13458,S$9,FALSE),"-")</f>
        <v>-</v>
      </c>
      <c r="T14" s="18" t="str">
        <f>IFERROR(VLOOKUP($E$6&amp;R$10&amp;R14,Loads!$C$1:$X$13458,T$9,FALSE),"-")</f>
        <v>-</v>
      </c>
      <c r="U14" s="18" t="str">
        <f>IFERROR(VLOOKUP($E$6&amp;R$10&amp;R14,Loads!$C$1:$X$13458,U$9,FALSE),"-")</f>
        <v>-</v>
      </c>
      <c r="V14" s="45"/>
      <c r="AA14" s="84"/>
    </row>
    <row r="15" spans="2:31" ht="12" customHeight="1" x14ac:dyDescent="0.35">
      <c r="B15" s="44"/>
      <c r="C15" s="39">
        <f t="shared" si="0"/>
        <v>4</v>
      </c>
      <c r="D15" s="39">
        <f>IFERROR(VLOOKUP($E$6&amp;C$10&amp;C15,Loads!$C$1:$X$13458,D$9,FALSE),"-")</f>
        <v>22880</v>
      </c>
      <c r="E15" s="40">
        <f>IFERROR(VLOOKUP($E$6&amp;C$10&amp;C15,Loads!$C$1:$X$13458,E$9,FALSE),"-")</f>
        <v>8.2200000000000006</v>
      </c>
      <c r="F15" s="40">
        <f>IFERROR(VLOOKUP($E$6&amp;C$10&amp;C15,Loads!$C$1:$X$13458,F$9,FALSE),"-")</f>
        <v>21.95</v>
      </c>
      <c r="G15" s="45"/>
      <c r="H15" s="11" t="str">
        <f t="shared" si="1"/>
        <v>-</v>
      </c>
      <c r="I15" s="11" t="str">
        <f>IFERROR(VLOOKUP($E$6&amp;H$10&amp;H15,Loads!$C$1:$X$13458,I$9,FALSE),"-")</f>
        <v>-</v>
      </c>
      <c r="J15" s="12" t="str">
        <f>IFERROR(VLOOKUP($E$6&amp;H$10&amp;H15,Loads!$C$1:$X$13458,J$9,FALSE),"-")</f>
        <v>-</v>
      </c>
      <c r="K15" s="12" t="str">
        <f>IFERROR(VLOOKUP($E$6&amp;H$10&amp;H15,Loads!$C$1:$X$13458,K$9,FALSE),"-")</f>
        <v>-</v>
      </c>
      <c r="L15" s="45"/>
      <c r="M15" s="14" t="str">
        <f t="shared" si="2"/>
        <v>-</v>
      </c>
      <c r="N15" s="14" t="str">
        <f>IFERROR(VLOOKUP($E$6&amp;M$10&amp;M15,Loads!$C$1:$X$13458,N$9,FALSE),"-")</f>
        <v>-</v>
      </c>
      <c r="O15" s="15" t="str">
        <f>IFERROR(VLOOKUP($E$6&amp;M$10&amp;M15,Loads!$C$1:$X$13458,O$9,FALSE),"-")</f>
        <v>-</v>
      </c>
      <c r="P15" s="15" t="str">
        <f>IFERROR(VLOOKUP($E$6&amp;M$10&amp;M15,Loads!$C$1:$X$13458,P$9,FALSE),"-")</f>
        <v>-</v>
      </c>
      <c r="Q15" s="45"/>
      <c r="R15" s="17" t="str">
        <f t="shared" si="3"/>
        <v>-</v>
      </c>
      <c r="S15" s="17" t="str">
        <f>IFERROR(VLOOKUP($E$6&amp;R$10&amp;R15,Loads!$C$1:$X$13458,S$9,FALSE),"-")</f>
        <v>-</v>
      </c>
      <c r="T15" s="18" t="str">
        <f>IFERROR(VLOOKUP($E$6&amp;R$10&amp;R15,Loads!$C$1:$X$13458,T$9,FALSE),"-")</f>
        <v>-</v>
      </c>
      <c r="U15" s="18" t="str">
        <f>IFERROR(VLOOKUP($E$6&amp;R$10&amp;R15,Loads!$C$1:$X$13458,U$9,FALSE),"-")</f>
        <v>-</v>
      </c>
      <c r="V15" s="45"/>
      <c r="AA15" s="84"/>
    </row>
    <row r="16" spans="2:31" ht="12" customHeight="1" x14ac:dyDescent="0.35">
      <c r="B16" s="44"/>
      <c r="C16" s="39">
        <f t="shared" si="0"/>
        <v>5</v>
      </c>
      <c r="D16" s="39">
        <f>IFERROR(VLOOKUP($E$6&amp;C$10&amp;C16,Loads!$C$1:$X$13458,D$9,FALSE),"-")</f>
        <v>32100</v>
      </c>
      <c r="E16" s="40">
        <f>IFERROR(VLOOKUP($E$6&amp;C$10&amp;C16,Loads!$C$1:$X$13458,E$9,FALSE),"-")</f>
        <v>8.44</v>
      </c>
      <c r="F16" s="40">
        <f>IFERROR(VLOOKUP($E$6&amp;C$10&amp;C16,Loads!$C$1:$X$13458,F$9,FALSE),"-")</f>
        <v>21.59</v>
      </c>
      <c r="G16" s="45"/>
      <c r="H16" s="11" t="str">
        <f t="shared" si="1"/>
        <v>-</v>
      </c>
      <c r="I16" s="11" t="str">
        <f>IFERROR(VLOOKUP($E$6&amp;H$10&amp;H16,Loads!$C$1:$X$13458,I$9,FALSE),"-")</f>
        <v>-</v>
      </c>
      <c r="J16" s="12" t="str">
        <f>IFERROR(VLOOKUP($E$6&amp;H$10&amp;H16,Loads!$C$1:$X$13458,J$9,FALSE),"-")</f>
        <v>-</v>
      </c>
      <c r="K16" s="12" t="str">
        <f>IFERROR(VLOOKUP($E$6&amp;H$10&amp;H16,Loads!$C$1:$X$13458,K$9,FALSE),"-")</f>
        <v>-</v>
      </c>
      <c r="L16" s="45"/>
      <c r="M16" s="14" t="str">
        <f t="shared" si="2"/>
        <v>-</v>
      </c>
      <c r="N16" s="14" t="str">
        <f>IFERROR(VLOOKUP($E$6&amp;M$10&amp;M16,Loads!$C$1:$X$13458,N$9,FALSE),"-")</f>
        <v>-</v>
      </c>
      <c r="O16" s="15" t="str">
        <f>IFERROR(VLOOKUP($E$6&amp;M$10&amp;M16,Loads!$C$1:$X$13458,O$9,FALSE),"-")</f>
        <v>-</v>
      </c>
      <c r="P16" s="15" t="str">
        <f>IFERROR(VLOOKUP($E$6&amp;M$10&amp;M16,Loads!$C$1:$X$13458,P$9,FALSE),"-")</f>
        <v>-</v>
      </c>
      <c r="Q16" s="45"/>
      <c r="R16" s="17" t="str">
        <f t="shared" si="3"/>
        <v>-</v>
      </c>
      <c r="S16" s="17" t="str">
        <f>IFERROR(VLOOKUP($E$6&amp;R$10&amp;R16,Loads!$C$1:$X$13458,S$9,FALSE),"-")</f>
        <v>-</v>
      </c>
      <c r="T16" s="18" t="str">
        <f>IFERROR(VLOOKUP($E$6&amp;R$10&amp;R16,Loads!$C$1:$X$13458,T$9,FALSE),"-")</f>
        <v>-</v>
      </c>
      <c r="U16" s="18" t="str">
        <f>IFERROR(VLOOKUP($E$6&amp;R$10&amp;R16,Loads!$C$1:$X$13458,U$9,FALSE),"-")</f>
        <v>-</v>
      </c>
      <c r="V16" s="45"/>
    </row>
    <row r="17" spans="2:25" x14ac:dyDescent="0.35">
      <c r="B17" s="44"/>
      <c r="C17" s="39">
        <f t="shared" si="0"/>
        <v>6</v>
      </c>
      <c r="D17" s="39">
        <f>IFERROR(VLOOKUP($E$6&amp;C$10&amp;C17,Loads!$C$1:$X$13458,D$9,FALSE),"-")</f>
        <v>37140</v>
      </c>
      <c r="E17" s="40">
        <f>IFERROR(VLOOKUP($E$6&amp;C$10&amp;C17,Loads!$C$1:$X$13458,E$9,FALSE),"-")</f>
        <v>8.2899999999999991</v>
      </c>
      <c r="F17" s="40">
        <f>IFERROR(VLOOKUP($E$6&amp;C$10&amp;C17,Loads!$C$1:$X$13458,F$9,FALSE),"-")</f>
        <v>20.93</v>
      </c>
      <c r="G17" s="45"/>
      <c r="H17" s="11" t="str">
        <f t="shared" si="1"/>
        <v>-</v>
      </c>
      <c r="I17" s="11" t="str">
        <f>IFERROR(VLOOKUP($E$6&amp;H$10&amp;H17,Loads!$C$1:$X$13458,I$9,FALSE),"-")</f>
        <v>-</v>
      </c>
      <c r="J17" s="12" t="str">
        <f>IFERROR(VLOOKUP($E$6&amp;H$10&amp;H17,Loads!$C$1:$X$13458,J$9,FALSE),"-")</f>
        <v>-</v>
      </c>
      <c r="K17" s="12" t="str">
        <f>IFERROR(VLOOKUP($E$6&amp;H$10&amp;H17,Loads!$C$1:$X$13458,K$9,FALSE),"-")</f>
        <v>-</v>
      </c>
      <c r="L17" s="45"/>
      <c r="M17" s="14" t="str">
        <f t="shared" si="2"/>
        <v>-</v>
      </c>
      <c r="N17" s="14" t="str">
        <f>IFERROR(VLOOKUP($E$6&amp;M$10&amp;M17,Loads!$C$1:$X$13458,N$9,FALSE),"-")</f>
        <v>-</v>
      </c>
      <c r="O17" s="15" t="str">
        <f>IFERROR(VLOOKUP($E$6&amp;M$10&amp;M17,Loads!$C$1:$X$13458,O$9,FALSE),"-")</f>
        <v>-</v>
      </c>
      <c r="P17" s="15" t="str">
        <f>IFERROR(VLOOKUP($E$6&amp;M$10&amp;M17,Loads!$C$1:$X$13458,P$9,FALSE),"-")</f>
        <v>-</v>
      </c>
      <c r="Q17" s="45"/>
      <c r="R17" s="17" t="str">
        <f t="shared" si="3"/>
        <v>-</v>
      </c>
      <c r="S17" s="17" t="str">
        <f>IFERROR(VLOOKUP($E$6&amp;R$10&amp;R17,Loads!$C$1:$X$13458,S$9,FALSE),"-")</f>
        <v>-</v>
      </c>
      <c r="T17" s="18" t="str">
        <f>IFERROR(VLOOKUP($E$6&amp;R$10&amp;R17,Loads!$C$1:$X$13458,T$9,FALSE),"-")</f>
        <v>-</v>
      </c>
      <c r="U17" s="18" t="str">
        <f>IFERROR(VLOOKUP($E$6&amp;R$10&amp;R17,Loads!$C$1:$X$13458,U$9,FALSE),"-")</f>
        <v>-</v>
      </c>
      <c r="V17" s="45"/>
    </row>
    <row r="18" spans="2:25" x14ac:dyDescent="0.35">
      <c r="B18" s="44"/>
      <c r="C18" s="39">
        <f t="shared" si="0"/>
        <v>7</v>
      </c>
      <c r="D18" s="39">
        <f>IFERROR(VLOOKUP($E$6&amp;C$10&amp;C18,Loads!$C$1:$X$13458,D$9,FALSE),"-")</f>
        <v>17860</v>
      </c>
      <c r="E18" s="40">
        <f>IFERROR(VLOOKUP($E$6&amp;C$10&amp;C18,Loads!$C$1:$X$13458,E$9,FALSE),"-")</f>
        <v>7.18</v>
      </c>
      <c r="F18" s="40">
        <f>IFERROR(VLOOKUP($E$6&amp;C$10&amp;C18,Loads!$C$1:$X$13458,F$9,FALSE),"-")</f>
        <v>21</v>
      </c>
      <c r="G18" s="45"/>
      <c r="H18" s="11" t="str">
        <f t="shared" si="1"/>
        <v>-</v>
      </c>
      <c r="I18" s="11" t="str">
        <f>IFERROR(VLOOKUP($E$6&amp;H$10&amp;H18,Loads!$C$1:$X$13458,I$9,FALSE),"-")</f>
        <v>-</v>
      </c>
      <c r="J18" s="12" t="str">
        <f>IFERROR(VLOOKUP($E$6&amp;H$10&amp;H18,Loads!$C$1:$X$13458,J$9,FALSE),"-")</f>
        <v>-</v>
      </c>
      <c r="K18" s="12" t="str">
        <f>IFERROR(VLOOKUP($E$6&amp;H$10&amp;H18,Loads!$C$1:$X$13458,K$9,FALSE),"-")</f>
        <v>-</v>
      </c>
      <c r="L18" s="45"/>
      <c r="M18" s="14" t="str">
        <f t="shared" si="2"/>
        <v>-</v>
      </c>
      <c r="N18" s="14" t="str">
        <f>IFERROR(VLOOKUP($E$6&amp;M$10&amp;M18,Loads!$C$1:$X$13458,N$9,FALSE),"-")</f>
        <v>-</v>
      </c>
      <c r="O18" s="15" t="str">
        <f>IFERROR(VLOOKUP($E$6&amp;M$10&amp;M18,Loads!$C$1:$X$13458,O$9,FALSE),"-")</f>
        <v>-</v>
      </c>
      <c r="P18" s="15" t="str">
        <f>IFERROR(VLOOKUP($E$6&amp;M$10&amp;M18,Loads!$C$1:$X$13458,P$9,FALSE),"-")</f>
        <v>-</v>
      </c>
      <c r="Q18" s="45"/>
      <c r="R18" s="17" t="str">
        <f t="shared" si="3"/>
        <v>-</v>
      </c>
      <c r="S18" s="17" t="str">
        <f>IFERROR(VLOOKUP($E$6&amp;R$10&amp;R18,Loads!$C$1:$X$13458,S$9,FALSE),"-")</f>
        <v>-</v>
      </c>
      <c r="T18" s="18" t="str">
        <f>IFERROR(VLOOKUP($E$6&amp;R$10&amp;R18,Loads!$C$1:$X$13458,T$9,FALSE),"-")</f>
        <v>-</v>
      </c>
      <c r="U18" s="18" t="str">
        <f>IFERROR(VLOOKUP($E$6&amp;R$10&amp;R18,Loads!$C$1:$X$13458,U$9,FALSE),"-")</f>
        <v>-</v>
      </c>
      <c r="V18" s="45"/>
    </row>
    <row r="19" spans="2:25" x14ac:dyDescent="0.35">
      <c r="B19" s="44"/>
      <c r="C19" s="39" t="str">
        <f t="shared" si="0"/>
        <v>-</v>
      </c>
      <c r="D19" s="39" t="str">
        <f>IFERROR(VLOOKUP($E$6&amp;C$10&amp;C19,Loads!$C$1:$X$13458,D$9,FALSE),"-")</f>
        <v>-</v>
      </c>
      <c r="E19" s="40" t="str">
        <f>IFERROR(VLOOKUP($E$6&amp;C$10&amp;C19,Loads!$C$1:$X$13458,E$9,FALSE),"-")</f>
        <v>-</v>
      </c>
      <c r="F19" s="40" t="str">
        <f>IFERROR(VLOOKUP($E$6&amp;C$10&amp;C19,Loads!$C$1:$X$13458,F$9,FALSE),"-")</f>
        <v>-</v>
      </c>
      <c r="G19" s="45"/>
      <c r="H19" s="11" t="str">
        <f t="shared" si="1"/>
        <v>-</v>
      </c>
      <c r="I19" s="11" t="str">
        <f>IFERROR(VLOOKUP($E$6&amp;H$10&amp;H19,Loads!$C$1:$X$13458,I$9,FALSE),"-")</f>
        <v>-</v>
      </c>
      <c r="J19" s="12" t="str">
        <f>IFERROR(VLOOKUP($E$6&amp;H$10&amp;H19,Loads!$C$1:$X$13458,J$9,FALSE),"-")</f>
        <v>-</v>
      </c>
      <c r="K19" s="12" t="str">
        <f>IFERROR(VLOOKUP($E$6&amp;H$10&amp;H19,Loads!$C$1:$X$13458,K$9,FALSE),"-")</f>
        <v>-</v>
      </c>
      <c r="L19" s="45"/>
      <c r="M19" s="14" t="str">
        <f t="shared" si="2"/>
        <v>-</v>
      </c>
      <c r="N19" s="14" t="str">
        <f>IFERROR(VLOOKUP($E$6&amp;M$10&amp;M19,Loads!$C$1:$X$13458,N$9,FALSE),"-")</f>
        <v>-</v>
      </c>
      <c r="O19" s="15" t="str">
        <f>IFERROR(VLOOKUP($E$6&amp;M$10&amp;M19,Loads!$C$1:$X$13458,O$9,FALSE),"-")</f>
        <v>-</v>
      </c>
      <c r="P19" s="15" t="str">
        <f>IFERROR(VLOOKUP($E$6&amp;M$10&amp;M19,Loads!$C$1:$X$13458,P$9,FALSE),"-")</f>
        <v>-</v>
      </c>
      <c r="Q19" s="45"/>
      <c r="R19" s="17" t="str">
        <f t="shared" si="3"/>
        <v>-</v>
      </c>
      <c r="S19" s="17" t="str">
        <f>IFERROR(VLOOKUP($E$6&amp;R$10&amp;R19,Loads!$C$1:$X$13458,S$9,FALSE),"-")</f>
        <v>-</v>
      </c>
      <c r="T19" s="18" t="str">
        <f>IFERROR(VLOOKUP($E$6&amp;R$10&amp;R19,Loads!$C$1:$X$13458,T$9,FALSE),"-")</f>
        <v>-</v>
      </c>
      <c r="U19" s="18" t="str">
        <f>IFERROR(VLOOKUP($E$6&amp;R$10&amp;R19,Loads!$C$1:$X$13458,U$9,FALSE),"-")</f>
        <v>-</v>
      </c>
      <c r="V19" s="45"/>
    </row>
    <row r="20" spans="2:25" x14ac:dyDescent="0.35">
      <c r="B20" s="44"/>
      <c r="C20" s="39" t="str">
        <f t="shared" si="0"/>
        <v>-</v>
      </c>
      <c r="D20" s="39" t="str">
        <f>IFERROR(VLOOKUP($E$6&amp;C$10&amp;C20,Loads!$C$1:$X$13458,D$9,FALSE),"-")</f>
        <v>-</v>
      </c>
      <c r="E20" s="40" t="str">
        <f>IFERROR(VLOOKUP($E$6&amp;C$10&amp;C20,Loads!$C$1:$X$13458,E$9,FALSE),"-")</f>
        <v>-</v>
      </c>
      <c r="F20" s="40" t="str">
        <f>IFERROR(VLOOKUP($E$6&amp;C$10&amp;C20,Loads!$C$1:$X$13458,F$9,FALSE),"-")</f>
        <v>-</v>
      </c>
      <c r="G20" s="45"/>
      <c r="H20" s="11" t="str">
        <f t="shared" si="1"/>
        <v>-</v>
      </c>
      <c r="I20" s="11" t="str">
        <f>IFERROR(VLOOKUP($E$6&amp;H$10&amp;H20,Loads!$C$1:$X$13458,I$9,FALSE),"-")</f>
        <v>-</v>
      </c>
      <c r="J20" s="12" t="str">
        <f>IFERROR(VLOOKUP($E$6&amp;H$10&amp;H20,Loads!$C$1:$X$13458,J$9,FALSE),"-")</f>
        <v>-</v>
      </c>
      <c r="K20" s="12" t="str">
        <f>IFERROR(VLOOKUP($E$6&amp;H$10&amp;H20,Loads!$C$1:$X$13458,K$9,FALSE),"-")</f>
        <v>-</v>
      </c>
      <c r="L20" s="45"/>
      <c r="M20" s="14" t="str">
        <f t="shared" si="2"/>
        <v>-</v>
      </c>
      <c r="N20" s="14" t="str">
        <f>IFERROR(VLOOKUP($E$6&amp;M$10&amp;M20,Loads!$C$1:$X$13458,N$9,FALSE),"-")</f>
        <v>-</v>
      </c>
      <c r="O20" s="15" t="str">
        <f>IFERROR(VLOOKUP($E$6&amp;M$10&amp;M20,Loads!$C$1:$X$13458,O$9,FALSE),"-")</f>
        <v>-</v>
      </c>
      <c r="P20" s="15" t="str">
        <f>IFERROR(VLOOKUP($E$6&amp;M$10&amp;M20,Loads!$C$1:$X$13458,P$9,FALSE),"-")</f>
        <v>-</v>
      </c>
      <c r="Q20" s="45"/>
      <c r="R20" s="17" t="str">
        <f t="shared" si="3"/>
        <v>-</v>
      </c>
      <c r="S20" s="17" t="str">
        <f>IFERROR(VLOOKUP($E$6&amp;R$10&amp;R20,Loads!$C$1:$X$13458,S$9,FALSE),"-")</f>
        <v>-</v>
      </c>
      <c r="T20" s="18" t="str">
        <f>IFERROR(VLOOKUP($E$6&amp;R$10&amp;R20,Loads!$C$1:$X$13458,T$9,FALSE),"-")</f>
        <v>-</v>
      </c>
      <c r="U20" s="18" t="str">
        <f>IFERROR(VLOOKUP($E$6&amp;R$10&amp;R20,Loads!$C$1:$X$13458,U$9,FALSE),"-")</f>
        <v>-</v>
      </c>
      <c r="V20" s="45"/>
    </row>
    <row r="21" spans="2:25" x14ac:dyDescent="0.35">
      <c r="B21" s="44"/>
      <c r="C21" s="39" t="str">
        <f t="shared" si="0"/>
        <v>-</v>
      </c>
      <c r="D21" s="39" t="str">
        <f>IFERROR(VLOOKUP($E$6&amp;C$10&amp;C21,Loads!$C$1:$X$13458,D$9,FALSE),"-")</f>
        <v>-</v>
      </c>
      <c r="E21" s="40" t="str">
        <f>IFERROR(VLOOKUP($E$6&amp;C$10&amp;C21,Loads!$C$1:$X$13458,E$9,FALSE),"-")</f>
        <v>-</v>
      </c>
      <c r="F21" s="40" t="str">
        <f>IFERROR(VLOOKUP($E$6&amp;C$10&amp;C21,Loads!$C$1:$X$13458,F$9,FALSE),"-")</f>
        <v>-</v>
      </c>
      <c r="G21" s="45"/>
      <c r="H21" s="11" t="str">
        <f t="shared" si="1"/>
        <v>-</v>
      </c>
      <c r="I21" s="11" t="str">
        <f>IFERROR(VLOOKUP($E$6&amp;H$10&amp;H21,Loads!$C$1:$X$13458,I$9,FALSE),"-")</f>
        <v>-</v>
      </c>
      <c r="J21" s="12" t="str">
        <f>IFERROR(VLOOKUP($E$6&amp;H$10&amp;H21,Loads!$C$1:$X$13458,J$9,FALSE),"-")</f>
        <v>-</v>
      </c>
      <c r="K21" s="12" t="str">
        <f>IFERROR(VLOOKUP($E$6&amp;H$10&amp;H21,Loads!$C$1:$X$13458,K$9,FALSE),"-")</f>
        <v>-</v>
      </c>
      <c r="L21" s="45"/>
      <c r="M21" s="14" t="str">
        <f t="shared" si="2"/>
        <v>-</v>
      </c>
      <c r="N21" s="14" t="str">
        <f>IFERROR(VLOOKUP($E$6&amp;M$10&amp;M21,Loads!$C$1:$X$13458,N$9,FALSE),"-")</f>
        <v>-</v>
      </c>
      <c r="O21" s="15" t="str">
        <f>IFERROR(VLOOKUP($E$6&amp;M$10&amp;M21,Loads!$C$1:$X$13458,O$9,FALSE),"-")</f>
        <v>-</v>
      </c>
      <c r="P21" s="15" t="str">
        <f>IFERROR(VLOOKUP($E$6&amp;M$10&amp;M21,Loads!$C$1:$X$13458,P$9,FALSE),"-")</f>
        <v>-</v>
      </c>
      <c r="Q21" s="45"/>
      <c r="R21" s="17" t="str">
        <f t="shared" si="3"/>
        <v>-</v>
      </c>
      <c r="S21" s="17" t="str">
        <f>IFERROR(VLOOKUP($E$6&amp;R$10&amp;R21,Loads!$C$1:$X$13458,S$9,FALSE),"-")</f>
        <v>-</v>
      </c>
      <c r="T21" s="18" t="str">
        <f>IFERROR(VLOOKUP($E$6&amp;R$10&amp;R21,Loads!$C$1:$X$13458,T$9,FALSE),"-")</f>
        <v>-</v>
      </c>
      <c r="U21" s="18" t="str">
        <f>IFERROR(VLOOKUP($E$6&amp;R$10&amp;R21,Loads!$C$1:$X$13458,U$9,FALSE),"-")</f>
        <v>-</v>
      </c>
      <c r="V21" s="45"/>
    </row>
    <row r="22" spans="2:25" x14ac:dyDescent="0.35">
      <c r="B22" s="44"/>
      <c r="C22" s="39" t="str">
        <f t="shared" si="0"/>
        <v>-</v>
      </c>
      <c r="D22" s="39" t="str">
        <f>IFERROR(VLOOKUP($E$6&amp;C$10&amp;C22,Loads!$C$1:$X$13458,D$9,FALSE),"-")</f>
        <v>-</v>
      </c>
      <c r="E22" s="40" t="str">
        <f>IFERROR(VLOOKUP($E$6&amp;C$10&amp;C22,Loads!$C$1:$X$13458,E$9,FALSE),"-")</f>
        <v>-</v>
      </c>
      <c r="F22" s="40" t="str">
        <f>IFERROR(VLOOKUP($E$6&amp;C$10&amp;C22,Loads!$C$1:$X$13458,F$9,FALSE),"-")</f>
        <v>-</v>
      </c>
      <c r="G22" s="45"/>
      <c r="H22" s="11" t="str">
        <f t="shared" si="1"/>
        <v>-</v>
      </c>
      <c r="I22" s="11" t="str">
        <f>IFERROR(VLOOKUP($E$6&amp;H$10&amp;H22,Loads!$C$1:$X$13458,I$9,FALSE),"-")</f>
        <v>-</v>
      </c>
      <c r="J22" s="12" t="str">
        <f>IFERROR(VLOOKUP($E$6&amp;H$10&amp;H22,Loads!$C$1:$X$13458,J$9,FALSE),"-")</f>
        <v>-</v>
      </c>
      <c r="K22" s="12" t="str">
        <f>IFERROR(VLOOKUP($E$6&amp;H$10&amp;H22,Loads!$C$1:$X$13458,K$9,FALSE),"-")</f>
        <v>-</v>
      </c>
      <c r="L22" s="45"/>
      <c r="M22" s="14" t="str">
        <f t="shared" si="2"/>
        <v>-</v>
      </c>
      <c r="N22" s="14" t="str">
        <f>IFERROR(VLOOKUP($E$6&amp;M$10&amp;M22,Loads!$C$1:$X$13458,N$9,FALSE),"-")</f>
        <v>-</v>
      </c>
      <c r="O22" s="15" t="str">
        <f>IFERROR(VLOOKUP($E$6&amp;M$10&amp;M22,Loads!$C$1:$X$13458,O$9,FALSE),"-")</f>
        <v>-</v>
      </c>
      <c r="P22" s="15" t="str">
        <f>IFERROR(VLOOKUP($E$6&amp;M$10&amp;M22,Loads!$C$1:$X$13458,P$9,FALSE),"-")</f>
        <v>-</v>
      </c>
      <c r="Q22" s="45"/>
      <c r="R22" s="17" t="str">
        <f t="shared" si="3"/>
        <v>-</v>
      </c>
      <c r="S22" s="17" t="str">
        <f>IFERROR(VLOOKUP($E$6&amp;R$10&amp;R22,Loads!$C$1:$X$13458,S$9,FALSE),"-")</f>
        <v>-</v>
      </c>
      <c r="T22" s="18" t="str">
        <f>IFERROR(VLOOKUP($E$6&amp;R$10&amp;R22,Loads!$C$1:$X$13458,T$9,FALSE),"-")</f>
        <v>-</v>
      </c>
      <c r="U22" s="18" t="str">
        <f>IFERROR(VLOOKUP($E$6&amp;R$10&amp;R22,Loads!$C$1:$X$13458,U$9,FALSE),"-")</f>
        <v>-</v>
      </c>
      <c r="V22" s="45"/>
    </row>
    <row r="23" spans="2:25" x14ac:dyDescent="0.35">
      <c r="B23" s="44"/>
      <c r="C23" s="39" t="str">
        <f t="shared" si="0"/>
        <v>-</v>
      </c>
      <c r="D23" s="39" t="str">
        <f>IFERROR(VLOOKUP($E$6&amp;C$10&amp;C23,Loads!$C$1:$X$13458,D$9,FALSE),"-")</f>
        <v>-</v>
      </c>
      <c r="E23" s="40" t="str">
        <f>IFERROR(VLOOKUP($E$6&amp;C$10&amp;C23,Loads!$C$1:$X$13458,E$9,FALSE),"-")</f>
        <v>-</v>
      </c>
      <c r="F23" s="40" t="str">
        <f>IFERROR(VLOOKUP($E$6&amp;C$10&amp;C23,Loads!$C$1:$X$13458,F$9,FALSE),"-")</f>
        <v>-</v>
      </c>
      <c r="G23" s="45"/>
      <c r="H23" s="11" t="str">
        <f t="shared" si="1"/>
        <v>-</v>
      </c>
      <c r="I23" s="11" t="str">
        <f>IFERROR(VLOOKUP($E$6&amp;H$10&amp;H23,Loads!$C$1:$X$13458,I$9,FALSE),"-")</f>
        <v>-</v>
      </c>
      <c r="J23" s="12" t="str">
        <f>IFERROR(VLOOKUP($E$6&amp;H$10&amp;H23,Loads!$C$1:$X$13458,J$9,FALSE),"-")</f>
        <v>-</v>
      </c>
      <c r="K23" s="12" t="str">
        <f>IFERROR(VLOOKUP($E$6&amp;H$10&amp;H23,Loads!$C$1:$X$13458,K$9,FALSE),"-")</f>
        <v>-</v>
      </c>
      <c r="L23" s="45"/>
      <c r="M23" s="14" t="str">
        <f t="shared" si="2"/>
        <v>-</v>
      </c>
      <c r="N23" s="14" t="str">
        <f>IFERROR(VLOOKUP($E$6&amp;M$10&amp;M23,Loads!$C$1:$X$13458,N$9,FALSE),"-")</f>
        <v>-</v>
      </c>
      <c r="O23" s="15" t="str">
        <f>IFERROR(VLOOKUP($E$6&amp;M$10&amp;M23,Loads!$C$1:$X$13458,O$9,FALSE),"-")</f>
        <v>-</v>
      </c>
      <c r="P23" s="15" t="str">
        <f>IFERROR(VLOOKUP($E$6&amp;M$10&amp;M23,Loads!$C$1:$X$13458,P$9,FALSE),"-")</f>
        <v>-</v>
      </c>
      <c r="Q23" s="45"/>
      <c r="R23" s="17" t="str">
        <f t="shared" si="3"/>
        <v>-</v>
      </c>
      <c r="S23" s="17" t="str">
        <f>IFERROR(VLOOKUP($E$6&amp;R$10&amp;R23,Loads!$C$1:$X$13458,S$9,FALSE),"-")</f>
        <v>-</v>
      </c>
      <c r="T23" s="18" t="str">
        <f>IFERROR(VLOOKUP($E$6&amp;R$10&amp;R23,Loads!$C$1:$X$13458,T$9,FALSE),"-")</f>
        <v>-</v>
      </c>
      <c r="U23" s="18" t="str">
        <f>IFERROR(VLOOKUP($E$6&amp;R$10&amp;R23,Loads!$C$1:$X$13458,U$9,FALSE),"-")</f>
        <v>-</v>
      </c>
      <c r="V23" s="45"/>
    </row>
    <row r="24" spans="2:25" x14ac:dyDescent="0.35">
      <c r="B24" s="44"/>
      <c r="C24" s="39" t="str">
        <f t="shared" si="0"/>
        <v>-</v>
      </c>
      <c r="D24" s="39" t="str">
        <f>IFERROR(VLOOKUP($E$6&amp;C$10&amp;C24,Loads!$C$1:$X$13458,D$9,FALSE),"-")</f>
        <v>-</v>
      </c>
      <c r="E24" s="40" t="str">
        <f>IFERROR(VLOOKUP($E$6&amp;C$10&amp;C24,Loads!$C$1:$X$13458,E$9,FALSE),"-")</f>
        <v>-</v>
      </c>
      <c r="F24" s="40" t="str">
        <f>IFERROR(VLOOKUP($E$6&amp;C$10&amp;C24,Loads!$C$1:$X$13458,F$9,FALSE),"-")</f>
        <v>-</v>
      </c>
      <c r="G24" s="45"/>
      <c r="H24" s="11" t="str">
        <f t="shared" si="1"/>
        <v>-</v>
      </c>
      <c r="I24" s="11" t="str">
        <f>IFERROR(VLOOKUP($E$6&amp;H$10&amp;H24,Loads!$C$1:$X$13458,I$9,FALSE),"-")</f>
        <v>-</v>
      </c>
      <c r="J24" s="12" t="str">
        <f>IFERROR(VLOOKUP($E$6&amp;H$10&amp;H24,Loads!$C$1:$X$13458,J$9,FALSE),"-")</f>
        <v>-</v>
      </c>
      <c r="K24" s="12" t="str">
        <f>IFERROR(VLOOKUP($E$6&amp;H$10&amp;H24,Loads!$C$1:$X$13458,K$9,FALSE),"-")</f>
        <v>-</v>
      </c>
      <c r="L24" s="45"/>
      <c r="M24" s="14" t="str">
        <f t="shared" si="2"/>
        <v>-</v>
      </c>
      <c r="N24" s="14" t="str">
        <f>IFERROR(VLOOKUP($E$6&amp;M$10&amp;M24,Loads!$C$1:$X$13458,N$9,FALSE),"-")</f>
        <v>-</v>
      </c>
      <c r="O24" s="15" t="str">
        <f>IFERROR(VLOOKUP($E$6&amp;M$10&amp;M24,Loads!$C$1:$X$13458,O$9,FALSE),"-")</f>
        <v>-</v>
      </c>
      <c r="P24" s="15" t="str">
        <f>IFERROR(VLOOKUP($E$6&amp;M$10&amp;M24,Loads!$C$1:$X$13458,P$9,FALSE),"-")</f>
        <v>-</v>
      </c>
      <c r="Q24" s="45"/>
      <c r="R24" s="17" t="str">
        <f t="shared" si="3"/>
        <v>-</v>
      </c>
      <c r="S24" s="17" t="str">
        <f>IFERROR(VLOOKUP($E$6&amp;R$10&amp;R24,Loads!$C$1:$X$13458,S$9,FALSE),"-")</f>
        <v>-</v>
      </c>
      <c r="T24" s="18" t="str">
        <f>IFERROR(VLOOKUP($E$6&amp;R$10&amp;R24,Loads!$C$1:$X$13458,T$9,FALSE),"-")</f>
        <v>-</v>
      </c>
      <c r="U24" s="18" t="str">
        <f>IFERROR(VLOOKUP($E$6&amp;R$10&amp;R24,Loads!$C$1:$X$13458,U$9,FALSE),"-")</f>
        <v>-</v>
      </c>
      <c r="V24" s="45"/>
    </row>
    <row r="25" spans="2:25" x14ac:dyDescent="0.35">
      <c r="B25" s="44"/>
      <c r="C25" s="39" t="str">
        <f t="shared" si="0"/>
        <v>-</v>
      </c>
      <c r="D25" s="39" t="str">
        <f>IFERROR(VLOOKUP($E$6&amp;C$10&amp;C25,Loads!$C$1:$X$13458,D$9,FALSE),"-")</f>
        <v>-</v>
      </c>
      <c r="E25" s="40" t="str">
        <f>IFERROR(VLOOKUP($E$6&amp;C$10&amp;C25,Loads!$C$1:$X$13458,E$9,FALSE),"-")</f>
        <v>-</v>
      </c>
      <c r="F25" s="40" t="str">
        <f>IFERROR(VLOOKUP($E$6&amp;C$10&amp;C25,Loads!$C$1:$X$13458,F$9,FALSE),"-")</f>
        <v>-</v>
      </c>
      <c r="G25" s="45"/>
      <c r="H25" s="11" t="str">
        <f t="shared" si="1"/>
        <v>-</v>
      </c>
      <c r="I25" s="11" t="str">
        <f>IFERROR(VLOOKUP($E$6&amp;H$10&amp;H25,Loads!$C$1:$X$13458,I$9,FALSE),"-")</f>
        <v>-</v>
      </c>
      <c r="J25" s="12" t="str">
        <f>IFERROR(VLOOKUP($E$6&amp;H$10&amp;H25,Loads!$C$1:$X$13458,J$9,FALSE),"-")</f>
        <v>-</v>
      </c>
      <c r="K25" s="12" t="str">
        <f>IFERROR(VLOOKUP($E$6&amp;H$10&amp;H25,Loads!$C$1:$X$13458,K$9,FALSE),"-")</f>
        <v>-</v>
      </c>
      <c r="L25" s="45"/>
      <c r="M25" s="14" t="str">
        <f t="shared" si="2"/>
        <v>-</v>
      </c>
      <c r="N25" s="14" t="str">
        <f>IFERROR(VLOOKUP($E$6&amp;M$10&amp;M25,Loads!$C$1:$X$13458,N$9,FALSE),"-")</f>
        <v>-</v>
      </c>
      <c r="O25" s="15" t="str">
        <f>IFERROR(VLOOKUP($E$6&amp;M$10&amp;M25,Loads!$C$1:$X$13458,O$9,FALSE),"-")</f>
        <v>-</v>
      </c>
      <c r="P25" s="15" t="str">
        <f>IFERROR(VLOOKUP($E$6&amp;M$10&amp;M25,Loads!$C$1:$X$13458,P$9,FALSE),"-")</f>
        <v>-</v>
      </c>
      <c r="Q25" s="45"/>
      <c r="R25" s="17" t="str">
        <f t="shared" si="3"/>
        <v>-</v>
      </c>
      <c r="S25" s="17" t="str">
        <f>IFERROR(VLOOKUP($E$6&amp;R$10&amp;R25,Loads!$C$1:$X$13458,S$9,FALSE),"-")</f>
        <v>-</v>
      </c>
      <c r="T25" s="18" t="str">
        <f>IFERROR(VLOOKUP($E$6&amp;R$10&amp;R25,Loads!$C$1:$X$13458,T$9,FALSE),"-")</f>
        <v>-</v>
      </c>
      <c r="U25" s="18" t="str">
        <f>IFERROR(VLOOKUP($E$6&amp;R$10&amp;R25,Loads!$C$1:$X$13458,U$9,FALSE),"-")</f>
        <v>-</v>
      </c>
      <c r="V25" s="45"/>
    </row>
    <row r="26" spans="2:25" ht="12.5" thickBot="1" x14ac:dyDescent="0.4">
      <c r="B26" s="44"/>
      <c r="C26" s="39" t="str">
        <f t="shared" si="0"/>
        <v>-</v>
      </c>
      <c r="D26" s="39" t="str">
        <f>IFERROR(VLOOKUP($E$6&amp;C$10&amp;C26,Loads!$C$1:$X$13458,D$9,FALSE),"-")</f>
        <v>-</v>
      </c>
      <c r="E26" s="40" t="str">
        <f>IFERROR(VLOOKUP($E$6&amp;C$10&amp;C26,Loads!$C$1:$X$13458,E$9,FALSE),"-")</f>
        <v>-</v>
      </c>
      <c r="F26" s="40" t="str">
        <f>IFERROR(VLOOKUP($E$6&amp;C$10&amp;C26,Loads!$C$1:$X$13458,F$9,FALSE),"-")</f>
        <v>-</v>
      </c>
      <c r="G26" s="45"/>
      <c r="H26" s="11" t="str">
        <f t="shared" si="1"/>
        <v>-</v>
      </c>
      <c r="I26" s="11" t="str">
        <f>IFERROR(VLOOKUP($E$6&amp;H$10&amp;H26,Loads!$C$1:$X$13458,I$9,FALSE),"-")</f>
        <v>-</v>
      </c>
      <c r="J26" s="12" t="str">
        <f>IFERROR(VLOOKUP($E$6&amp;H$10&amp;H26,Loads!$C$1:$X$13458,J$9,FALSE),"-")</f>
        <v>-</v>
      </c>
      <c r="K26" s="12" t="str">
        <f>IFERROR(VLOOKUP($E$6&amp;H$10&amp;H26,Loads!$C$1:$X$13458,K$9,FALSE),"-")</f>
        <v>-</v>
      </c>
      <c r="L26" s="45"/>
      <c r="M26" s="14" t="str">
        <f t="shared" si="2"/>
        <v>-</v>
      </c>
      <c r="N26" s="14" t="str">
        <f>IFERROR(VLOOKUP($E$6&amp;M$10&amp;M26,Loads!$C$1:$X$13458,N$9,FALSE),"-")</f>
        <v>-</v>
      </c>
      <c r="O26" s="15" t="str">
        <f>IFERROR(VLOOKUP($E$6&amp;M$10&amp;M26,Loads!$C$1:$X$13458,O$9,FALSE),"-")</f>
        <v>-</v>
      </c>
      <c r="P26" s="15" t="str">
        <f>IFERROR(VLOOKUP($E$6&amp;M$10&amp;M26,Loads!$C$1:$X$13458,P$9,FALSE),"-")</f>
        <v>-</v>
      </c>
      <c r="Q26" s="45"/>
      <c r="R26" s="17" t="str">
        <f t="shared" si="3"/>
        <v>-</v>
      </c>
      <c r="S26" s="17" t="str">
        <f>IFERROR(VLOOKUP($E$6&amp;R$10&amp;R26,Loads!$C$1:$X$13458,S$9,FALSE),"-")</f>
        <v>-</v>
      </c>
      <c r="T26" s="18" t="str">
        <f>IFERROR(VLOOKUP($E$6&amp;R$10&amp;R26,Loads!$C$1:$X$13458,T$9,FALSE),"-")</f>
        <v>-</v>
      </c>
      <c r="U26" s="18" t="str">
        <f>IFERROR(VLOOKUP($E$6&amp;R$10&amp;R26,Loads!$C$1:$X$13458,U$9,FALSE),"-")</f>
        <v>-</v>
      </c>
      <c r="V26" s="45"/>
    </row>
    <row r="27" spans="2:25" s="8" customFormat="1" ht="13.5" thickBot="1" x14ac:dyDescent="0.4">
      <c r="B27" s="48"/>
      <c r="C27" s="41" t="s">
        <v>3</v>
      </c>
      <c r="D27" s="41">
        <f>IF(SUM(D12:D26)=0,"-",VLOOKUP($E$6,Monthly!$C$12:$G$42,3,0))</f>
        <v>196900</v>
      </c>
      <c r="E27" s="42">
        <f>IF(SUM(E12:E26)=0,"-",VLOOKUP($E$6,Monthly!$C$12:$G$42,4,0))</f>
        <v>8.0431599796851199</v>
      </c>
      <c r="F27" s="42">
        <f>IF(SUM(F12:F26)=0,"-",VLOOKUP($E$6,Monthly!$C$12:$G$42,5,0))</f>
        <v>21.422769933976639</v>
      </c>
      <c r="G27" s="49"/>
      <c r="H27" s="25" t="s">
        <v>3</v>
      </c>
      <c r="I27" s="25">
        <f>IF(SUM(I12:I26)=0,"-",VLOOKUP($E$6,Monthly!$I$12:$M$42,3,0))</f>
        <v>20540</v>
      </c>
      <c r="J27" s="26">
        <f>IF(SUM(J12:J26)=0,"-",VLOOKUP($E$6,Monthly!$I$12:$M$42,4,0))</f>
        <v>61.972181110029219</v>
      </c>
      <c r="K27" s="26">
        <f>IF(SUM(K12:K26)=0,"-",VLOOKUP($E$6,Monthly!$I$12:$M$42,5,0))</f>
        <v>10.28</v>
      </c>
      <c r="L27" s="49"/>
      <c r="M27" s="27" t="s">
        <v>3</v>
      </c>
      <c r="N27" s="27" t="str">
        <f>IF(SUM(N12:N26)=0,"-",VLOOKUP($E$6,Monthly!$O$12:$S$42,3,0))</f>
        <v>-</v>
      </c>
      <c r="O27" s="28" t="str">
        <f>IF(SUM(O12:O26)=0,"-",VLOOKUP($E$6,Monthly!$O$12:$S$42,4,0))</f>
        <v>-</v>
      </c>
      <c r="P27" s="28" t="str">
        <f>IF(SUM(P12:P26)=0,"-",VLOOKUP($E$6,Monthly!$O$12:$S$42,5,0))</f>
        <v>-</v>
      </c>
      <c r="Q27" s="49"/>
      <c r="R27" s="29" t="s">
        <v>3</v>
      </c>
      <c r="S27" s="29">
        <f>IF(SUM(S12:S26)=0,"-",VLOOKUP($E$6,Monthly!$U$12:$Y$42,3,0))</f>
        <v>55980</v>
      </c>
      <c r="T27" s="30">
        <f>IF(SUM(T12:T26)=0,"-",VLOOKUP($E$6,Monthly!$U$12:$Y$42,4,0))</f>
        <v>8.0681207574133627</v>
      </c>
      <c r="U27" s="30">
        <f>IF(SUM(U12:U26)=0,"-",VLOOKUP($E$6,Monthly!$U$12:$Y$42,5,0))</f>
        <v>64.55083958556628</v>
      </c>
      <c r="V27" s="49"/>
    </row>
    <row r="28" spans="2:25" ht="5.65" customHeight="1" thickBot="1" x14ac:dyDescent="0.4">
      <c r="B28" s="44"/>
      <c r="C28" s="45">
        <f>COUNTIF(Loads!$A$1:$A$13458,Daily!$E$6&amp;Daily!C29)</f>
        <v>1</v>
      </c>
      <c r="D28" s="45">
        <v>9</v>
      </c>
      <c r="E28" s="45">
        <v>10</v>
      </c>
      <c r="F28" s="45">
        <v>11</v>
      </c>
      <c r="G28" s="45"/>
      <c r="H28" s="45">
        <f>COUNTIF(Loads!$A$1:$A$13458,Daily!$E$6&amp;Daily!H29)</f>
        <v>2</v>
      </c>
      <c r="I28" s="45">
        <v>9</v>
      </c>
      <c r="J28" s="45">
        <v>10</v>
      </c>
      <c r="K28" s="45">
        <v>12</v>
      </c>
      <c r="L28" s="45"/>
      <c r="M28" s="45">
        <f>COUNTIF(Loads!$A$1:$A$13458,Daily!$E$6&amp;Daily!M29)</f>
        <v>0</v>
      </c>
      <c r="N28" s="45">
        <v>9</v>
      </c>
      <c r="O28" s="45">
        <v>11</v>
      </c>
      <c r="P28" s="45">
        <v>13</v>
      </c>
      <c r="Q28" s="45"/>
      <c r="R28" s="45">
        <f>COUNTIF(Loads!$A$1:$A$13458,Daily!$E$6&amp;Daily!R29)</f>
        <v>0</v>
      </c>
      <c r="S28" s="45">
        <v>9</v>
      </c>
      <c r="T28" s="45">
        <v>10</v>
      </c>
      <c r="U28" s="45">
        <v>11</v>
      </c>
      <c r="V28" s="45"/>
    </row>
    <row r="29" spans="2:25" ht="16" thickBot="1" x14ac:dyDescent="0.4">
      <c r="B29" s="44"/>
      <c r="C29" s="106" t="s">
        <v>16</v>
      </c>
      <c r="D29" s="107"/>
      <c r="E29" s="107"/>
      <c r="F29" s="108"/>
      <c r="G29" s="45"/>
      <c r="H29" s="109" t="s">
        <v>17</v>
      </c>
      <c r="I29" s="110"/>
      <c r="J29" s="110"/>
      <c r="K29" s="111"/>
      <c r="L29" s="45"/>
      <c r="M29" s="112" t="s">
        <v>18</v>
      </c>
      <c r="N29" s="113"/>
      <c r="O29" s="113"/>
      <c r="P29" s="114"/>
      <c r="Q29" s="45"/>
      <c r="R29" s="115" t="s">
        <v>19</v>
      </c>
      <c r="S29" s="116"/>
      <c r="T29" s="116"/>
      <c r="U29" s="117"/>
      <c r="V29" s="45"/>
      <c r="Y29" s="92"/>
    </row>
    <row r="30" spans="2:25" ht="13.5" customHeight="1" thickBot="1" x14ac:dyDescent="0.4">
      <c r="B30" s="44"/>
      <c r="C30" s="53" t="s">
        <v>23</v>
      </c>
      <c r="D30" s="53" t="s">
        <v>25</v>
      </c>
      <c r="E30" s="53" t="s">
        <v>26</v>
      </c>
      <c r="F30" s="53" t="s">
        <v>27</v>
      </c>
      <c r="G30" s="45"/>
      <c r="H30" s="19" t="s">
        <v>23</v>
      </c>
      <c r="I30" s="19" t="s">
        <v>25</v>
      </c>
      <c r="J30" s="19" t="s">
        <v>26</v>
      </c>
      <c r="K30" s="19" t="s">
        <v>28</v>
      </c>
      <c r="L30" s="45"/>
      <c r="M30" s="22" t="s">
        <v>23</v>
      </c>
      <c r="N30" s="22" t="s">
        <v>25</v>
      </c>
      <c r="O30" s="22" t="s">
        <v>27</v>
      </c>
      <c r="P30" s="22" t="s">
        <v>29</v>
      </c>
      <c r="Q30" s="45"/>
      <c r="R30" s="58" t="s">
        <v>23</v>
      </c>
      <c r="S30" s="58" t="s">
        <v>25</v>
      </c>
      <c r="T30" s="58" t="s">
        <v>26</v>
      </c>
      <c r="U30" s="58" t="s">
        <v>27</v>
      </c>
      <c r="V30" s="45"/>
      <c r="Y30" s="92"/>
    </row>
    <row r="31" spans="2:25" x14ac:dyDescent="0.35">
      <c r="B31" s="44"/>
      <c r="C31" s="54">
        <f>IF(C28=0,"-",1)</f>
        <v>1</v>
      </c>
      <c r="D31" s="54">
        <f>IFERROR(VLOOKUP($E$6&amp;C$29&amp;C31,Loads!$C$1:$X$13458,D$28,FALSE),"-")</f>
        <v>13400</v>
      </c>
      <c r="E31" s="55">
        <f>IFERROR(VLOOKUP($E$6&amp;C$29&amp;C31,Loads!$C$1:$X$13458,E$28,FALSE),"-")</f>
        <v>13.34</v>
      </c>
      <c r="F31" s="55">
        <f>IFERROR(VLOOKUP($E$6&amp;C$29&amp;C31,Loads!$C$1:$X$13458,F$28,FALSE),"-")</f>
        <v>0</v>
      </c>
      <c r="G31" s="45"/>
      <c r="H31" s="20">
        <f>IF(H28=0,"-",1)</f>
        <v>1</v>
      </c>
      <c r="I31" s="20">
        <f>IFERROR(VLOOKUP($E$6&amp;H$29&amp;H31,Loads!$C$1:$X$13458,I$28,FALSE),"-")</f>
        <v>35820</v>
      </c>
      <c r="J31" s="21">
        <f>IFERROR(VLOOKUP($E$6&amp;H$29&amp;H31,Loads!$C$1:$X$13458,J$28,FALSE),"-")</f>
        <v>2.2999999999999998</v>
      </c>
      <c r="K31" s="21">
        <f>IFERROR(VLOOKUP($E$6&amp;H$29&amp;H31,Loads!$C$1:$X$13458,K$28,FALSE),"-")</f>
        <v>0.08</v>
      </c>
      <c r="L31" s="45"/>
      <c r="M31" s="23" t="str">
        <f>IF(M28=0,"-",1)</f>
        <v>-</v>
      </c>
      <c r="N31" s="23" t="str">
        <f>IFERROR(VLOOKUP($E$6&amp;M$29&amp;M31,Loads!$C$1:$X$13458,N$28,FALSE),"-")</f>
        <v>-</v>
      </c>
      <c r="O31" s="24" t="str">
        <f>IFERROR(VLOOKUP($E$6&amp;M$29&amp;M31,Loads!$C1:$X13458,O$28,FALSE),"-")</f>
        <v>-</v>
      </c>
      <c r="P31" s="24" t="str">
        <f>IFERROR(VLOOKUP($E$6&amp;M$29&amp;M31,Loads!$C$1:$X$13458,P$28,FALSE),"-")</f>
        <v>-</v>
      </c>
      <c r="Q31" s="45"/>
      <c r="R31" s="59" t="str">
        <f>IF(R28=0,"-",1)</f>
        <v>-</v>
      </c>
      <c r="S31" s="59" t="str">
        <f>IFERROR(VLOOKUP($E$6&amp;R$29&amp;R31,Loads!$C$1:$X$13458,S$28,FALSE),"-")</f>
        <v>-</v>
      </c>
      <c r="T31" s="60" t="str">
        <f>IFERROR(VLOOKUP($E$6&amp;R$29&amp;R31,Loads!$C$1:$X$13458,T$28,FALSE),"-")</f>
        <v>-</v>
      </c>
      <c r="U31" s="60" t="str">
        <f>IFERROR(VLOOKUP($E$6&amp;R$29&amp;R31,Loads!$C$1:$X$13458,U$28,FALSE),"-")</f>
        <v>-</v>
      </c>
      <c r="V31" s="45"/>
    </row>
    <row r="32" spans="2:25" x14ac:dyDescent="0.35">
      <c r="B32" s="44"/>
      <c r="C32" s="54" t="str">
        <f>IFERROR(IF(C31+1&lt;=C$28,C31+1,"-"),"-")</f>
        <v>-</v>
      </c>
      <c r="D32" s="54" t="str">
        <f>IFERROR(VLOOKUP($E$6&amp;C$29&amp;C32,Loads!$C$1:$X$13458,D$28,FALSE),"-")</f>
        <v>-</v>
      </c>
      <c r="E32" s="55" t="str">
        <f>IFERROR(VLOOKUP($E$6&amp;C$29&amp;C32,Loads!$C$1:$X$13458,E$28,FALSE),"-")</f>
        <v>-</v>
      </c>
      <c r="F32" s="55" t="str">
        <f>IFERROR(VLOOKUP($E$6&amp;C$29&amp;C32,Loads!$C$1:$X$13458,F$28,FALSE),"-")</f>
        <v>-</v>
      </c>
      <c r="G32" s="45"/>
      <c r="H32" s="20">
        <f>IFERROR(IF(H31+1&lt;=H$28,H31+1,"-"),"-")</f>
        <v>2</v>
      </c>
      <c r="I32" s="20">
        <f>IFERROR(VLOOKUP($E$6&amp;H$29&amp;H32,Loads!$C$1:$X$13458,I$28,FALSE),"-")</f>
        <v>34480</v>
      </c>
      <c r="J32" s="21">
        <f>IFERROR(VLOOKUP($E$6&amp;H$29&amp;H32,Loads!$C$1:$X$13458,J$28,FALSE),"-")</f>
        <v>2.4</v>
      </c>
      <c r="K32" s="21">
        <f>IFERROR(VLOOKUP($E$6&amp;H$29&amp;H32,Loads!$C$1:$X$13458,K$28,FALSE),"-")</f>
        <v>0.08</v>
      </c>
      <c r="L32" s="45"/>
      <c r="M32" s="23" t="str">
        <f>IFERROR(IF(M31+1&lt;=M$28,M31+1,"-"),"-")</f>
        <v>-</v>
      </c>
      <c r="N32" s="23" t="str">
        <f>IFERROR(VLOOKUP($E$6&amp;M$29&amp;M32,Loads!$C$1:$X$13458,N$28,FALSE),"-")</f>
        <v>-</v>
      </c>
      <c r="O32" s="24" t="str">
        <f>IFERROR(VLOOKUP($E$6&amp;M$29&amp;M32,Loads!$C2:$X13459,O$28,FALSE),"-")</f>
        <v>-</v>
      </c>
      <c r="P32" s="24" t="str">
        <f>IFERROR(VLOOKUP($E$6&amp;M$29&amp;M32,Loads!$C$1:$X$13458,P$28,FALSE),"-")</f>
        <v>-</v>
      </c>
      <c r="Q32" s="45"/>
      <c r="R32" s="59" t="str">
        <f>IFERROR(IF(R31+1&lt;=R$28,R31+1,"-"),"-")</f>
        <v>-</v>
      </c>
      <c r="S32" s="59" t="str">
        <f>IFERROR(VLOOKUP($E$6&amp;R$29&amp;R32,Loads!$C$1:$X$13458,S$28,FALSE),"-")</f>
        <v>-</v>
      </c>
      <c r="T32" s="60" t="str">
        <f>IFERROR(VLOOKUP($E$6&amp;R$29&amp;R32,Loads!$C$1:$X$13458,T$28,FALSE),"-")</f>
        <v>-</v>
      </c>
      <c r="U32" s="60" t="str">
        <f>IFERROR(VLOOKUP($E$6&amp;R$29&amp;R32,Loads!$C$1:$X$13458,U$28,FALSE),"-")</f>
        <v>-</v>
      </c>
      <c r="V32" s="45"/>
    </row>
    <row r="33" spans="2:22" x14ac:dyDescent="0.35">
      <c r="B33" s="44"/>
      <c r="C33" s="54" t="str">
        <f t="shared" ref="C33:C35" si="4">IFERROR(IF(C32+1&lt;=C$28,C32+1,"-"),"-")</f>
        <v>-</v>
      </c>
      <c r="D33" s="54" t="str">
        <f>IFERROR(VLOOKUP($E$6&amp;C$29&amp;C33,Loads!$C$1:$X$13458,D$28,FALSE),"-")</f>
        <v>-</v>
      </c>
      <c r="E33" s="55" t="str">
        <f>IFERROR(VLOOKUP($E$6&amp;C$29&amp;C33,Loads!$C$1:$X$13458,E$28,FALSE),"-")</f>
        <v>-</v>
      </c>
      <c r="F33" s="55" t="str">
        <f>IFERROR(VLOOKUP($E$6&amp;C$29&amp;C33,Loads!$C$1:$X$13458,F$28,FALSE),"-")</f>
        <v>-</v>
      </c>
      <c r="G33" s="45"/>
      <c r="H33" s="20" t="str">
        <f t="shared" ref="H33:H35" si="5">IFERROR(IF(H32+1&lt;=H$28,H32+1,"-"),"-")</f>
        <v>-</v>
      </c>
      <c r="I33" s="20" t="str">
        <f>IFERROR(VLOOKUP($E$6&amp;H$29&amp;H33,Loads!$C$1:$X$13458,I$28,FALSE),"-")</f>
        <v>-</v>
      </c>
      <c r="J33" s="21" t="str">
        <f>IFERROR(VLOOKUP($E$6&amp;H$29&amp;H33,Loads!$C$1:$X$13458,J$28,FALSE),"-")</f>
        <v>-</v>
      </c>
      <c r="K33" s="21" t="str">
        <f>IFERROR(VLOOKUP($E$6&amp;H$29&amp;H33,Loads!$C$1:$X$13458,K$28,FALSE),"-")</f>
        <v>-</v>
      </c>
      <c r="L33" s="45"/>
      <c r="M33" s="23" t="str">
        <f t="shared" ref="M33:M35" si="6">IFERROR(IF(M32+1&lt;=M$28,M32+1,"-"),"-")</f>
        <v>-</v>
      </c>
      <c r="N33" s="23" t="str">
        <f>IFERROR(VLOOKUP($E$6&amp;M$29&amp;M33,Loads!$C$1:$X$13458,N$28,FALSE),"-")</f>
        <v>-</v>
      </c>
      <c r="O33" s="24" t="str">
        <f>IFERROR(VLOOKUP($E$6&amp;M$29&amp;M33,Loads!$C3:$X13460,O$28,FALSE),"-")</f>
        <v>-</v>
      </c>
      <c r="P33" s="24" t="str">
        <f>IFERROR(VLOOKUP($E$6&amp;M$29&amp;M33,Loads!$C$1:$X$13458,P$28,FALSE),"-")</f>
        <v>-</v>
      </c>
      <c r="Q33" s="45"/>
      <c r="R33" s="59" t="str">
        <f t="shared" ref="R33:R35" si="7">IFERROR(IF(R32+1&lt;=R$28,R32+1,"-"),"-")</f>
        <v>-</v>
      </c>
      <c r="S33" s="59" t="str">
        <f>IFERROR(VLOOKUP($E$6&amp;R$29&amp;R33,Loads!$C$1:$X$13458,S$28,FALSE),"-")</f>
        <v>-</v>
      </c>
      <c r="T33" s="60" t="str">
        <f>IFERROR(VLOOKUP($E$6&amp;R$29&amp;R33,Loads!$C$1:$X$13458,T$28,FALSE),"-")</f>
        <v>-</v>
      </c>
      <c r="U33" s="60" t="str">
        <f>IFERROR(VLOOKUP($E$6&amp;R$29&amp;R33,Loads!$C$1:$X$13458,U$28,FALSE),"-")</f>
        <v>-</v>
      </c>
      <c r="V33" s="45"/>
    </row>
    <row r="34" spans="2:22" x14ac:dyDescent="0.35">
      <c r="B34" s="44"/>
      <c r="C34" s="54" t="str">
        <f t="shared" si="4"/>
        <v>-</v>
      </c>
      <c r="D34" s="54" t="str">
        <f>IFERROR(VLOOKUP($E$6&amp;C$29&amp;C34,Loads!$C$1:$X$13458,D$28,FALSE),"-")</f>
        <v>-</v>
      </c>
      <c r="E34" s="55" t="str">
        <f>IFERROR(VLOOKUP($E$6&amp;C$29&amp;C34,Loads!$C$1:$X$13458,E$28,FALSE),"-")</f>
        <v>-</v>
      </c>
      <c r="F34" s="55" t="str">
        <f>IFERROR(VLOOKUP($E$6&amp;C$29&amp;C34,Loads!$C$1:$X$13458,F$28,FALSE),"-")</f>
        <v>-</v>
      </c>
      <c r="G34" s="45"/>
      <c r="H34" s="20" t="str">
        <f t="shared" si="5"/>
        <v>-</v>
      </c>
      <c r="I34" s="20" t="str">
        <f>IFERROR(VLOOKUP($E$6&amp;H$29&amp;H34,Loads!$C$1:$X$13458,I$28,FALSE),"-")</f>
        <v>-</v>
      </c>
      <c r="J34" s="21" t="str">
        <f>IFERROR(VLOOKUP($E$6&amp;H$29&amp;H34,Loads!$C$1:$X$13458,J$28,FALSE),"-")</f>
        <v>-</v>
      </c>
      <c r="K34" s="21" t="str">
        <f>IFERROR(VLOOKUP($E$6&amp;H$29&amp;H34,Loads!$C$1:$X$13458,K$28,FALSE),"-")</f>
        <v>-</v>
      </c>
      <c r="L34" s="45"/>
      <c r="M34" s="23" t="str">
        <f t="shared" si="6"/>
        <v>-</v>
      </c>
      <c r="N34" s="23" t="str">
        <f>IFERROR(VLOOKUP($E$6&amp;M$29&amp;M34,Loads!$C$1:$X$13458,N$28,FALSE),"-")</f>
        <v>-</v>
      </c>
      <c r="O34" s="24" t="str">
        <f>IFERROR(VLOOKUP($E$6&amp;M$29&amp;M34,Loads!$C3:$X13461,O$28,FALSE),"-")</f>
        <v>-</v>
      </c>
      <c r="P34" s="24" t="str">
        <f>IFERROR(VLOOKUP($E$6&amp;M$29&amp;M34,Loads!$C$1:$X$13458,P$28,FALSE),"-")</f>
        <v>-</v>
      </c>
      <c r="Q34" s="45"/>
      <c r="R34" s="59" t="str">
        <f t="shared" si="7"/>
        <v>-</v>
      </c>
      <c r="S34" s="59" t="str">
        <f>IFERROR(VLOOKUP($E$6&amp;R$29&amp;R34,Loads!$C$1:$X$13458,S$28,FALSE),"-")</f>
        <v>-</v>
      </c>
      <c r="T34" s="60" t="str">
        <f>IFERROR(VLOOKUP($E$6&amp;R$29&amp;R34,Loads!$C$1:$X$13458,T$28,FALSE),"-")</f>
        <v>-</v>
      </c>
      <c r="U34" s="60" t="str">
        <f>IFERROR(VLOOKUP($E$6&amp;R$29&amp;R34,Loads!$C$1:$X$13458,U$28,FALSE),"-")</f>
        <v>-</v>
      </c>
      <c r="V34" s="45"/>
    </row>
    <row r="35" spans="2:22" ht="12.5" thickBot="1" x14ac:dyDescent="0.4">
      <c r="B35" s="44"/>
      <c r="C35" s="54" t="str">
        <f t="shared" si="4"/>
        <v>-</v>
      </c>
      <c r="D35" s="54" t="str">
        <f>IFERROR(VLOOKUP($E$6&amp;C$29&amp;C35,Loads!$C$1:$X$13458,D$28,FALSE),"-")</f>
        <v>-</v>
      </c>
      <c r="E35" s="55" t="str">
        <f>IFERROR(VLOOKUP($E$6&amp;C$29&amp;C35,Loads!$C$1:$X$13458,E$28,FALSE),"-")</f>
        <v>-</v>
      </c>
      <c r="F35" s="55" t="str">
        <f>IFERROR(VLOOKUP($E$6&amp;C$29&amp;C35,Loads!$C$1:$X$13458,F$28,FALSE),"-")</f>
        <v>-</v>
      </c>
      <c r="G35" s="45"/>
      <c r="H35" s="20" t="str">
        <f t="shared" si="5"/>
        <v>-</v>
      </c>
      <c r="I35" s="20" t="str">
        <f>IFERROR(VLOOKUP($E$6&amp;H$29&amp;H35,Loads!$C$1:$X$13458,I$28,FALSE),"-")</f>
        <v>-</v>
      </c>
      <c r="J35" s="21" t="str">
        <f>IFERROR(VLOOKUP($E$6&amp;H$29&amp;H35,Loads!$C$1:$X$13458,J$28,FALSE),"-")</f>
        <v>-</v>
      </c>
      <c r="K35" s="21" t="str">
        <f>IFERROR(VLOOKUP($E$6&amp;H$29&amp;H35,Loads!$C$1:$X$13458,K$28,FALSE),"-")</f>
        <v>-</v>
      </c>
      <c r="L35" s="45"/>
      <c r="M35" s="23" t="str">
        <f t="shared" si="6"/>
        <v>-</v>
      </c>
      <c r="N35" s="23" t="str">
        <f>IFERROR(VLOOKUP($E$6&amp;M$29&amp;M35,Loads!$C$1:$X$13458,N$28,FALSE),"-")</f>
        <v>-</v>
      </c>
      <c r="O35" s="24" t="str">
        <f>IFERROR(VLOOKUP($E$6&amp;M$29&amp;M35,Loads!$C3:$X13462,O$28,FALSE),"-")</f>
        <v>-</v>
      </c>
      <c r="P35" s="24" t="str">
        <f>IFERROR(VLOOKUP($E$6&amp;M$29&amp;M35,Loads!$C$1:$X$13458,P$28,FALSE),"-")</f>
        <v>-</v>
      </c>
      <c r="Q35" s="45"/>
      <c r="R35" s="59" t="str">
        <f t="shared" si="7"/>
        <v>-</v>
      </c>
      <c r="S35" s="59" t="str">
        <f>IFERROR(VLOOKUP($E$6&amp;R$29&amp;R35,Loads!$C$1:$X$13458,S$28,FALSE),"-")</f>
        <v>-</v>
      </c>
      <c r="T35" s="60" t="str">
        <f>IFERROR(VLOOKUP($E$6&amp;R$29&amp;R35,Loads!$C$1:$X$13458,T$28,FALSE),"-")</f>
        <v>-</v>
      </c>
      <c r="U35" s="60" t="str">
        <f>IFERROR(VLOOKUP($E$6&amp;R$29&amp;R35,Loads!$C$1:$X$13458,U$28,FALSE),"-")</f>
        <v>-</v>
      </c>
      <c r="V35" s="45"/>
    </row>
    <row r="36" spans="2:22" s="8" customFormat="1" ht="13.5" thickBot="1" x14ac:dyDescent="0.4">
      <c r="B36" s="48"/>
      <c r="C36" s="56" t="s">
        <v>3</v>
      </c>
      <c r="D36" s="56">
        <f>IF(SUM(D31:D35)=0,"-",VLOOKUP($E$6,Monthly!$C$47:$G$77,3,0))</f>
        <v>13400</v>
      </c>
      <c r="E36" s="57">
        <f>IF(SUM(E31:E35)=0,"-",VLOOKUP($E$6,Monthly!$C$47:$G$77,4,0))</f>
        <v>13.34</v>
      </c>
      <c r="F36" s="63" t="str">
        <f>IF(SUM(F31:F35)=0,"-",VLOOKUP($E$6,Monthly!$C$47:$G$77,5,0))</f>
        <v>-</v>
      </c>
      <c r="G36" s="50"/>
      <c r="H36" s="31" t="s">
        <v>3</v>
      </c>
      <c r="I36" s="31">
        <f>IF(SUM(I31:I35)=0,"-",VLOOKUP($E$6,Monthly!$I$47:$M$77,3,0))</f>
        <v>70300</v>
      </c>
      <c r="J36" s="32">
        <f>IF(SUM(J31:J35)=0,"-",VLOOKUP($E$6,Monthly!$I$47:$M$77,4,0))</f>
        <v>2.3490469416785205</v>
      </c>
      <c r="K36" s="32">
        <f>IF(SUM(K31:K35)=0,"-",VLOOKUP($E$6,Monthly!$I$47:$M$77,5,0))</f>
        <v>0.08</v>
      </c>
      <c r="L36" s="50"/>
      <c r="M36" s="33" t="s">
        <v>3</v>
      </c>
      <c r="N36" s="33" t="str">
        <f>IF(SUM(N31:N35)=0,"-",VLOOKUP($E$6,Monthly!$O$47:$S$77,3,0))</f>
        <v>-</v>
      </c>
      <c r="O36" s="34" t="str">
        <f>IF(SUM(O31:O35)=0,"-",VLOOKUP($E$6,Monthly!$O$47:$S$77,4,0))</f>
        <v>-</v>
      </c>
      <c r="P36" s="34" t="str">
        <f>IF(SUM(P31:P35)=0,"-",VLOOKUP($E$6,Monthly!$O$47:$S$77,5,0))</f>
        <v>-</v>
      </c>
      <c r="Q36" s="50"/>
      <c r="R36" s="61" t="s">
        <v>3</v>
      </c>
      <c r="S36" s="61" t="str">
        <f>IF(SUM(S31:S35)=0,"-",VLOOKUP($E$6,Monthly!$U$47:$Y$77,3,0))</f>
        <v>-</v>
      </c>
      <c r="T36" s="62" t="str">
        <f>IF(SUM(T31:T35)=0,"-",VLOOKUP($E$6,Monthly!$U$47:$Y$77,4,0))</f>
        <v>-</v>
      </c>
      <c r="U36" s="62" t="str">
        <f>IF(SUM(U31:U35)=0,"-",VLOOKUP($E$6,Monthly!$U$47:$Y$77,5,0))</f>
        <v>-</v>
      </c>
      <c r="V36" s="50"/>
    </row>
    <row r="37" spans="2:22" ht="5.15" customHeight="1" thickBot="1" x14ac:dyDescent="0.4">
      <c r="B37" s="51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</row>
    <row r="38" spans="2:22" hidden="1" x14ac:dyDescent="0.35">
      <c r="D38" s="7" t="s">
        <v>32</v>
      </c>
      <c r="E38" s="7">
        <v>0</v>
      </c>
      <c r="F38" s="7">
        <v>21</v>
      </c>
      <c r="J38" s="7">
        <v>0</v>
      </c>
      <c r="K38" s="7">
        <v>9.5</v>
      </c>
      <c r="N38" s="93">
        <v>25</v>
      </c>
      <c r="O38" s="7">
        <v>0</v>
      </c>
      <c r="P38" s="7">
        <v>9.5</v>
      </c>
      <c r="T38" s="7">
        <v>0</v>
      </c>
      <c r="U38" s="7">
        <v>60</v>
      </c>
    </row>
    <row r="39" spans="2:22" hidden="1" x14ac:dyDescent="0.35">
      <c r="D39" s="7" t="s">
        <v>33</v>
      </c>
      <c r="E39" s="7">
        <v>12</v>
      </c>
      <c r="F39" s="7">
        <v>100</v>
      </c>
      <c r="J39" s="7">
        <v>60</v>
      </c>
      <c r="K39" s="7">
        <v>100</v>
      </c>
      <c r="N39" s="93">
        <v>30</v>
      </c>
      <c r="O39" s="7">
        <v>60</v>
      </c>
      <c r="P39" s="7">
        <v>100</v>
      </c>
      <c r="T39" s="7">
        <v>12</v>
      </c>
      <c r="U39" s="7">
        <v>100</v>
      </c>
    </row>
    <row r="40" spans="2:22" ht="5.15" customHeight="1" x14ac:dyDescent="0.35"/>
  </sheetData>
  <protectedRanges>
    <protectedRange sqref="R6" name="Range3"/>
    <protectedRange sqref="AE10:AE13" name="Range2"/>
    <protectedRange sqref="E6:F6" name="Range1"/>
  </protectedRanges>
  <mergeCells count="13">
    <mergeCell ref="C29:F29"/>
    <mergeCell ref="H29:K29"/>
    <mergeCell ref="M29:P29"/>
    <mergeCell ref="R29:U29"/>
    <mergeCell ref="B8:V8"/>
    <mergeCell ref="E6:F6"/>
    <mergeCell ref="O6:P6"/>
    <mergeCell ref="R6:U6"/>
    <mergeCell ref="C2:U4"/>
    <mergeCell ref="C10:F10"/>
    <mergeCell ref="H10:K10"/>
    <mergeCell ref="M10:P10"/>
    <mergeCell ref="R10:U10"/>
  </mergeCells>
  <conditionalFormatting sqref="T12:U24 T27:U27 E12:F24 E26:F27 J12:K27 O12:P27">
    <cfRule type="cellIs" dxfId="23" priority="18" operator="lessThan">
      <formula>E$38</formula>
    </cfRule>
  </conditionalFormatting>
  <conditionalFormatting sqref="T12:U24 T27:U27 E12:F24 E26:F27 J12:K27 O12:P27">
    <cfRule type="cellIs" dxfId="22" priority="17" operator="greaterThan">
      <formula>E$39</formula>
    </cfRule>
  </conditionalFormatting>
  <conditionalFormatting sqref="E12:F24 T12:U24 J12:K24 J27:K27 T27:U27 O27:P27 E27:F27 O12:P24">
    <cfRule type="cellIs" dxfId="21" priority="16" operator="equal">
      <formula>"-"</formula>
    </cfRule>
  </conditionalFormatting>
  <conditionalFormatting sqref="T26:U26">
    <cfRule type="cellIs" dxfId="20" priority="15" operator="lessThan">
      <formula>T$38</formula>
    </cfRule>
  </conditionalFormatting>
  <conditionalFormatting sqref="T26:U26">
    <cfRule type="cellIs" dxfId="19" priority="14" operator="greaterThan">
      <formula>T$39</formula>
    </cfRule>
  </conditionalFormatting>
  <conditionalFormatting sqref="J26:K26 T26:U26 O26:P26 E26:F26">
    <cfRule type="cellIs" dxfId="18" priority="13" operator="equal">
      <formula>"-"</formula>
    </cfRule>
  </conditionalFormatting>
  <conditionalFormatting sqref="E25:F25">
    <cfRule type="cellIs" dxfId="17" priority="12" operator="lessThan">
      <formula>E$38</formula>
    </cfRule>
  </conditionalFormatting>
  <conditionalFormatting sqref="E25:F25">
    <cfRule type="cellIs" dxfId="16" priority="11" operator="greaterThan">
      <formula>E$39</formula>
    </cfRule>
  </conditionalFormatting>
  <conditionalFormatting sqref="T25:U25">
    <cfRule type="cellIs" dxfId="15" priority="10" operator="lessThan">
      <formula>T$38</formula>
    </cfRule>
  </conditionalFormatting>
  <conditionalFormatting sqref="T25:U25">
    <cfRule type="cellIs" dxfId="14" priority="9" operator="greaterThan">
      <formula>T$39</formula>
    </cfRule>
  </conditionalFormatting>
  <conditionalFormatting sqref="J25:K25 T25:U25 O25:P25 E25:F25">
    <cfRule type="cellIs" dxfId="13" priority="8" operator="equal">
      <formula>"-"</formula>
    </cfRule>
  </conditionalFormatting>
  <conditionalFormatting sqref="O12:O27">
    <cfRule type="cellIs" dxfId="12" priority="1" operator="greaterThan">
      <formula>60</formula>
    </cfRule>
    <cfRule type="cellIs" dxfId="11" priority="4" operator="greaterThan">
      <formula>60</formula>
    </cfRule>
  </conditionalFormatting>
  <conditionalFormatting sqref="P12:P27">
    <cfRule type="cellIs" dxfId="10" priority="3" operator="lessThan">
      <formula>10</formula>
    </cfRule>
  </conditionalFormatting>
  <conditionalFormatting sqref="O12:O26">
    <cfRule type="cellIs" dxfId="9" priority="2" operator="greaterThan">
      <formula>60</formula>
    </cfRule>
  </conditionalFormatting>
  <dataValidations count="1">
    <dataValidation type="decimal" errorStyle="warning" operator="lessThanOrEqual" allowBlank="1" showErrorMessage="1" errorTitle="Verificar" error="Tem certeza que esse valor é da Proteína?" sqref="O31:O35" xr:uid="{1529C094-F3E8-42AC-B39F-D020867F10A8}">
      <formula1>25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778A-9FA6-4492-BAEF-36ADA3C578FD}">
  <sheetPr codeName="Sheet5"/>
  <dimension ref="B1:Z82"/>
  <sheetViews>
    <sheetView showGridLines="0" workbookViewId="0">
      <selection activeCell="P6" sqref="P6"/>
    </sheetView>
  </sheetViews>
  <sheetFormatPr defaultColWidth="8.54296875" defaultRowHeight="12" x14ac:dyDescent="0.35"/>
  <cols>
    <col min="1" max="2" width="1" style="7" customWidth="1"/>
    <col min="3" max="3" width="5.54296875" style="65" bestFit="1" customWidth="1"/>
    <col min="4" max="4" width="6.26953125" style="7" bestFit="1" customWidth="1"/>
    <col min="5" max="5" width="8.453125" style="7" bestFit="1" customWidth="1"/>
    <col min="6" max="6" width="7.54296875" style="7" customWidth="1"/>
    <col min="7" max="7" width="7.453125" style="7" bestFit="1" customWidth="1"/>
    <col min="8" max="8" width="1" style="7" customWidth="1"/>
    <col min="9" max="9" width="5.54296875" style="7" bestFit="1" customWidth="1"/>
    <col min="10" max="10" width="6.26953125" style="7" bestFit="1" customWidth="1"/>
    <col min="11" max="11" width="8.453125" style="7" bestFit="1" customWidth="1"/>
    <col min="12" max="12" width="7.54296875" style="7" customWidth="1"/>
    <col min="13" max="13" width="7.453125" style="7" bestFit="1" customWidth="1"/>
    <col min="14" max="14" width="1" style="7" customWidth="1"/>
    <col min="15" max="15" width="5.54296875" style="7" bestFit="1" customWidth="1"/>
    <col min="16" max="16" width="6.26953125" style="7" bestFit="1" customWidth="1"/>
    <col min="17" max="17" width="8.453125" style="7" bestFit="1" customWidth="1"/>
    <col min="18" max="18" width="7.54296875" style="7" customWidth="1"/>
    <col min="19" max="19" width="7.453125" style="7" bestFit="1" customWidth="1"/>
    <col min="20" max="20" width="1" style="7" customWidth="1"/>
    <col min="21" max="21" width="5.54296875" style="7" bestFit="1" customWidth="1"/>
    <col min="22" max="22" width="6.26953125" style="7" bestFit="1" customWidth="1"/>
    <col min="23" max="23" width="8.7265625" style="7" bestFit="1" customWidth="1"/>
    <col min="24" max="24" width="7.54296875" style="7" customWidth="1"/>
    <col min="25" max="25" width="7.453125" style="7" bestFit="1" customWidth="1"/>
    <col min="26" max="27" width="1" style="7" customWidth="1"/>
    <col min="28" max="28" width="5.54296875" style="7" bestFit="1" customWidth="1"/>
    <col min="29" max="30" width="8.7265625" style="7" bestFit="1" customWidth="1"/>
    <col min="31" max="31" width="7.453125" style="7" bestFit="1" customWidth="1"/>
    <col min="32" max="32" width="1" style="7" customWidth="1"/>
    <col min="33" max="34" width="5.54296875" style="7" bestFit="1" customWidth="1"/>
    <col min="35" max="35" width="7.26953125" style="7" bestFit="1" customWidth="1"/>
    <col min="36" max="36" width="7.54296875" style="7" customWidth="1"/>
    <col min="37" max="37" width="7.453125" style="7" bestFit="1" customWidth="1"/>
    <col min="38" max="38" width="1" style="7" customWidth="1"/>
    <col min="39" max="40" width="5.54296875" style="7" bestFit="1" customWidth="1"/>
    <col min="41" max="41" width="7.26953125" style="7" bestFit="1" customWidth="1"/>
    <col min="42" max="42" width="7.54296875" style="7" customWidth="1"/>
    <col min="43" max="43" width="7.453125" style="7" customWidth="1"/>
    <col min="44" max="44" width="1" style="7" customWidth="1"/>
    <col min="45" max="46" width="5.54296875" style="7" bestFit="1" customWidth="1"/>
    <col min="47" max="47" width="7.26953125" style="7" bestFit="1" customWidth="1"/>
    <col min="48" max="48" width="7.54296875" style="7" customWidth="1"/>
    <col min="49" max="49" width="7.453125" style="7" customWidth="1"/>
    <col min="50" max="50" width="1" style="7" customWidth="1"/>
    <col min="51" max="16384" width="8.54296875" style="7"/>
  </cols>
  <sheetData>
    <row r="1" spans="2:26" ht="5.15" customHeight="1" thickBot="1" x14ac:dyDescent="0.4"/>
    <row r="2" spans="2:26" ht="23.65" customHeight="1" x14ac:dyDescent="0.35">
      <c r="B2" s="35"/>
      <c r="C2" s="147" t="str">
        <f>Daily!$C$2</f>
        <v>TRUCK LOADING CONTROL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4"/>
    </row>
    <row r="3" spans="2:26" ht="15.5" x14ac:dyDescent="0.35">
      <c r="B3" s="36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6"/>
    </row>
    <row r="4" spans="2:26" ht="16" thickBot="1" x14ac:dyDescent="0.4">
      <c r="B4" s="37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5"/>
    </row>
    <row r="5" spans="2:26" ht="5.15" customHeight="1" x14ac:dyDescent="0.35"/>
    <row r="6" spans="2:26" ht="14.5" x14ac:dyDescent="0.35">
      <c r="D6" s="43" t="s">
        <v>20</v>
      </c>
      <c r="E6" s="121">
        <f>Daily!$E$6</f>
        <v>44285</v>
      </c>
      <c r="F6" s="121"/>
      <c r="W6" s="83">
        <f>EOMONTH($E$6,-1)+1</f>
        <v>44256</v>
      </c>
      <c r="X6" s="83">
        <f>EOMONTH($E$6,0)</f>
        <v>44286</v>
      </c>
    </row>
    <row r="7" spans="2:26" ht="5.15" customHeight="1" thickBot="1" x14ac:dyDescent="0.4"/>
    <row r="8" spans="2:26" ht="18.5" thickBot="1" x14ac:dyDescent="0.4">
      <c r="B8" s="118" t="str">
        <f>"MONTHLY OVERALL - "&amp;UPPER(TEXT(E6,"MMM"))</f>
        <v>MONTHLY OVERALL - MAR</v>
      </c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20"/>
    </row>
    <row r="9" spans="2:26" ht="5.15" customHeight="1" x14ac:dyDescent="0.35">
      <c r="B9" s="44"/>
      <c r="C9" s="66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76"/>
    </row>
    <row r="10" spans="2:26" s="9" customFormat="1" ht="16.149999999999999" customHeight="1" thickBot="1" x14ac:dyDescent="0.4">
      <c r="B10" s="46"/>
      <c r="C10" s="124" t="s">
        <v>12</v>
      </c>
      <c r="D10" s="125"/>
      <c r="E10" s="125"/>
      <c r="F10" s="125"/>
      <c r="G10" s="126"/>
      <c r="H10" s="47"/>
      <c r="I10" s="127" t="s">
        <v>13</v>
      </c>
      <c r="J10" s="128"/>
      <c r="K10" s="128"/>
      <c r="L10" s="128"/>
      <c r="M10" s="129"/>
      <c r="N10" s="47"/>
      <c r="O10" s="138" t="s">
        <v>14</v>
      </c>
      <c r="P10" s="139"/>
      <c r="Q10" s="139"/>
      <c r="R10" s="139"/>
      <c r="S10" s="139"/>
      <c r="T10" s="47"/>
      <c r="U10" s="140" t="s">
        <v>15</v>
      </c>
      <c r="V10" s="141"/>
      <c r="W10" s="141"/>
      <c r="X10" s="141"/>
      <c r="Y10" s="142"/>
      <c r="Z10" s="76"/>
    </row>
    <row r="11" spans="2:26" s="8" customFormat="1" ht="13.5" thickBot="1" x14ac:dyDescent="0.4">
      <c r="B11" s="48"/>
      <c r="C11" s="67" t="s">
        <v>35</v>
      </c>
      <c r="D11" s="38" t="s">
        <v>24</v>
      </c>
      <c r="E11" s="38" t="s">
        <v>25</v>
      </c>
      <c r="F11" s="38" t="s">
        <v>26</v>
      </c>
      <c r="G11" s="38" t="s">
        <v>27</v>
      </c>
      <c r="H11" s="49"/>
      <c r="I11" s="10" t="s">
        <v>35</v>
      </c>
      <c r="J11" s="10" t="s">
        <v>24</v>
      </c>
      <c r="K11" s="10" t="s">
        <v>25</v>
      </c>
      <c r="L11" s="10" t="s">
        <v>26</v>
      </c>
      <c r="M11" s="10" t="s">
        <v>27</v>
      </c>
      <c r="N11" s="49"/>
      <c r="O11" s="13" t="s">
        <v>35</v>
      </c>
      <c r="P11" s="13" t="s">
        <v>24</v>
      </c>
      <c r="Q11" s="13" t="s">
        <v>25</v>
      </c>
      <c r="R11" s="13" t="s">
        <v>26</v>
      </c>
      <c r="S11" s="13" t="s">
        <v>27</v>
      </c>
      <c r="T11" s="49"/>
      <c r="U11" s="16" t="s">
        <v>35</v>
      </c>
      <c r="V11" s="16" t="s">
        <v>24</v>
      </c>
      <c r="W11" s="16" t="s">
        <v>25</v>
      </c>
      <c r="X11" s="16" t="s">
        <v>26</v>
      </c>
      <c r="Y11" s="16" t="s">
        <v>27</v>
      </c>
      <c r="Z11" s="76"/>
    </row>
    <row r="12" spans="2:26" x14ac:dyDescent="0.35">
      <c r="B12" s="44"/>
      <c r="C12" s="64">
        <f>$W$6</f>
        <v>44256</v>
      </c>
      <c r="D12" s="39">
        <f>IF(C12="-","-",COUNTIF(Loads!$A$1:$A$13458,Monthly!C12&amp;Monthly!$C$10))</f>
        <v>7</v>
      </c>
      <c r="E12" s="39">
        <f>IF(C12="-","-",IF(SUMIF(Loads!$A$1:$A$13458,Monthly!C12&amp;Monthly!$C$10,Loads!$K:$K)=0,"-",SUMIF(Loads!$A$1:$A$13458,Monthly!C12&amp;Monthly!$C$10,Loads!$K:$K)))</f>
        <v>152500</v>
      </c>
      <c r="F12" s="40" cm="1">
        <f t="array" ref="F12">IFERROR(SUMPRODUCT(--(Loads!$A$1:$A$13458=Monthly!C12&amp;$C$10),Loads!$L$1:$L$13458,Loads!$K$1:$K$13458)/E12,"-")</f>
        <v>7.9998190163934417</v>
      </c>
      <c r="G12" s="40" cm="1">
        <f t="array" ref="G12">IFERROR(SUMPRODUCT(--(Loads!$A$1:$A$13458=Monthly!C12&amp;$C$10),Loads!$M$1:$M$13458,Loads!$K$1:$K$13458)/E12,"-")</f>
        <v>22.114670163934427</v>
      </c>
      <c r="H12" s="45"/>
      <c r="I12" s="69">
        <f>$W$6</f>
        <v>44256</v>
      </c>
      <c r="J12" s="11">
        <f>IF(I12="-","-",COUNTIF(Loads!$A$1:$A$13458,Monthly!I12&amp;Monthly!$I$10))</f>
        <v>13</v>
      </c>
      <c r="K12" s="11">
        <f>IF(I12="-","-",IF(SUMIF(Loads!$A$1:$A$13458,Monthly!I12&amp;Monthly!$I$10,Loads!$K:$K)=0,"-",SUMIF(Loads!$A$1:$A$13458,Monthly!I12&amp;Monthly!$I$10,Loads!$K:$K)))</f>
        <v>165780</v>
      </c>
      <c r="L12" s="12" cm="1">
        <f t="array" ref="L12">IFERROR(SUMPRODUCT(--(Loads!$A$1:$A$13458=Monthly!I12&amp;$I$10),Loads!$L$1:$L$13458,Loads!$K$1:$K$13458)/K12,"-")</f>
        <v>64.764527687296408</v>
      </c>
      <c r="M12" s="12" cm="1">
        <f t="array" ref="M12">IFERROR(SUMPRODUCT(--(Loads!$A$1:$A$13458=Monthly!I12&amp;$I$10),Loads!$M$1:$M$13458,Loads!$K$1:$K$13458)/K12,"-")</f>
        <v>8.5175895765472305</v>
      </c>
      <c r="N12" s="45"/>
      <c r="O12" s="74">
        <f>$W$6</f>
        <v>44256</v>
      </c>
      <c r="P12" s="14">
        <f>IF(O12="-","-",COUNTIF(Loads!$A$1:$A$13458,Monthly!O12&amp;Monthly!$O$10))</f>
        <v>0</v>
      </c>
      <c r="Q12" s="14" t="str">
        <f>IF(O12="-","-",IF(SUMIF(Loads!$A$1:$A$13458,Monthly!O12&amp;Monthly!$O$10,Loads!$K:$K)=0,"-",SUMIF(Loads!$A$1:$A$13458,Monthly!O12&amp;Monthly!$O$10,Loads!$K:$K)))</f>
        <v>-</v>
      </c>
      <c r="R12" s="15" t="str" cm="1">
        <f t="array" ref="R12">IFERROR(SUMPRODUCT(--(Loads!$A$1:$A$13458=Monthly!O12&amp;$O$10),Loads!$L$1:$L$13458,Loads!$K$1:$K$13458)/Q12,"-")</f>
        <v>-</v>
      </c>
      <c r="S12" s="15" t="str" cm="1">
        <f t="array" ref="S12">IFERROR(SUMPRODUCT(--(Loads!$A$1:$A$13458=Monthly!O12&amp;$O$10),Loads!$M$1:$M$13458,Loads!$K$1:$K$13458)/Q12,"-")</f>
        <v>-</v>
      </c>
      <c r="T12" s="45"/>
      <c r="U12" s="75">
        <f>$W$6</f>
        <v>44256</v>
      </c>
      <c r="V12" s="17">
        <f>IF(U12="-","-",COUNTIF(Loads!$A$1:$A$13458,Monthly!U12&amp;Monthly!$U$10))</f>
        <v>2</v>
      </c>
      <c r="W12" s="17">
        <f>IF(U12="-","-",IF(SUMIF(Loads!$A$1:$A$13458,Monthly!U12&amp;Monthly!$U$10,Loads!$K:$K)=0,"-",SUMIF(Loads!$A$1:$A$13458,Monthly!U12&amp;Monthly!$U$10,Loads!$K:$K)))</f>
        <v>60200</v>
      </c>
      <c r="X12" s="18" cm="1">
        <f t="array" ref="X12">IFERROR(SUMPRODUCT(--(Loads!$A$1:$A$13458=Monthly!U12&amp;$U$10),Loads!$L$1:$L$13458,Loads!$K$1:$K$13458)/W12,"-")</f>
        <v>9.6526245847176071</v>
      </c>
      <c r="Y12" s="18" cm="1">
        <f t="array" ref="Y12">IFERROR(SUMPRODUCT(--(Loads!$A$1:$A$13458=Monthly!U12&amp;$U$10),Loads!$M$1:$M$13458,Loads!$K$1:$K$13458)/W12,"-")</f>
        <v>64.704551495016617</v>
      </c>
      <c r="Z12" s="76"/>
    </row>
    <row r="13" spans="2:26" x14ac:dyDescent="0.35">
      <c r="B13" s="44"/>
      <c r="C13" s="64">
        <f>C12+1</f>
        <v>44257</v>
      </c>
      <c r="D13" s="39">
        <f>IF(C13="-","-",COUNTIF(Loads!$A$1:$A$13458,Monthly!C13&amp;Monthly!$C$10))</f>
        <v>9</v>
      </c>
      <c r="E13" s="39">
        <f>IF(C13="-","-",IF(SUMIF(Loads!$A$1:$A$13458,Monthly!C13&amp;Monthly!$C$10,Loads!$K:$K)=0,"-",SUMIF(Loads!$A$1:$A$13458,Monthly!C13&amp;Monthly!$C$10,Loads!$K:$K)))</f>
        <v>238560</v>
      </c>
      <c r="F13" s="40" cm="1">
        <f t="array" ref="F13">IFERROR(SUMPRODUCT(--(Loads!$A$1:$A$13458=Monthly!C13&amp;$C$10),Loads!$L$1:$L$13458,Loads!$K$1:$K$13458)/E13,"-")</f>
        <v>8.4469852448021463</v>
      </c>
      <c r="G13" s="40" cm="1">
        <f t="array" ref="G13">IFERROR(SUMPRODUCT(--(Loads!$A$1:$A$13458=Monthly!C13&amp;$C$10),Loads!$M$1:$M$13458,Loads!$K$1:$K$13458)/E13,"-")</f>
        <v>22.050092219986581</v>
      </c>
      <c r="H13" s="45"/>
      <c r="I13" s="69">
        <f>I12+1</f>
        <v>44257</v>
      </c>
      <c r="J13" s="11">
        <f>IF(I13="-","-",COUNTIF(Loads!$A$1:$A$13458,Monthly!I13&amp;Monthly!$I$10))</f>
        <v>13</v>
      </c>
      <c r="K13" s="11">
        <f>IF(I13="-","-",IF(SUMIF(Loads!$A$1:$A$13458,Monthly!I13&amp;Monthly!$I$10,Loads!$K:$K)=0,"-",SUMIF(Loads!$A$1:$A$13458,Monthly!I13&amp;Monthly!$I$10,Loads!$K:$K)))</f>
        <v>162120</v>
      </c>
      <c r="L13" s="12" cm="1">
        <f t="array" ref="L13">IFERROR(SUMPRODUCT(--(Loads!$A$1:$A$13458=Monthly!I13&amp;$I$10),Loads!$L$1:$L$13458,Loads!$K$1:$K$13458)/K13,"-")</f>
        <v>63.003887244016759</v>
      </c>
      <c r="M13" s="12" cm="1">
        <f t="array" ref="M13">IFERROR(SUMPRODUCT(--(Loads!$A$1:$A$13458=Monthly!I13&amp;$I$10),Loads!$M$1:$M$13458,Loads!$K$1:$K$13458)/K13,"-")</f>
        <v>9.0940155440414507</v>
      </c>
      <c r="N13" s="45"/>
      <c r="O13" s="74">
        <f>O12+1</f>
        <v>44257</v>
      </c>
      <c r="P13" s="14">
        <f>IF(O13="-","-",COUNTIF(Loads!$A$1:$A$13458,Monthly!O13&amp;Monthly!$O$10))</f>
        <v>0</v>
      </c>
      <c r="Q13" s="14" t="str">
        <f>IF(O13="-","-",IF(SUMIF(Loads!$A$1:$A$13458,Monthly!O13&amp;Monthly!$O$10,Loads!$K:$K)=0,"-",SUMIF(Loads!$A$1:$A$13458,Monthly!O13&amp;Monthly!$O$10,Loads!$K:$K)))</f>
        <v>-</v>
      </c>
      <c r="R13" s="15" t="str" cm="1">
        <f t="array" ref="R13">IFERROR(SUMPRODUCT(--(Loads!$A$1:$A$13458=Monthly!O13&amp;$O$10),Loads!$L$1:$L$13458,Loads!$K$1:$K$13458)/Q13,"-")</f>
        <v>-</v>
      </c>
      <c r="S13" s="15" t="str" cm="1">
        <f t="array" ref="S13">IFERROR(SUMPRODUCT(--(Loads!$A$1:$A$13458=Monthly!O13&amp;$O$10),Loads!$M$1:$M$13458,Loads!$K$1:$K$13458)/Q13,"-")</f>
        <v>-</v>
      </c>
      <c r="T13" s="45"/>
      <c r="U13" s="75">
        <f>U12+1</f>
        <v>44257</v>
      </c>
      <c r="V13" s="17">
        <f>IF(U13="-","-",COUNTIF(Loads!$A$1:$A$13458,Monthly!U13&amp;Monthly!$U$10))</f>
        <v>2</v>
      </c>
      <c r="W13" s="17">
        <f>IF(U13="-","-",IF(SUMIF(Loads!$A$1:$A$13458,Monthly!U13&amp;Monthly!$U$10,Loads!$K:$K)=0,"-",SUMIF(Loads!$A$1:$A$13458,Monthly!U13&amp;Monthly!$U$10,Loads!$K:$K)))</f>
        <v>56480</v>
      </c>
      <c r="X13" s="18" cm="1">
        <f t="array" ref="X13">IFERROR(SUMPRODUCT(--(Loads!$A$1:$A$13458=Monthly!U13&amp;$U$10),Loads!$L$1:$L$13458,Loads!$K$1:$K$13458)/W13,"-")</f>
        <v>9.2415722379603391</v>
      </c>
      <c r="Y13" s="18" cm="1">
        <f t="array" ref="Y13">IFERROR(SUMPRODUCT(--(Loads!$A$1:$A$13458=Monthly!U13&amp;$U$10),Loads!$M$1:$M$13458,Loads!$K$1:$K$13458)/W13,"-")</f>
        <v>61.354114730878194</v>
      </c>
      <c r="Z13" s="76"/>
    </row>
    <row r="14" spans="2:26" x14ac:dyDescent="0.35">
      <c r="B14" s="44"/>
      <c r="C14" s="64">
        <f t="shared" ref="C14:C39" si="0">C13+1</f>
        <v>44258</v>
      </c>
      <c r="D14" s="39">
        <f>IF(C14="-","-",COUNTIF(Loads!$A$1:$A$13458,Monthly!C14&amp;Monthly!$C$10))</f>
        <v>13</v>
      </c>
      <c r="E14" s="39">
        <f>IF(C14="-","-",IF(SUMIF(Loads!$A$1:$A$13458,Monthly!C14&amp;Monthly!$C$10,Loads!$K:$K)=0,"-",SUMIF(Loads!$A$1:$A$13458,Monthly!C14&amp;Monthly!$C$10,Loads!$K:$K)))</f>
        <v>322540</v>
      </c>
      <c r="F14" s="40" cm="1">
        <f t="array" ref="F14">IFERROR(SUMPRODUCT(--(Loads!$A$1:$A$13458=Monthly!C14&amp;$C$10),Loads!$L$1:$L$13458,Loads!$K$1:$K$13458)/E14,"-")</f>
        <v>8.8695113784336836</v>
      </c>
      <c r="G14" s="40" cm="1">
        <f t="array" ref="G14">IFERROR(SUMPRODUCT(--(Loads!$A$1:$A$13458=Monthly!C14&amp;$C$10),Loads!$M$1:$M$13458,Loads!$K$1:$K$13458)/E14,"-")</f>
        <v>24.098247039126932</v>
      </c>
      <c r="H14" s="45"/>
      <c r="I14" s="69">
        <f t="shared" ref="I14:I39" si="1">I13+1</f>
        <v>44258</v>
      </c>
      <c r="J14" s="11">
        <f>IF(I14="-","-",COUNTIF(Loads!$A$1:$A$13458,Monthly!I14&amp;Monthly!$I$10))</f>
        <v>7</v>
      </c>
      <c r="K14" s="11">
        <f>IF(I14="-","-",IF(SUMIF(Loads!$A$1:$A$13458,Monthly!I14&amp;Monthly!$I$10,Loads!$K:$K)=0,"-",SUMIF(Loads!$A$1:$A$13458,Monthly!I14&amp;Monthly!$I$10,Loads!$K:$K)))</f>
        <v>86720</v>
      </c>
      <c r="L14" s="12" cm="1">
        <f t="array" ref="L14">IFERROR(SUMPRODUCT(--(Loads!$A$1:$A$13458=Monthly!I14&amp;$I$10),Loads!$L$1:$L$13458,Loads!$K$1:$K$13458)/K14,"-")</f>
        <v>61.177223247232469</v>
      </c>
      <c r="M14" s="12" cm="1">
        <f t="array" ref="M14">IFERROR(SUMPRODUCT(--(Loads!$A$1:$A$13458=Monthly!I14&amp;$I$10),Loads!$M$1:$M$13458,Loads!$K$1:$K$13458)/K14,"-")</f>
        <v>9.9462546125461255</v>
      </c>
      <c r="N14" s="45"/>
      <c r="O14" s="74">
        <f t="shared" ref="O14:O39" si="2">O13+1</f>
        <v>44258</v>
      </c>
      <c r="P14" s="14">
        <f>IF(O14="-","-",COUNTIF(Loads!$A$1:$A$13458,Monthly!O14&amp;Monthly!$O$10))</f>
        <v>0</v>
      </c>
      <c r="Q14" s="14" t="str">
        <f>IF(O14="-","-",IF(SUMIF(Loads!$A$1:$A$13458,Monthly!O14&amp;Monthly!$O$10,Loads!$K:$K)=0,"-",SUMIF(Loads!$A$1:$A$13458,Monthly!O14&amp;Monthly!$O$10,Loads!$K:$K)))</f>
        <v>-</v>
      </c>
      <c r="R14" s="15" t="str" cm="1">
        <f t="array" ref="R14">IFERROR(SUMPRODUCT(--(Loads!$A$1:$A$13458=Monthly!O14&amp;$O$10),Loads!$L$1:$L$13458,Loads!$K$1:$K$13458)/Q14,"-")</f>
        <v>-</v>
      </c>
      <c r="S14" s="15" t="str" cm="1">
        <f t="array" ref="S14">IFERROR(SUMPRODUCT(--(Loads!$A$1:$A$13458=Monthly!O14&amp;$O$10),Loads!$M$1:$M$13458,Loads!$K$1:$K$13458)/Q14,"-")</f>
        <v>-</v>
      </c>
      <c r="T14" s="45"/>
      <c r="U14" s="75">
        <f t="shared" ref="U14:U39" si="3">U13+1</f>
        <v>44258</v>
      </c>
      <c r="V14" s="17">
        <f>IF(U14="-","-",COUNTIF(Loads!$A$1:$A$13458,Monthly!U14&amp;Monthly!$U$10))</f>
        <v>4</v>
      </c>
      <c r="W14" s="17">
        <f>IF(U14="-","-",IF(SUMIF(Loads!$A$1:$A$13458,Monthly!U14&amp;Monthly!$U$10,Loads!$K:$K)=0,"-",SUMIF(Loads!$A$1:$A$13458,Monthly!U14&amp;Monthly!$U$10,Loads!$K:$K)))</f>
        <v>112220</v>
      </c>
      <c r="X14" s="18" cm="1">
        <f t="array" ref="X14">IFERROR(SUMPRODUCT(--(Loads!$A$1:$A$13458=Monthly!U14&amp;$U$10),Loads!$L$1:$L$13458,Loads!$K$1:$K$13458)/W14,"-")</f>
        <v>8.6868294421671717</v>
      </c>
      <c r="Y14" s="18" cm="1">
        <f t="array" ref="Y14">IFERROR(SUMPRODUCT(--(Loads!$A$1:$A$13458=Monthly!U14&amp;$U$10),Loads!$M$1:$M$13458,Loads!$K$1:$K$13458)/W14,"-")</f>
        <v>64.639973266797355</v>
      </c>
      <c r="Z14" s="76"/>
    </row>
    <row r="15" spans="2:26" x14ac:dyDescent="0.35">
      <c r="B15" s="44"/>
      <c r="C15" s="64">
        <f t="shared" si="0"/>
        <v>44259</v>
      </c>
      <c r="D15" s="39">
        <f>IF(C15="-","-",COUNTIF(Loads!$A$1:$A$13458,Monthly!C15&amp;Monthly!$C$10))</f>
        <v>6</v>
      </c>
      <c r="E15" s="39">
        <f>IF(C15="-","-",IF(SUMIF(Loads!$A$1:$A$13458,Monthly!C15&amp;Monthly!$C$10,Loads!$K:$K)=0,"-",SUMIF(Loads!$A$1:$A$13458,Monthly!C15&amp;Monthly!$C$10,Loads!$K:$K)))</f>
        <v>135020</v>
      </c>
      <c r="F15" s="40" cm="1">
        <f t="array" ref="F15">IFERROR(SUMPRODUCT(--(Loads!$A$1:$A$13458=Monthly!C15&amp;$C$10),Loads!$L$1:$L$13458,Loads!$K$1:$K$13458)/E15,"-")</f>
        <v>8.735193304695601</v>
      </c>
      <c r="G15" s="40" cm="1">
        <f t="array" ref="G15">IFERROR(SUMPRODUCT(--(Loads!$A$1:$A$13458=Monthly!C15&amp;$C$10),Loads!$M$1:$M$13458,Loads!$K$1:$K$13458)/E15,"-")</f>
        <v>21.949284550436971</v>
      </c>
      <c r="H15" s="45"/>
      <c r="I15" s="69">
        <f t="shared" si="1"/>
        <v>44259</v>
      </c>
      <c r="J15" s="11">
        <f>IF(I15="-","-",COUNTIF(Loads!$A$1:$A$13458,Monthly!I15&amp;Monthly!$I$10))</f>
        <v>4</v>
      </c>
      <c r="K15" s="11">
        <f>IF(I15="-","-",IF(SUMIF(Loads!$A$1:$A$13458,Monthly!I15&amp;Monthly!$I$10,Loads!$K:$K)=0,"-",SUMIF(Loads!$A$1:$A$13458,Monthly!I15&amp;Monthly!$I$10,Loads!$K:$K)))</f>
        <v>50760</v>
      </c>
      <c r="L15" s="12" cm="1">
        <f t="array" ref="L15">IFERROR(SUMPRODUCT(--(Loads!$A$1:$A$13458=Monthly!I15&amp;$I$10),Loads!$L$1:$L$13458,Loads!$K$1:$K$13458)/K15,"-")</f>
        <v>62.730193065405835</v>
      </c>
      <c r="M15" s="12" cm="1">
        <f t="array" ref="M15">IFERROR(SUMPRODUCT(--(Loads!$A$1:$A$13458=Monthly!I15&amp;$I$10),Loads!$M$1:$M$13458,Loads!$K$1:$K$13458)/K15,"-")</f>
        <v>10.014633569739953</v>
      </c>
      <c r="N15" s="45"/>
      <c r="O15" s="74">
        <f t="shared" si="2"/>
        <v>44259</v>
      </c>
      <c r="P15" s="14">
        <f>IF(O15="-","-",COUNTIF(Loads!$A$1:$A$13458,Monthly!O15&amp;Monthly!$O$10))</f>
        <v>4</v>
      </c>
      <c r="Q15" s="14">
        <f>IF(O15="-","-",IF(SUMIF(Loads!$A$1:$A$13458,Monthly!O15&amp;Monthly!$O$10,Loads!$K:$K)=0,"-",SUMIF(Loads!$A$1:$A$13458,Monthly!O15&amp;Monthly!$O$10,Loads!$K:$K)))</f>
        <v>46920</v>
      </c>
      <c r="R15" s="15" cm="1">
        <f t="array" ref="R15">IFERROR(SUMPRODUCT(--(Loads!$A$1:$A$13458=Monthly!O15&amp;$O$10),Loads!$L$1:$L$13458,Loads!$K$1:$K$13458)/Q15,"-")</f>
        <v>56.929028132992329</v>
      </c>
      <c r="S15" s="15" cm="1">
        <f t="array" ref="S15">IFERROR(SUMPRODUCT(--(Loads!$A$1:$A$13458=Monthly!O15&amp;$O$10),Loads!$M$1:$M$13458,Loads!$K$1:$K$13458)/Q15,"-")</f>
        <v>11.599624893435635</v>
      </c>
      <c r="T15" s="45"/>
      <c r="U15" s="75">
        <f t="shared" si="3"/>
        <v>44259</v>
      </c>
      <c r="V15" s="17">
        <f>IF(U15="-","-",COUNTIF(Loads!$A$1:$A$13458,Monthly!U15&amp;Monthly!$U$10))</f>
        <v>1</v>
      </c>
      <c r="W15" s="17">
        <f>IF(U15="-","-",IF(SUMIF(Loads!$A$1:$A$13458,Monthly!U15&amp;Monthly!$U$10,Loads!$K:$K)=0,"-",SUMIF(Loads!$A$1:$A$13458,Monthly!U15&amp;Monthly!$U$10,Loads!$K:$K)))</f>
        <v>26600</v>
      </c>
      <c r="X15" s="18" cm="1">
        <f t="array" ref="X15">IFERROR(SUMPRODUCT(--(Loads!$A$1:$A$13458=Monthly!U15&amp;$U$10),Loads!$L$1:$L$13458,Loads!$K$1:$K$13458)/W15,"-")</f>
        <v>9.93</v>
      </c>
      <c r="Y15" s="18" cm="1">
        <f t="array" ref="Y15">IFERROR(SUMPRODUCT(--(Loads!$A$1:$A$13458=Monthly!U15&amp;$U$10),Loads!$M$1:$M$13458,Loads!$K$1:$K$13458)/W15,"-")</f>
        <v>63.63</v>
      </c>
      <c r="Z15" s="76"/>
    </row>
    <row r="16" spans="2:26" x14ac:dyDescent="0.35">
      <c r="B16" s="44"/>
      <c r="C16" s="64">
        <f t="shared" si="0"/>
        <v>44260</v>
      </c>
      <c r="D16" s="39">
        <f>IF(C16="-","-",COUNTIF(Loads!$A$1:$A$13458,Monthly!C16&amp;Monthly!$C$10))</f>
        <v>4</v>
      </c>
      <c r="E16" s="39">
        <f>IF(C16="-","-",IF(SUMIF(Loads!$A$1:$A$13458,Monthly!C16&amp;Monthly!$C$10,Loads!$K:$K)=0,"-",SUMIF(Loads!$A$1:$A$13458,Monthly!C16&amp;Monthly!$C$10,Loads!$K:$K)))</f>
        <v>112140</v>
      </c>
      <c r="F16" s="40" cm="1">
        <f t="array" ref="F16">IFERROR(SUMPRODUCT(--(Loads!$A$1:$A$13458=Monthly!C16&amp;$C$10),Loads!$L$1:$L$13458,Loads!$K$1:$K$13458)/E16,"-")</f>
        <v>8.9402657392545031</v>
      </c>
      <c r="G16" s="40" cm="1">
        <f t="array" ref="G16">IFERROR(SUMPRODUCT(--(Loads!$A$1:$A$13458=Monthly!C16&amp;$C$10),Loads!$M$1:$M$13458,Loads!$K$1:$K$13458)/E16,"-")</f>
        <v>21.667670768682004</v>
      </c>
      <c r="H16" s="45"/>
      <c r="I16" s="69">
        <f t="shared" si="1"/>
        <v>44260</v>
      </c>
      <c r="J16" s="11">
        <f>IF(I16="-","-",COUNTIF(Loads!$A$1:$A$13458,Monthly!I16&amp;Monthly!$I$10))</f>
        <v>0</v>
      </c>
      <c r="K16" s="11" t="str">
        <f>IF(I16="-","-",IF(SUMIF(Loads!$A$1:$A$13458,Monthly!I16&amp;Monthly!$I$10,Loads!$K:$K)=0,"-",SUMIF(Loads!$A$1:$A$13458,Monthly!I16&amp;Monthly!$I$10,Loads!$K:$K)))</f>
        <v>-</v>
      </c>
      <c r="L16" s="12" t="str" cm="1">
        <f t="array" ref="L16">IFERROR(SUMPRODUCT(--(Loads!$A$1:$A$13458=Monthly!I16&amp;$I$10),Loads!$L$1:$L$13458,Loads!$K$1:$K$13458)/K16,"-")</f>
        <v>-</v>
      </c>
      <c r="M16" s="12" t="str" cm="1">
        <f t="array" ref="M16">IFERROR(SUMPRODUCT(--(Loads!$A$1:$A$13458=Monthly!I16&amp;$I$10),Loads!$M$1:$M$13458,Loads!$K$1:$K$13458)/K16,"-")</f>
        <v>-</v>
      </c>
      <c r="N16" s="45"/>
      <c r="O16" s="74">
        <f t="shared" si="2"/>
        <v>44260</v>
      </c>
      <c r="P16" s="14">
        <f>IF(O16="-","-",COUNTIF(Loads!$A$1:$A$13458,Monthly!O16&amp;Monthly!$O$10))</f>
        <v>0</v>
      </c>
      <c r="Q16" s="14" t="str">
        <f>IF(O16="-","-",IF(SUMIF(Loads!$A$1:$A$13458,Monthly!O16&amp;Monthly!$O$10,Loads!$K:$K)=0,"-",SUMIF(Loads!$A$1:$A$13458,Monthly!O16&amp;Monthly!$O$10,Loads!$K:$K)))</f>
        <v>-</v>
      </c>
      <c r="R16" s="15" t="str" cm="1">
        <f t="array" ref="R16">IFERROR(SUMPRODUCT(--(Loads!$A$1:$A$13458=Monthly!O16&amp;$O$10),Loads!$L$1:$L$13458,Loads!$K$1:$K$13458)/Q16,"-")</f>
        <v>-</v>
      </c>
      <c r="S16" s="15" t="str" cm="1">
        <f t="array" ref="S16">IFERROR(SUMPRODUCT(--(Loads!$A$1:$A$13458=Monthly!O16&amp;$O$10),Loads!$M$1:$M$13458,Loads!$K$1:$K$13458)/Q16,"-")</f>
        <v>-</v>
      </c>
      <c r="T16" s="45"/>
      <c r="U16" s="75">
        <f t="shared" si="3"/>
        <v>44260</v>
      </c>
      <c r="V16" s="17">
        <f>IF(U16="-","-",COUNTIF(Loads!$A$1:$A$13458,Monthly!U16&amp;Monthly!$U$10))</f>
        <v>1</v>
      </c>
      <c r="W16" s="17">
        <f>IF(U16="-","-",IF(SUMIF(Loads!$A$1:$A$13458,Monthly!U16&amp;Monthly!$U$10,Loads!$K:$K)=0,"-",SUMIF(Loads!$A$1:$A$13458,Monthly!U16&amp;Monthly!$U$10,Loads!$K:$K)))</f>
        <v>36380</v>
      </c>
      <c r="X16" s="18" cm="1">
        <f t="array" ref="X16">IFERROR(SUMPRODUCT(--(Loads!$A$1:$A$13458=Monthly!U16&amp;$U$10),Loads!$L$1:$L$13458,Loads!$K$1:$K$13458)/W16,"-")</f>
        <v>10.49</v>
      </c>
      <c r="Y16" s="18" cm="1">
        <f t="array" ref="Y16">IFERROR(SUMPRODUCT(--(Loads!$A$1:$A$13458=Monthly!U16&amp;$U$10),Loads!$M$1:$M$13458,Loads!$K$1:$K$13458)/W16,"-")</f>
        <v>61.75</v>
      </c>
      <c r="Z16" s="76"/>
    </row>
    <row r="17" spans="2:26" ht="13" x14ac:dyDescent="0.35">
      <c r="B17" s="44"/>
      <c r="C17" s="64">
        <f t="shared" si="0"/>
        <v>44261</v>
      </c>
      <c r="D17" s="39">
        <f>IF(C17="-","-",COUNTIF(Loads!$A$1:$A$13458,Monthly!C17&amp;Monthly!$C$10))</f>
        <v>12</v>
      </c>
      <c r="E17" s="39">
        <f>IF(C17="-","-",IF(SUMIF(Loads!$A$1:$A$13458,Monthly!C17&amp;Monthly!$C$10,Loads!$K:$K)=0,"-",SUMIF(Loads!$A$1:$A$13458,Monthly!C17&amp;Monthly!$C$10,Loads!$K:$K)))</f>
        <v>303200</v>
      </c>
      <c r="F17" s="40" cm="1">
        <f t="array" ref="F17">IFERROR(SUMPRODUCT(--(Loads!$A$1:$A$13458=Monthly!C17&amp;$C$10),Loads!$L$1:$L$13458,Loads!$K$1:$K$13458)/E17,"-")</f>
        <v>7.9599577836411601</v>
      </c>
      <c r="G17" s="40" cm="1">
        <f t="array" ref="G17">IFERROR(SUMPRODUCT(--(Loads!$A$1:$A$13458=Monthly!C17&amp;$C$10),Loads!$M$1:$M$13458,Loads!$K$1:$K$13458)/E17,"-")</f>
        <v>20.791700527704485</v>
      </c>
      <c r="H17" s="45"/>
      <c r="I17" s="69">
        <f t="shared" si="1"/>
        <v>44261</v>
      </c>
      <c r="J17" s="11">
        <f>IF(I17="-","-",COUNTIF(Loads!$A$1:$A$13458,Monthly!I17&amp;Monthly!$I$10))</f>
        <v>7</v>
      </c>
      <c r="K17" s="11">
        <f>IF(I17="-","-",IF(SUMIF(Loads!$A$1:$A$13458,Monthly!I17&amp;Monthly!$I$10,Loads!$K:$K)=0,"-",SUMIF(Loads!$A$1:$A$13458,Monthly!I17&amp;Monthly!$I$10,Loads!$K:$K)))</f>
        <v>90400</v>
      </c>
      <c r="L17" s="12" cm="1">
        <f t="array" ref="L17">IFERROR(SUMPRODUCT(--(Loads!$A$1:$A$13458=Monthly!I17&amp;$I$10),Loads!$L$1:$L$13458,Loads!$K$1:$K$13458)/K17,"-")</f>
        <v>60.67647787610619</v>
      </c>
      <c r="M17" s="12" cm="1">
        <f t="array" ref="M17">IFERROR(SUMPRODUCT(--(Loads!$A$1:$A$13458=Monthly!I17&amp;$I$10),Loads!$M$1:$M$13458,Loads!$K$1:$K$13458)/K17,"-")</f>
        <v>10.149192477876106</v>
      </c>
      <c r="N17" s="45"/>
      <c r="O17" s="74">
        <f t="shared" si="2"/>
        <v>44261</v>
      </c>
      <c r="P17" s="14">
        <f>IF(O17="-","-",COUNTIF(Loads!$A$1:$A$13458,Monthly!O17&amp;Monthly!$O$10))</f>
        <v>1</v>
      </c>
      <c r="Q17" s="14">
        <f>IF(O17="-","-",IF(SUMIF(Loads!$A$1:$A$13458,Monthly!O17&amp;Monthly!$O$10,Loads!$K:$K)=0,"-",SUMIF(Loads!$A$1:$A$13458,Monthly!O17&amp;Monthly!$O$10,Loads!$K:$K)))</f>
        <v>12060</v>
      </c>
      <c r="R17" s="15" cm="1">
        <f t="array" ref="R17">IFERROR(SUMPRODUCT(--(Loads!$A$1:$A$13458=Monthly!O17&amp;$O$10),Loads!$L$1:$L$13458,Loads!$K$1:$K$13458)/Q17,"-")</f>
        <v>58.04</v>
      </c>
      <c r="S17" s="15" cm="1">
        <f t="array" ref="S17">IFERROR(SUMPRODUCT(--(Loads!$A$1:$A$13458=Monthly!O17&amp;$O$10),Loads!$M$1:$M$13458,Loads!$K$1:$K$13458)/Q17,"-")</f>
        <v>11.34</v>
      </c>
      <c r="T17" s="45"/>
      <c r="U17" s="75">
        <f t="shared" si="3"/>
        <v>44261</v>
      </c>
      <c r="V17" s="17">
        <f>IF(U17="-","-",COUNTIF(Loads!$A$1:$A$13458,Monthly!U17&amp;Monthly!$U$10))</f>
        <v>2</v>
      </c>
      <c r="W17" s="17">
        <f>IF(U17="-","-",IF(SUMIF(Loads!$A$1:$A$13458,Monthly!U17&amp;Monthly!$U$10,Loads!$K:$K)=0,"-",SUMIF(Loads!$A$1:$A$13458,Monthly!U17&amp;Monthly!$U$10,Loads!$K:$K)))</f>
        <v>59400</v>
      </c>
      <c r="X17" s="18" cm="1">
        <f t="array" ref="X17">IFERROR(SUMPRODUCT(--(Loads!$A$1:$A$13458=Monthly!U17&amp;$U$10),Loads!$L$1:$L$13458,Loads!$K$1:$K$13458)/W17,"-")</f>
        <v>10.432</v>
      </c>
      <c r="Y17" s="18" cm="1">
        <f t="array" ref="Y17">IFERROR(SUMPRODUCT(--(Loads!$A$1:$A$13458=Monthly!U17&amp;$U$10),Loads!$M$1:$M$13458,Loads!$K$1:$K$13458)/W17,"-")</f>
        <v>60.544727272727272</v>
      </c>
      <c r="Z17" s="77"/>
    </row>
    <row r="18" spans="2:26" ht="12.5" thickBot="1" x14ac:dyDescent="0.4">
      <c r="B18" s="44"/>
      <c r="C18" s="64">
        <f t="shared" si="0"/>
        <v>44262</v>
      </c>
      <c r="D18" s="39">
        <f>IF(C18="-","-",COUNTIF(Loads!$A$1:$A$13458,Monthly!C18&amp;Monthly!$C$10))</f>
        <v>10</v>
      </c>
      <c r="E18" s="39">
        <f>IF(C18="-","-",IF(SUMIF(Loads!$A$1:$A$13458,Monthly!C18&amp;Monthly!$C$10,Loads!$K:$K)=0,"-",SUMIF(Loads!$A$1:$A$13458,Monthly!C18&amp;Monthly!$C$10,Loads!$K:$K)))</f>
        <v>231760</v>
      </c>
      <c r="F18" s="40" cm="1">
        <f t="array" ref="F18">IFERROR(SUMPRODUCT(--(Loads!$A$1:$A$13458=Monthly!C18&amp;$C$10),Loads!$L$1:$L$13458,Loads!$K$1:$K$13458)/E18,"-")</f>
        <v>7.7158526061442858</v>
      </c>
      <c r="G18" s="40" cm="1">
        <f t="array" ref="G18">IFERROR(SUMPRODUCT(--(Loads!$A$1:$A$13458=Monthly!C18&amp;$C$10),Loads!$M$1:$M$13458,Loads!$K$1:$K$13458)/E18,"-")</f>
        <v>20.427751121850189</v>
      </c>
      <c r="H18" s="45"/>
      <c r="I18" s="69">
        <f t="shared" si="1"/>
        <v>44262</v>
      </c>
      <c r="J18" s="11">
        <f>IF(I18="-","-",COUNTIF(Loads!$A$1:$A$13458,Monthly!I18&amp;Monthly!$I$10))</f>
        <v>7</v>
      </c>
      <c r="K18" s="11">
        <f>IF(I18="-","-",IF(SUMIF(Loads!$A$1:$A$13458,Monthly!I18&amp;Monthly!$I$10,Loads!$K:$K)=0,"-",SUMIF(Loads!$A$1:$A$13458,Monthly!I18&amp;Monthly!$I$10,Loads!$K:$K)))</f>
        <v>94800</v>
      </c>
      <c r="L18" s="12" cm="1">
        <f t="array" ref="L18">IFERROR(SUMPRODUCT(--(Loads!$A$1:$A$13458=Monthly!I18&amp;$I$10),Loads!$L$1:$L$13458,Loads!$K$1:$K$13458)/K18,"-")</f>
        <v>61.091242616033753</v>
      </c>
      <c r="M18" s="12" cm="1">
        <f t="array" ref="M18">IFERROR(SUMPRODUCT(--(Loads!$A$1:$A$13458=Monthly!I18&amp;$I$10),Loads!$M$1:$M$13458,Loads!$K$1:$K$13458)/K18,"-")</f>
        <v>9.7507700421940928</v>
      </c>
      <c r="N18" s="45"/>
      <c r="O18" s="74">
        <f t="shared" si="2"/>
        <v>44262</v>
      </c>
      <c r="P18" s="14">
        <f>IF(O18="-","-",COUNTIF(Loads!$A$1:$A$13458,Monthly!O18&amp;Monthly!$O$10))</f>
        <v>0</v>
      </c>
      <c r="Q18" s="14" t="str">
        <f>IF(O18="-","-",IF(SUMIF(Loads!$A$1:$A$13458,Monthly!O18&amp;Monthly!$O$10,Loads!$K:$K)=0,"-",SUMIF(Loads!$A$1:$A$13458,Monthly!O18&amp;Monthly!$O$10,Loads!$K:$K)))</f>
        <v>-</v>
      </c>
      <c r="R18" s="15" t="str" cm="1">
        <f t="array" ref="R18">IFERROR(SUMPRODUCT(--(Loads!$A$1:$A$13458=Monthly!O18&amp;$O$10),Loads!$L$1:$L$13458,Loads!$K$1:$K$13458)/Q18,"-")</f>
        <v>-</v>
      </c>
      <c r="S18" s="15" t="str" cm="1">
        <f t="array" ref="S18">IFERROR(SUMPRODUCT(--(Loads!$A$1:$A$13458=Monthly!O18&amp;$O$10),Loads!$M$1:$M$13458,Loads!$K$1:$K$13458)/Q18,"-")</f>
        <v>-</v>
      </c>
      <c r="T18" s="45"/>
      <c r="U18" s="75">
        <f t="shared" si="3"/>
        <v>44262</v>
      </c>
      <c r="V18" s="17">
        <f>IF(U18="-","-",COUNTIF(Loads!$A$1:$A$13458,Monthly!U18&amp;Monthly!$U$10))</f>
        <v>3</v>
      </c>
      <c r="W18" s="17">
        <f>IF(U18="-","-",IF(SUMIF(Loads!$A$1:$A$13458,Monthly!U18&amp;Monthly!$U$10,Loads!$K:$K)=0,"-",SUMIF(Loads!$A$1:$A$13458,Monthly!U18&amp;Monthly!$U$10,Loads!$K:$K)))</f>
        <v>88880</v>
      </c>
      <c r="X18" s="18" cm="1">
        <f t="array" ref="X18">IFERROR(SUMPRODUCT(--(Loads!$A$1:$A$13458=Monthly!U18&amp;$U$10),Loads!$L$1:$L$13458,Loads!$K$1:$K$13458)/W18,"-")</f>
        <v>9.4990706570657064</v>
      </c>
      <c r="Y18" s="18" cm="1">
        <f t="array" ref="Y18">IFERROR(SUMPRODUCT(--(Loads!$A$1:$A$13458=Monthly!U18&amp;$U$10),Loads!$M$1:$M$13458,Loads!$K$1:$K$13458)/W18,"-")</f>
        <v>62.926928442844279</v>
      </c>
      <c r="Z18" s="78"/>
    </row>
    <row r="19" spans="2:26" x14ac:dyDescent="0.35">
      <c r="B19" s="44"/>
      <c r="C19" s="64">
        <f t="shared" si="0"/>
        <v>44263</v>
      </c>
      <c r="D19" s="39">
        <f>IF(C19="-","-",COUNTIF(Loads!$A$1:$A$13458,Monthly!C19&amp;Monthly!$C$10))</f>
        <v>12</v>
      </c>
      <c r="E19" s="39">
        <f>IF(C19="-","-",IF(SUMIF(Loads!$A$1:$A$13458,Monthly!C19&amp;Monthly!$C$10,Loads!$K:$K)=0,"-",SUMIF(Loads!$A$1:$A$13458,Monthly!C19&amp;Monthly!$C$10,Loads!$K:$K)))</f>
        <v>279060</v>
      </c>
      <c r="F19" s="40" cm="1">
        <f t="array" ref="F19">IFERROR(SUMPRODUCT(--(Loads!$A$1:$A$13458=Monthly!C19&amp;$C$10),Loads!$L$1:$L$13458,Loads!$K$1:$K$13458)/E19,"-")</f>
        <v>9.1302838099333474</v>
      </c>
      <c r="G19" s="40" cm="1">
        <f t="array" ref="G19">IFERROR(SUMPRODUCT(--(Loads!$A$1:$A$13458=Monthly!C19&amp;$C$10),Loads!$M$1:$M$13458,Loads!$K$1:$K$13458)/E19,"-")</f>
        <v>21.188744356052464</v>
      </c>
      <c r="H19" s="45"/>
      <c r="I19" s="69">
        <f t="shared" si="1"/>
        <v>44263</v>
      </c>
      <c r="J19" s="11">
        <f>IF(I19="-","-",COUNTIF(Loads!$A$1:$A$13458,Monthly!I19&amp;Monthly!$I$10))</f>
        <v>10</v>
      </c>
      <c r="K19" s="11">
        <f>IF(I19="-","-",IF(SUMIF(Loads!$A$1:$A$13458,Monthly!I19&amp;Monthly!$I$10,Loads!$K:$K)=0,"-",SUMIF(Loads!$A$1:$A$13458,Monthly!I19&amp;Monthly!$I$10,Loads!$K:$K)))</f>
        <v>127220</v>
      </c>
      <c r="L19" s="12" cm="1">
        <f t="array" ref="L19">IFERROR(SUMPRODUCT(--(Loads!$A$1:$A$13458=Monthly!I19&amp;$I$10),Loads!$L$1:$L$13458,Loads!$K$1:$K$13458)/K19,"-")</f>
        <v>62.053208614997644</v>
      </c>
      <c r="M19" s="12" cm="1">
        <f t="array" ref="M19">IFERROR(SUMPRODUCT(--(Loads!$A$1:$A$13458=Monthly!I19&amp;$I$10),Loads!$M$1:$M$13458,Loads!$K$1:$K$13458)/K19,"-")</f>
        <v>9.5048247130954238</v>
      </c>
      <c r="N19" s="45"/>
      <c r="O19" s="74">
        <f t="shared" si="2"/>
        <v>44263</v>
      </c>
      <c r="P19" s="14">
        <f>IF(O19="-","-",COUNTIF(Loads!$A$1:$A$13458,Monthly!O19&amp;Monthly!$O$10))</f>
        <v>3</v>
      </c>
      <c r="Q19" s="14">
        <f>IF(O19="-","-",IF(SUMIF(Loads!$A$1:$A$13458,Monthly!O19&amp;Monthly!$O$10,Loads!$K:$K)=0,"-",SUMIF(Loads!$A$1:$A$13458,Monthly!O19&amp;Monthly!$O$10,Loads!$K:$K)))</f>
        <v>38220</v>
      </c>
      <c r="R19" s="15" cm="1">
        <f t="array" ref="R19">IFERROR(SUMPRODUCT(--(Loads!$A$1:$A$13458=Monthly!O19&amp;$O$10),Loads!$L$1:$L$13458,Loads!$K$1:$K$13458)/Q19,"-")</f>
        <v>58.83577708006279</v>
      </c>
      <c r="S19" s="15" cm="1">
        <f t="array" ref="S19">IFERROR(SUMPRODUCT(--(Loads!$A$1:$A$13458=Monthly!O19&amp;$O$10),Loads!$M$1:$M$13458,Loads!$K$1:$K$13458)/Q19,"-")</f>
        <v>11.548519099947672</v>
      </c>
      <c r="T19" s="45"/>
      <c r="U19" s="75">
        <f t="shared" si="3"/>
        <v>44263</v>
      </c>
      <c r="V19" s="17">
        <f>IF(U19="-","-",COUNTIF(Loads!$A$1:$A$13458,Monthly!U19&amp;Monthly!$U$10))</f>
        <v>4</v>
      </c>
      <c r="W19" s="17">
        <f>IF(U19="-","-",IF(SUMIF(Loads!$A$1:$A$13458,Monthly!U19&amp;Monthly!$U$10,Loads!$K:$K)=0,"-",SUMIF(Loads!$A$1:$A$13458,Monthly!U19&amp;Monthly!$U$10,Loads!$K:$K)))</f>
        <v>83720</v>
      </c>
      <c r="X19" s="18" cm="1">
        <f t="array" ref="X19">IFERROR(SUMPRODUCT(--(Loads!$A$1:$A$13458=Monthly!U19&amp;$U$10),Loads!$L$1:$L$13458,Loads!$K$1:$K$13458)/W19,"-")</f>
        <v>9.822207357859531</v>
      </c>
      <c r="Y19" s="18" cm="1">
        <f t="array" ref="Y19">IFERROR(SUMPRODUCT(--(Loads!$A$1:$A$13458=Monthly!U19&amp;$U$10),Loads!$M$1:$M$13458,Loads!$K$1:$K$13458)/W19,"-")</f>
        <v>62.001285236502625</v>
      </c>
      <c r="Z19" s="79"/>
    </row>
    <row r="20" spans="2:26" x14ac:dyDescent="0.35">
      <c r="B20" s="44"/>
      <c r="C20" s="64">
        <f t="shared" si="0"/>
        <v>44264</v>
      </c>
      <c r="D20" s="39">
        <f>IF(C20="-","-",COUNTIF(Loads!$A$1:$A$13458,Monthly!C20&amp;Monthly!$C$10))</f>
        <v>7</v>
      </c>
      <c r="E20" s="39">
        <f>IF(C20="-","-",IF(SUMIF(Loads!$A$1:$A$13458,Monthly!C20&amp;Monthly!$C$10,Loads!$K:$K)=0,"-",SUMIF(Loads!$A$1:$A$13458,Monthly!C20&amp;Monthly!$C$10,Loads!$K:$K)))</f>
        <v>130880</v>
      </c>
      <c r="F20" s="40" cm="1">
        <f t="array" ref="F20">IFERROR(SUMPRODUCT(--(Loads!$A$1:$A$13458=Monthly!C20&amp;$C$10),Loads!$L$1:$L$13458,Loads!$K$1:$K$13458)/E20,"-")</f>
        <v>7.0750213936430315</v>
      </c>
      <c r="G20" s="40" cm="1">
        <f t="array" ref="G20">IFERROR(SUMPRODUCT(--(Loads!$A$1:$A$13458=Monthly!C20&amp;$C$10),Loads!$M$1:$M$13458,Loads!$K$1:$K$13458)/E20,"-")</f>
        <v>21.282704767726155</v>
      </c>
      <c r="H20" s="45"/>
      <c r="I20" s="69">
        <f t="shared" si="1"/>
        <v>44264</v>
      </c>
      <c r="J20" s="11">
        <f>IF(I20="-","-",COUNTIF(Loads!$A$1:$A$13458,Monthly!I20&amp;Monthly!$I$10))</f>
        <v>1</v>
      </c>
      <c r="K20" s="11">
        <f>IF(I20="-","-",IF(SUMIF(Loads!$A$1:$A$13458,Monthly!I20&amp;Monthly!$I$10,Loads!$K:$K)=0,"-",SUMIF(Loads!$A$1:$A$13458,Monthly!I20&amp;Monthly!$I$10,Loads!$K:$K)))</f>
        <v>12620</v>
      </c>
      <c r="L20" s="12" cm="1">
        <f t="array" ref="L20">IFERROR(SUMPRODUCT(--(Loads!$A$1:$A$13458=Monthly!I20&amp;$I$10),Loads!$L$1:$L$13458,Loads!$K$1:$K$13458)/K20,"-")</f>
        <v>59.23</v>
      </c>
      <c r="M20" s="12" cm="1">
        <f t="array" ref="M20">IFERROR(SUMPRODUCT(--(Loads!$A$1:$A$13458=Monthly!I20&amp;$I$10),Loads!$M$1:$M$13458,Loads!$K$1:$K$13458)/K20,"-")</f>
        <v>10.8</v>
      </c>
      <c r="N20" s="45"/>
      <c r="O20" s="74">
        <f t="shared" si="2"/>
        <v>44264</v>
      </c>
      <c r="P20" s="14">
        <f>IF(O20="-","-",COUNTIF(Loads!$A$1:$A$13458,Monthly!O20&amp;Monthly!$O$10))</f>
        <v>0</v>
      </c>
      <c r="Q20" s="14" t="str">
        <f>IF(O20="-","-",IF(SUMIF(Loads!$A$1:$A$13458,Monthly!O20&amp;Monthly!$O$10,Loads!$K:$K)=0,"-",SUMIF(Loads!$A$1:$A$13458,Monthly!O20&amp;Monthly!$O$10,Loads!$K:$K)))</f>
        <v>-</v>
      </c>
      <c r="R20" s="15" t="str" cm="1">
        <f t="array" ref="R20">IFERROR(SUMPRODUCT(--(Loads!$A$1:$A$13458=Monthly!O20&amp;$O$10),Loads!$L$1:$L$13458,Loads!$K$1:$K$13458)/Q20,"-")</f>
        <v>-</v>
      </c>
      <c r="S20" s="15" t="str" cm="1">
        <f t="array" ref="S20">IFERROR(SUMPRODUCT(--(Loads!$A$1:$A$13458=Monthly!O20&amp;$O$10),Loads!$M$1:$M$13458,Loads!$K$1:$K$13458)/Q20,"-")</f>
        <v>-</v>
      </c>
      <c r="T20" s="45"/>
      <c r="U20" s="75">
        <f t="shared" si="3"/>
        <v>44264</v>
      </c>
      <c r="V20" s="17">
        <f>IF(U20="-","-",COUNTIF(Loads!$A$1:$A$13458,Monthly!U20&amp;Monthly!$U$10))</f>
        <v>1</v>
      </c>
      <c r="W20" s="17">
        <f>IF(U20="-","-",IF(SUMIF(Loads!$A$1:$A$13458,Monthly!U20&amp;Monthly!$U$10,Loads!$K:$K)=0,"-",SUMIF(Loads!$A$1:$A$13458,Monthly!U20&amp;Monthly!$U$10,Loads!$K:$K)))</f>
        <v>27460</v>
      </c>
      <c r="X20" s="18" cm="1">
        <f t="array" ref="X20">IFERROR(SUMPRODUCT(--(Loads!$A$1:$A$13458=Monthly!U20&amp;$U$10),Loads!$L$1:$L$13458,Loads!$K$1:$K$13458)/W20,"-")</f>
        <v>9.31</v>
      </c>
      <c r="Y20" s="18" cm="1">
        <f t="array" ref="Y20">IFERROR(SUMPRODUCT(--(Loads!$A$1:$A$13458=Monthly!U20&amp;$U$10),Loads!$M$1:$M$13458,Loads!$K$1:$K$13458)/W20,"-")</f>
        <v>60.17</v>
      </c>
      <c r="Z20" s="79"/>
    </row>
    <row r="21" spans="2:26" x14ac:dyDescent="0.35">
      <c r="B21" s="44"/>
      <c r="C21" s="64">
        <f t="shared" si="0"/>
        <v>44265</v>
      </c>
      <c r="D21" s="39">
        <f>IF(C21="-","-",COUNTIF(Loads!$A$1:$A$13458,Monthly!C21&amp;Monthly!$C$10))</f>
        <v>10</v>
      </c>
      <c r="E21" s="39">
        <f>IF(C21="-","-",IF(SUMIF(Loads!$A$1:$A$13458,Monthly!C21&amp;Monthly!$C$10,Loads!$K:$K)=0,"-",SUMIF(Loads!$A$1:$A$13458,Monthly!C21&amp;Monthly!$C$10,Loads!$K:$K)))</f>
        <v>253140</v>
      </c>
      <c r="F21" s="40" cm="1">
        <f t="array" ref="F21">IFERROR(SUMPRODUCT(--(Loads!$A$1:$A$13458=Monthly!C21&amp;$C$10),Loads!$L$1:$L$13458,Loads!$K$1:$K$13458)/E21,"-")</f>
        <v>8.08565536857075</v>
      </c>
      <c r="G21" s="40" cm="1">
        <f t="array" ref="G21">IFERROR(SUMPRODUCT(--(Loads!$A$1:$A$13458=Monthly!C21&amp;$C$10),Loads!$M$1:$M$13458,Loads!$K$1:$K$13458)/E21,"-")</f>
        <v>20.984185035948485</v>
      </c>
      <c r="H21" s="45"/>
      <c r="I21" s="69">
        <f t="shared" si="1"/>
        <v>44265</v>
      </c>
      <c r="J21" s="11">
        <f>IF(I21="-","-",COUNTIF(Loads!$A$1:$A$13458,Monthly!I21&amp;Monthly!$I$10))</f>
        <v>6</v>
      </c>
      <c r="K21" s="11">
        <f>IF(I21="-","-",IF(SUMIF(Loads!$A$1:$A$13458,Monthly!I21&amp;Monthly!$I$10,Loads!$K:$K)=0,"-",SUMIF(Loads!$A$1:$A$13458,Monthly!I21&amp;Monthly!$I$10,Loads!$K:$K)))</f>
        <v>78060</v>
      </c>
      <c r="L21" s="12" cm="1">
        <f t="array" ref="L21">IFERROR(SUMPRODUCT(--(Loads!$A$1:$A$13458=Monthly!I21&amp;$I$10),Loads!$L$1:$L$13458,Loads!$K$1:$K$13458)/K21,"-")</f>
        <v>64.363335895465028</v>
      </c>
      <c r="M21" s="12" cm="1">
        <f t="array" ref="M21">IFERROR(SUMPRODUCT(--(Loads!$A$1:$A$13458=Monthly!I21&amp;$I$10),Loads!$M$1:$M$13458,Loads!$K$1:$K$13458)/K21,"-")</f>
        <v>9.5436407891365604</v>
      </c>
      <c r="N21" s="45"/>
      <c r="O21" s="74">
        <f t="shared" si="2"/>
        <v>44265</v>
      </c>
      <c r="P21" s="14">
        <f>IF(O21="-","-",COUNTIF(Loads!$A$1:$A$13458,Monthly!O21&amp;Monthly!$O$10))</f>
        <v>1</v>
      </c>
      <c r="Q21" s="14">
        <f>IF(O21="-","-",IF(SUMIF(Loads!$A$1:$A$13458,Monthly!O21&amp;Monthly!$O$10,Loads!$K:$K)=0,"-",SUMIF(Loads!$A$1:$A$13458,Monthly!O21&amp;Monthly!$O$10,Loads!$K:$K)))</f>
        <v>11640</v>
      </c>
      <c r="R21" s="15" cm="1">
        <f t="array" ref="R21">IFERROR(SUMPRODUCT(--(Loads!$A$1:$A$13458=Monthly!O21&amp;$O$10),Loads!$L$1:$L$13458,Loads!$K$1:$K$13458)/Q21,"-")</f>
        <v>55.8</v>
      </c>
      <c r="S21" s="15" cm="1">
        <f t="array" ref="S21">IFERROR(SUMPRODUCT(--(Loads!$A$1:$A$13458=Monthly!O21&amp;$O$10),Loads!$M$1:$M$13458,Loads!$K$1:$K$13458)/Q21,"-")</f>
        <v>11.52</v>
      </c>
      <c r="T21" s="45"/>
      <c r="U21" s="75">
        <f t="shared" si="3"/>
        <v>44265</v>
      </c>
      <c r="V21" s="17">
        <f>IF(U21="-","-",COUNTIF(Loads!$A$1:$A$13458,Monthly!U21&amp;Monthly!$U$10))</f>
        <v>3</v>
      </c>
      <c r="W21" s="17">
        <f>IF(U21="-","-",IF(SUMIF(Loads!$A$1:$A$13458,Monthly!U21&amp;Monthly!$U$10,Loads!$K:$K)=0,"-",SUMIF(Loads!$A$1:$A$13458,Monthly!U21&amp;Monthly!$U$10,Loads!$K:$K)))</f>
        <v>87180</v>
      </c>
      <c r="X21" s="18" cm="1">
        <f t="array" ref="X21">IFERROR(SUMPRODUCT(--(Loads!$A$1:$A$13458=Monthly!U21&amp;$U$10),Loads!$L$1:$L$13458,Loads!$K$1:$K$13458)/W21,"-")</f>
        <v>9.0315966964900198</v>
      </c>
      <c r="Y21" s="18" cm="1">
        <f t="array" ref="Y21">IFERROR(SUMPRODUCT(--(Loads!$A$1:$A$13458=Monthly!U21&amp;$U$10),Loads!$M$1:$M$13458,Loads!$K$1:$K$13458)/W21,"-")</f>
        <v>60.595918788713007</v>
      </c>
      <c r="Z21" s="79"/>
    </row>
    <row r="22" spans="2:26" x14ac:dyDescent="0.35">
      <c r="B22" s="44"/>
      <c r="C22" s="64">
        <f t="shared" si="0"/>
        <v>44266</v>
      </c>
      <c r="D22" s="39">
        <f>IF(C22="-","-",COUNTIF(Loads!$A$1:$A$13458,Monthly!C22&amp;Monthly!$C$10))</f>
        <v>13</v>
      </c>
      <c r="E22" s="39">
        <f>IF(C22="-","-",IF(SUMIF(Loads!$A$1:$A$13458,Monthly!C22&amp;Monthly!$C$10,Loads!$K:$K)=0,"-",SUMIF(Loads!$A$1:$A$13458,Monthly!C22&amp;Monthly!$C$10,Loads!$K:$K)))</f>
        <v>313420</v>
      </c>
      <c r="F22" s="40" cm="1">
        <f t="array" ref="F22">IFERROR(SUMPRODUCT(--(Loads!$A$1:$A$13458=Monthly!C22&amp;$C$10),Loads!$L$1:$L$13458,Loads!$K$1:$K$13458)/E22,"-")</f>
        <v>8.3809737732116645</v>
      </c>
      <c r="G22" s="40" cm="1">
        <f t="array" ref="G22">IFERROR(SUMPRODUCT(--(Loads!$A$1:$A$13458=Monthly!C22&amp;$C$10),Loads!$M$1:$M$13458,Loads!$K$1:$K$13458)/E22,"-")</f>
        <v>22.172740093165718</v>
      </c>
      <c r="H22" s="45"/>
      <c r="I22" s="69">
        <f t="shared" si="1"/>
        <v>44266</v>
      </c>
      <c r="J22" s="11">
        <f>IF(I22="-","-",COUNTIF(Loads!$A$1:$A$13458,Monthly!I22&amp;Monthly!$I$10))</f>
        <v>8</v>
      </c>
      <c r="K22" s="11">
        <f>IF(I22="-","-",IF(SUMIF(Loads!$A$1:$A$13458,Monthly!I22&amp;Monthly!$I$10,Loads!$K:$K)=0,"-",SUMIF(Loads!$A$1:$A$13458,Monthly!I22&amp;Monthly!$I$10,Loads!$K:$K)))</f>
        <v>103980</v>
      </c>
      <c r="L22" s="12" cm="1">
        <f t="array" ref="L22">IFERROR(SUMPRODUCT(--(Loads!$A$1:$A$13458=Monthly!I22&amp;$I$10),Loads!$L$1:$L$13458,Loads!$K$1:$K$13458)/K22,"-")</f>
        <v>60.864093094825925</v>
      </c>
      <c r="M22" s="12" cm="1">
        <f t="array" ref="M22">IFERROR(SUMPRODUCT(--(Loads!$A$1:$A$13458=Monthly!I22&amp;$I$10),Loads!$M$1:$M$13458,Loads!$K$1:$K$13458)/K22,"-")</f>
        <v>9.933508366993653</v>
      </c>
      <c r="N22" s="45"/>
      <c r="O22" s="74">
        <f t="shared" si="2"/>
        <v>44266</v>
      </c>
      <c r="P22" s="14">
        <f>IF(O22="-","-",COUNTIF(Loads!$A$1:$A$13458,Monthly!O22&amp;Monthly!$O$10))</f>
        <v>1</v>
      </c>
      <c r="Q22" s="14">
        <f>IF(O22="-","-",IF(SUMIF(Loads!$A$1:$A$13458,Monthly!O22&amp;Monthly!$O$10,Loads!$K:$K)=0,"-",SUMIF(Loads!$A$1:$A$13458,Monthly!O22&amp;Monthly!$O$10,Loads!$K:$K)))</f>
        <v>10380</v>
      </c>
      <c r="R22" s="15" cm="1">
        <f t="array" ref="R22">IFERROR(SUMPRODUCT(--(Loads!$A$1:$A$13458=Monthly!O22&amp;$O$10),Loads!$L$1:$L$13458,Loads!$K$1:$K$13458)/Q22,"-")</f>
        <v>58.84</v>
      </c>
      <c r="S22" s="15" cm="1">
        <f t="array" ref="S22">IFERROR(SUMPRODUCT(--(Loads!$A$1:$A$13458=Monthly!O22&amp;$O$10),Loads!$M$1:$M$13458,Loads!$K$1:$K$13458)/Q22,"-")</f>
        <v>11.56</v>
      </c>
      <c r="T22" s="45"/>
      <c r="U22" s="75">
        <f t="shared" si="3"/>
        <v>44266</v>
      </c>
      <c r="V22" s="17">
        <f>IF(U22="-","-",COUNTIF(Loads!$A$1:$A$13458,Monthly!U22&amp;Monthly!$U$10))</f>
        <v>1</v>
      </c>
      <c r="W22" s="17">
        <f>IF(U22="-","-",IF(SUMIF(Loads!$A$1:$A$13458,Monthly!U22&amp;Monthly!$U$10,Loads!$K:$K)=0,"-",SUMIF(Loads!$A$1:$A$13458,Monthly!U22&amp;Monthly!$U$10,Loads!$K:$K)))</f>
        <v>35280</v>
      </c>
      <c r="X22" s="18" cm="1">
        <f t="array" ref="X22">IFERROR(SUMPRODUCT(--(Loads!$A$1:$A$13458=Monthly!U22&amp;$U$10),Loads!$L$1:$L$13458,Loads!$K$1:$K$13458)/W22,"-")</f>
        <v>8.5299999999999994</v>
      </c>
      <c r="Y22" s="18" cm="1">
        <f t="array" ref="Y22">IFERROR(SUMPRODUCT(--(Loads!$A$1:$A$13458=Monthly!U22&amp;$U$10),Loads!$M$1:$M$13458,Loads!$K$1:$K$13458)/W22,"-")</f>
        <v>61.879999999999995</v>
      </c>
      <c r="Z22" s="79"/>
    </row>
    <row r="23" spans="2:26" x14ac:dyDescent="0.35">
      <c r="B23" s="44"/>
      <c r="C23" s="64">
        <f t="shared" si="0"/>
        <v>44267</v>
      </c>
      <c r="D23" s="39">
        <f>IF(C23="-","-",COUNTIF(Loads!$A$1:$A$13458,Monthly!C23&amp;Monthly!$C$10))</f>
        <v>11</v>
      </c>
      <c r="E23" s="39">
        <f>IF(C23="-","-",IF(SUMIF(Loads!$A$1:$A$13458,Monthly!C23&amp;Monthly!$C$10,Loads!$K:$K)=0,"-",SUMIF(Loads!$A$1:$A$13458,Monthly!C23&amp;Monthly!$C$10,Loads!$K:$K)))</f>
        <v>289207</v>
      </c>
      <c r="F23" s="40" cm="1">
        <f t="array" ref="F23">IFERROR(SUMPRODUCT(--(Loads!$A$1:$A$13458=Monthly!C23&amp;$C$10),Loads!$L$1:$L$13458,Loads!$K$1:$K$13458)/E23,"-")</f>
        <v>8.6435792702113012</v>
      </c>
      <c r="G23" s="40" cm="1">
        <f t="array" ref="G23">IFERROR(SUMPRODUCT(--(Loads!$A$1:$A$13458=Monthly!C23&amp;$C$10),Loads!$M$1:$M$13458,Loads!$K$1:$K$13458)/E23,"-")</f>
        <v>25.711584263174817</v>
      </c>
      <c r="H23" s="45"/>
      <c r="I23" s="69">
        <f t="shared" si="1"/>
        <v>44267</v>
      </c>
      <c r="J23" s="11">
        <f>IF(I23="-","-",COUNTIF(Loads!$A$1:$A$13458,Monthly!I23&amp;Monthly!$I$10))</f>
        <v>7</v>
      </c>
      <c r="K23" s="11">
        <f>IF(I23="-","-",IF(SUMIF(Loads!$A$1:$A$13458,Monthly!I23&amp;Monthly!$I$10,Loads!$K:$K)=0,"-",SUMIF(Loads!$A$1:$A$13458,Monthly!I23&amp;Monthly!$I$10,Loads!$K:$K)))</f>
        <v>78900</v>
      </c>
      <c r="L23" s="12" cm="1">
        <f t="array" ref="L23">IFERROR(SUMPRODUCT(--(Loads!$A$1:$A$13458=Monthly!I23&amp;$I$10),Loads!$L$1:$L$13458,Loads!$K$1:$K$13458)/K23,"-")</f>
        <v>58.820126742712297</v>
      </c>
      <c r="M23" s="12" cm="1">
        <f t="array" ref="M23">IFERROR(SUMPRODUCT(--(Loads!$A$1:$A$13458=Monthly!I23&amp;$I$10),Loads!$M$1:$M$13458,Loads!$K$1:$K$13458)/K23,"-")</f>
        <v>10.768884664131813</v>
      </c>
      <c r="N23" s="45"/>
      <c r="O23" s="74">
        <f t="shared" si="2"/>
        <v>44267</v>
      </c>
      <c r="P23" s="14">
        <f>IF(O23="-","-",COUNTIF(Loads!$A$1:$A$13458,Monthly!O23&amp;Monthly!$O$10))</f>
        <v>0</v>
      </c>
      <c r="Q23" s="14" t="str">
        <f>IF(O23="-","-",IF(SUMIF(Loads!$A$1:$A$13458,Monthly!O23&amp;Monthly!$O$10,Loads!$K:$K)=0,"-",SUMIF(Loads!$A$1:$A$13458,Monthly!O23&amp;Monthly!$O$10,Loads!$K:$K)))</f>
        <v>-</v>
      </c>
      <c r="R23" s="15" t="str" cm="1">
        <f t="array" ref="R23">IFERROR(SUMPRODUCT(--(Loads!$A$1:$A$13458=Monthly!O23&amp;$O$10),Loads!$L$1:$L$13458,Loads!$K$1:$K$13458)/Q23,"-")</f>
        <v>-</v>
      </c>
      <c r="S23" s="15" t="str" cm="1">
        <f t="array" ref="S23">IFERROR(SUMPRODUCT(--(Loads!$A$1:$A$13458=Monthly!O23&amp;$O$10),Loads!$M$1:$M$13458,Loads!$K$1:$K$13458)/Q23,"-")</f>
        <v>-</v>
      </c>
      <c r="T23" s="45"/>
      <c r="U23" s="75">
        <f t="shared" si="3"/>
        <v>44267</v>
      </c>
      <c r="V23" s="17">
        <f>IF(U23="-","-",COUNTIF(Loads!$A$1:$A$13458,Monthly!U23&amp;Monthly!$U$10))</f>
        <v>1</v>
      </c>
      <c r="W23" s="17">
        <f>IF(U23="-","-",IF(SUMIF(Loads!$A$1:$A$13458,Monthly!U23&amp;Monthly!$U$10,Loads!$K:$K)=0,"-",SUMIF(Loads!$A$1:$A$13458,Monthly!U23&amp;Monthly!$U$10,Loads!$K:$K)))</f>
        <v>29560</v>
      </c>
      <c r="X23" s="18" cm="1">
        <f t="array" ref="X23">IFERROR(SUMPRODUCT(--(Loads!$A$1:$A$13458=Monthly!U23&amp;$U$10),Loads!$L$1:$L$13458,Loads!$K$1:$K$13458)/W23,"-")</f>
        <v>8.33</v>
      </c>
      <c r="Y23" s="18" cm="1">
        <f t="array" ref="Y23">IFERROR(SUMPRODUCT(--(Loads!$A$1:$A$13458=Monthly!U23&amp;$U$10),Loads!$M$1:$M$13458,Loads!$K$1:$K$13458)/W23,"-")</f>
        <v>63.37</v>
      </c>
      <c r="Z23" s="79"/>
    </row>
    <row r="24" spans="2:26" x14ac:dyDescent="0.35">
      <c r="B24" s="44"/>
      <c r="C24" s="64">
        <f t="shared" si="0"/>
        <v>44268</v>
      </c>
      <c r="D24" s="39">
        <f>IF(C24="-","-",COUNTIF(Loads!$A$1:$A$13458,Monthly!C24&amp;Monthly!$C$10))</f>
        <v>9</v>
      </c>
      <c r="E24" s="39">
        <f>IF(C24="-","-",IF(SUMIF(Loads!$A$1:$A$13458,Monthly!C24&amp;Monthly!$C$10,Loads!$K:$K)=0,"-",SUMIF(Loads!$A$1:$A$13458,Monthly!C24&amp;Monthly!$C$10,Loads!$K:$K)))</f>
        <v>178040</v>
      </c>
      <c r="F24" s="40" cm="1">
        <f t="array" ref="F24">IFERROR(SUMPRODUCT(--(Loads!$A$1:$A$13458=Monthly!C24&amp;$C$10),Loads!$L$1:$L$13458,Loads!$K$1:$K$13458)/E24,"-")</f>
        <v>8.5275095484160861</v>
      </c>
      <c r="G24" s="40" cm="1">
        <f t="array" ref="G24">IFERROR(SUMPRODUCT(--(Loads!$A$1:$A$13458=Monthly!C24&amp;$C$10),Loads!$M$1:$M$13458,Loads!$K$1:$K$13458)/E24,"-")</f>
        <v>21.381767018647494</v>
      </c>
      <c r="H24" s="45"/>
      <c r="I24" s="69">
        <f t="shared" si="1"/>
        <v>44268</v>
      </c>
      <c r="J24" s="11">
        <f>IF(I24="-","-",COUNTIF(Loads!$A$1:$A$13458,Monthly!I24&amp;Monthly!$I$10))</f>
        <v>4</v>
      </c>
      <c r="K24" s="11">
        <f>IF(I24="-","-",IF(SUMIF(Loads!$A$1:$A$13458,Monthly!I24&amp;Monthly!$I$10,Loads!$K:$K)=0,"-",SUMIF(Loads!$A$1:$A$13458,Monthly!I24&amp;Monthly!$I$10,Loads!$K:$K)))</f>
        <v>53860</v>
      </c>
      <c r="L24" s="12" cm="1">
        <f t="array" ref="L24">IFERROR(SUMPRODUCT(--(Loads!$A$1:$A$13458=Monthly!I24&amp;$I$10),Loads!$L$1:$L$13458,Loads!$K$1:$K$13458)/K24,"-")</f>
        <v>61.277021908652067</v>
      </c>
      <c r="M24" s="12" cm="1">
        <f t="array" ref="M24">IFERROR(SUMPRODUCT(--(Loads!$A$1:$A$13458=Monthly!I24&amp;$I$10),Loads!$M$1:$M$13458,Loads!$K$1:$K$13458)/K24,"-")</f>
        <v>10.406550315633124</v>
      </c>
      <c r="N24" s="45"/>
      <c r="O24" s="74">
        <f t="shared" si="2"/>
        <v>44268</v>
      </c>
      <c r="P24" s="14">
        <f>IF(O24="-","-",COUNTIF(Loads!$A$1:$A$13458,Monthly!O24&amp;Monthly!$O$10))</f>
        <v>0</v>
      </c>
      <c r="Q24" s="14" t="str">
        <f>IF(O24="-","-",IF(SUMIF(Loads!$A$1:$A$13458,Monthly!O24&amp;Monthly!$O$10,Loads!$K:$K)=0,"-",SUMIF(Loads!$A$1:$A$13458,Monthly!O24&amp;Monthly!$O$10,Loads!$K:$K)))</f>
        <v>-</v>
      </c>
      <c r="R24" s="15" t="str" cm="1">
        <f t="array" ref="R24">IFERROR(SUMPRODUCT(--(Loads!$A$1:$A$13458=Monthly!O24&amp;$O$10),Loads!$L$1:$L$13458,Loads!$K$1:$K$13458)/Q24,"-")</f>
        <v>-</v>
      </c>
      <c r="S24" s="15" t="str" cm="1">
        <f t="array" ref="S24">IFERROR(SUMPRODUCT(--(Loads!$A$1:$A$13458=Monthly!O24&amp;$O$10),Loads!$M$1:$M$13458,Loads!$K$1:$K$13458)/Q24,"-")</f>
        <v>-</v>
      </c>
      <c r="T24" s="45"/>
      <c r="U24" s="75">
        <f t="shared" si="3"/>
        <v>44268</v>
      </c>
      <c r="V24" s="17">
        <f>IF(U24="-","-",COUNTIF(Loads!$A$1:$A$13458,Monthly!U24&amp;Monthly!$U$10))</f>
        <v>3</v>
      </c>
      <c r="W24" s="17">
        <f>IF(U24="-","-",IF(SUMIF(Loads!$A$1:$A$13458,Monthly!U24&amp;Monthly!$U$10,Loads!$K:$K)=0,"-",SUMIF(Loads!$A$1:$A$13458,Monthly!U24&amp;Monthly!$U$10,Loads!$K:$K)))</f>
        <v>86260</v>
      </c>
      <c r="X24" s="18" cm="1">
        <f t="array" ref="X24">IFERROR(SUMPRODUCT(--(Loads!$A$1:$A$13458=Monthly!U24&amp;$U$10),Loads!$L$1:$L$13458,Loads!$K$1:$K$13458)/W24,"-")</f>
        <v>10.267862276837469</v>
      </c>
      <c r="Y24" s="18" cm="1">
        <f t="array" ref="Y24">IFERROR(SUMPRODUCT(--(Loads!$A$1:$A$13458=Monthly!U24&amp;$U$10),Loads!$M$1:$M$13458,Loads!$K$1:$K$13458)/W24,"-")</f>
        <v>62.622126130303727</v>
      </c>
      <c r="Z24" s="79"/>
    </row>
    <row r="25" spans="2:26" x14ac:dyDescent="0.35">
      <c r="B25" s="44"/>
      <c r="C25" s="64">
        <f t="shared" si="0"/>
        <v>44269</v>
      </c>
      <c r="D25" s="39">
        <f>IF(C25="-","-",COUNTIF(Loads!$A$1:$A$13458,Monthly!C25&amp;Monthly!$C$10))</f>
        <v>6</v>
      </c>
      <c r="E25" s="39">
        <f>IF(C25="-","-",IF(SUMIF(Loads!$A$1:$A$13458,Monthly!C25&amp;Monthly!$C$10,Loads!$K:$K)=0,"-",SUMIF(Loads!$A$1:$A$13458,Monthly!C25&amp;Monthly!$C$10,Loads!$K:$K)))</f>
        <v>137820</v>
      </c>
      <c r="F25" s="40" cm="1">
        <f t="array" ref="F25">IFERROR(SUMPRODUCT(--(Loads!$A$1:$A$13458=Monthly!C25&amp;$C$10),Loads!$L$1:$L$13458,Loads!$K$1:$K$13458)/E25,"-")</f>
        <v>9.0129124945581207</v>
      </c>
      <c r="G25" s="40" cm="1">
        <f t="array" ref="G25">IFERROR(SUMPRODUCT(--(Loads!$A$1:$A$13458=Monthly!C25&amp;$C$10),Loads!$M$1:$M$13458,Loads!$K$1:$K$13458)/E25,"-")</f>
        <v>22.043408794079234</v>
      </c>
      <c r="H25" s="45"/>
      <c r="I25" s="69">
        <f t="shared" si="1"/>
        <v>44269</v>
      </c>
      <c r="J25" s="11">
        <f>IF(I25="-","-",COUNTIF(Loads!$A$1:$A$13458,Monthly!I25&amp;Monthly!$I$10))</f>
        <v>5</v>
      </c>
      <c r="K25" s="11">
        <f>IF(I25="-","-",IF(SUMIF(Loads!$A$1:$A$13458,Monthly!I25&amp;Monthly!$I$10,Loads!$K:$K)=0,"-",SUMIF(Loads!$A$1:$A$13458,Monthly!I25&amp;Monthly!$I$10,Loads!$K:$K)))</f>
        <v>54980</v>
      </c>
      <c r="L25" s="12" cm="1">
        <f t="array" ref="L25">IFERROR(SUMPRODUCT(--(Loads!$A$1:$A$13458=Monthly!I25&amp;$I$10),Loads!$L$1:$L$13458,Loads!$K$1:$K$13458)/K25,"-")</f>
        <v>61.532357220807569</v>
      </c>
      <c r="M25" s="12" cm="1">
        <f t="array" ref="M25">IFERROR(SUMPRODUCT(--(Loads!$A$1:$A$13458=Monthly!I25&amp;$I$10),Loads!$M$1:$M$13458,Loads!$K$1:$K$13458)/K25,"-")</f>
        <v>10.38623499454347</v>
      </c>
      <c r="N25" s="45"/>
      <c r="O25" s="74">
        <f t="shared" si="2"/>
        <v>44269</v>
      </c>
      <c r="P25" s="14">
        <f>IF(O25="-","-",COUNTIF(Loads!$A$1:$A$13458,Monthly!O25&amp;Monthly!$O$10))</f>
        <v>0</v>
      </c>
      <c r="Q25" s="14" t="str">
        <f>IF(O25="-","-",IF(SUMIF(Loads!$A$1:$A$13458,Monthly!O25&amp;Monthly!$O$10,Loads!$K:$K)=0,"-",SUMIF(Loads!$A$1:$A$13458,Monthly!O25&amp;Monthly!$O$10,Loads!$K:$K)))</f>
        <v>-</v>
      </c>
      <c r="R25" s="15" t="str" cm="1">
        <f t="array" ref="R25">IFERROR(SUMPRODUCT(--(Loads!$A$1:$A$13458=Monthly!O25&amp;$O$10),Loads!$L$1:$L$13458,Loads!$K$1:$K$13458)/Q25,"-")</f>
        <v>-</v>
      </c>
      <c r="S25" s="15" t="str" cm="1">
        <f t="array" ref="S25">IFERROR(SUMPRODUCT(--(Loads!$A$1:$A$13458=Monthly!O25&amp;$O$10),Loads!$M$1:$M$13458,Loads!$K$1:$K$13458)/Q25,"-")</f>
        <v>-</v>
      </c>
      <c r="T25" s="45"/>
      <c r="U25" s="75">
        <f t="shared" si="3"/>
        <v>44269</v>
      </c>
      <c r="V25" s="17">
        <f>IF(U25="-","-",COUNTIF(Loads!$A$1:$A$13458,Monthly!U25&amp;Monthly!$U$10))</f>
        <v>2</v>
      </c>
      <c r="W25" s="17">
        <f>IF(U25="-","-",IF(SUMIF(Loads!$A$1:$A$13458,Monthly!U25&amp;Monthly!$U$10,Loads!$K:$K)=0,"-",SUMIF(Loads!$A$1:$A$13458,Monthly!U25&amp;Monthly!$U$10,Loads!$K:$K)))</f>
        <v>48660</v>
      </c>
      <c r="X25" s="18" cm="1">
        <f t="array" ref="X25">IFERROR(SUMPRODUCT(--(Loads!$A$1:$A$13458=Monthly!U25&amp;$U$10),Loads!$L$1:$L$13458,Loads!$K$1:$K$13458)/W25,"-")</f>
        <v>8.1137114673242916</v>
      </c>
      <c r="Y25" s="18" cm="1">
        <f t="array" ref="Y25">IFERROR(SUMPRODUCT(--(Loads!$A$1:$A$13458=Monthly!U25&amp;$U$10),Loads!$M$1:$M$13458,Loads!$K$1:$K$13458)/W25,"-")</f>
        <v>63.516017262638726</v>
      </c>
      <c r="Z25" s="79"/>
    </row>
    <row r="26" spans="2:26" x14ac:dyDescent="0.35">
      <c r="B26" s="44"/>
      <c r="C26" s="64">
        <f t="shared" si="0"/>
        <v>44270</v>
      </c>
      <c r="D26" s="39">
        <f>IF(C26="-","-",COUNTIF(Loads!$A$1:$A$13458,Monthly!C26&amp;Monthly!$C$10))</f>
        <v>11</v>
      </c>
      <c r="E26" s="39">
        <f>IF(C26="-","-",IF(SUMIF(Loads!$A$1:$A$13458,Monthly!C26&amp;Monthly!$C$10,Loads!$K:$K)=0,"-",SUMIF(Loads!$A$1:$A$13458,Monthly!C26&amp;Monthly!$C$10,Loads!$K:$K)))</f>
        <v>230100</v>
      </c>
      <c r="F26" s="40" cm="1">
        <f t="array" ref="F26">IFERROR(SUMPRODUCT(--(Loads!$A$1:$A$13458=Monthly!C26&amp;$C$10),Loads!$L$1:$L$13458,Loads!$K$1:$K$13458)/E26,"-")</f>
        <v>8.5353437635810518</v>
      </c>
      <c r="G26" s="40" cm="1">
        <f t="array" ref="G26">IFERROR(SUMPRODUCT(--(Loads!$A$1:$A$13458=Monthly!C26&amp;$C$10),Loads!$M$1:$M$13458,Loads!$K$1:$K$13458)/E26,"-")</f>
        <v>21.988551064754454</v>
      </c>
      <c r="H26" s="45"/>
      <c r="I26" s="69">
        <f t="shared" si="1"/>
        <v>44270</v>
      </c>
      <c r="J26" s="11">
        <f>IF(I26="-","-",COUNTIF(Loads!$A$1:$A$13458,Monthly!I26&amp;Monthly!$I$10))</f>
        <v>9</v>
      </c>
      <c r="K26" s="11">
        <f>IF(I26="-","-",IF(SUMIF(Loads!$A$1:$A$13458,Monthly!I26&amp;Monthly!$I$10,Loads!$K:$K)=0,"-",SUMIF(Loads!$A$1:$A$13458,Monthly!I26&amp;Monthly!$I$10,Loads!$K:$K)))</f>
        <v>117020</v>
      </c>
      <c r="L26" s="12" cm="1">
        <f t="array" ref="L26">IFERROR(SUMPRODUCT(--(Loads!$A$1:$A$13458=Monthly!I26&amp;$I$10),Loads!$L$1:$L$13458,Loads!$K$1:$K$13458)/K26,"-")</f>
        <v>60.748114852162018</v>
      </c>
      <c r="M26" s="12" cm="1">
        <f t="array" ref="M26">IFERROR(SUMPRODUCT(--(Loads!$A$1:$A$13458=Monthly!I26&amp;$I$10),Loads!$M$1:$M$13458,Loads!$K$1:$K$13458)/K26,"-")</f>
        <v>9.6196017774739353</v>
      </c>
      <c r="N26" s="45"/>
      <c r="O26" s="74">
        <f t="shared" si="2"/>
        <v>44270</v>
      </c>
      <c r="P26" s="14">
        <f>IF(O26="-","-",COUNTIF(Loads!$A$1:$A$13458,Monthly!O26&amp;Monthly!$O$10))</f>
        <v>2</v>
      </c>
      <c r="Q26" s="14">
        <f>IF(O26="-","-",IF(SUMIF(Loads!$A$1:$A$13458,Monthly!O26&amp;Monthly!$O$10,Loads!$K:$K)=0,"-",SUMIF(Loads!$A$1:$A$13458,Monthly!O26&amp;Monthly!$O$10,Loads!$K:$K)))</f>
        <v>24300</v>
      </c>
      <c r="R26" s="15" cm="1">
        <f t="array" ref="R26">IFERROR(SUMPRODUCT(--(Loads!$A$1:$A$13458=Monthly!O26&amp;$O$10),Loads!$L$1:$L$13458,Loads!$K$1:$K$13458)/Q26,"-")</f>
        <v>59.789761316872429</v>
      </c>
      <c r="S26" s="15" cm="1">
        <f t="array" ref="S26">IFERROR(SUMPRODUCT(--(Loads!$A$1:$A$13458=Monthly!O26&amp;$O$10),Loads!$M$1:$M$13458,Loads!$K$1:$K$13458)/Q26,"-")</f>
        <v>10.791893004115225</v>
      </c>
      <c r="T26" s="45"/>
      <c r="U26" s="75">
        <f t="shared" si="3"/>
        <v>44270</v>
      </c>
      <c r="V26" s="17">
        <f>IF(U26="-","-",COUNTIF(Loads!$A$1:$A$13458,Monthly!U26&amp;Monthly!$U$10))</f>
        <v>2</v>
      </c>
      <c r="W26" s="17">
        <f>IF(U26="-","-",IF(SUMIF(Loads!$A$1:$A$13458,Monthly!U26&amp;Monthly!$U$10,Loads!$K:$K)=0,"-",SUMIF(Loads!$A$1:$A$13458,Monthly!U26&amp;Monthly!$U$10,Loads!$K:$K)))</f>
        <v>67060</v>
      </c>
      <c r="X26" s="18" cm="1">
        <f t="array" ref="X26">IFERROR(SUMPRODUCT(--(Loads!$A$1:$A$13458=Monthly!U26&amp;$U$10),Loads!$L$1:$L$13458,Loads!$K$1:$K$13458)/W26,"-")</f>
        <v>7.6421204891142258</v>
      </c>
      <c r="Y26" s="18" cm="1">
        <f t="array" ref="Y26">IFERROR(SUMPRODUCT(--(Loads!$A$1:$A$13458=Monthly!U26&amp;$U$10),Loads!$M$1:$M$13458,Loads!$K$1:$K$13458)/W26,"-")</f>
        <v>66.165082016104989</v>
      </c>
      <c r="Z26" s="79"/>
    </row>
    <row r="27" spans="2:26" x14ac:dyDescent="0.35">
      <c r="B27" s="44"/>
      <c r="C27" s="64">
        <f t="shared" si="0"/>
        <v>44271</v>
      </c>
      <c r="D27" s="39">
        <f>IF(C27="-","-",COUNTIF(Loads!$A$1:$A$13458,Monthly!C27&amp;Monthly!$C$10))</f>
        <v>9</v>
      </c>
      <c r="E27" s="39">
        <f>IF(C27="-","-",IF(SUMIF(Loads!$A$1:$A$13458,Monthly!C27&amp;Monthly!$C$10,Loads!$K:$K)=0,"-",SUMIF(Loads!$A$1:$A$13458,Monthly!C27&amp;Monthly!$C$10,Loads!$K:$K)))</f>
        <v>260240</v>
      </c>
      <c r="F27" s="40" cm="1">
        <f t="array" ref="F27">IFERROR(SUMPRODUCT(--(Loads!$A$1:$A$13458=Monthly!C27&amp;$C$10),Loads!$L$1:$L$13458,Loads!$K$1:$K$13458)/E27,"-")</f>
        <v>7.7177482324008588</v>
      </c>
      <c r="G27" s="40" cm="1">
        <f t="array" ref="G27">IFERROR(SUMPRODUCT(--(Loads!$A$1:$A$13458=Monthly!C27&amp;$C$10),Loads!$M$1:$M$13458,Loads!$K$1:$K$13458)/E27,"-")</f>
        <v>20.989582692898864</v>
      </c>
      <c r="H27" s="45"/>
      <c r="I27" s="69">
        <f t="shared" si="1"/>
        <v>44271</v>
      </c>
      <c r="J27" s="11">
        <f>IF(I27="-","-",COUNTIF(Loads!$A$1:$A$13458,Monthly!I27&amp;Monthly!$I$10))</f>
        <v>10</v>
      </c>
      <c r="K27" s="11">
        <f>IF(I27="-","-",IF(SUMIF(Loads!$A$1:$A$13458,Monthly!I27&amp;Monthly!$I$10,Loads!$K:$K)=0,"-",SUMIF(Loads!$A$1:$A$13458,Monthly!I27&amp;Monthly!$I$10,Loads!$K:$K)))</f>
        <v>119620</v>
      </c>
      <c r="L27" s="12" cm="1">
        <f t="array" ref="L27">IFERROR(SUMPRODUCT(--(Loads!$A$1:$A$13458=Monthly!I27&amp;$I$10),Loads!$L$1:$L$13458,Loads!$K$1:$K$13458)/K27,"-")</f>
        <v>60.459964888814575</v>
      </c>
      <c r="M27" s="12" cm="1">
        <f t="array" ref="M27">IFERROR(SUMPRODUCT(--(Loads!$A$1:$A$13458=Monthly!I27&amp;$I$10),Loads!$M$1:$M$13458,Loads!$K$1:$K$13458)/K27,"-")</f>
        <v>9.6619143955860221</v>
      </c>
      <c r="N27" s="45"/>
      <c r="O27" s="74">
        <f t="shared" si="2"/>
        <v>44271</v>
      </c>
      <c r="P27" s="14">
        <f>IF(O27="-","-",COUNTIF(Loads!$A$1:$A$13458,Monthly!O27&amp;Monthly!$O$10))</f>
        <v>3</v>
      </c>
      <c r="Q27" s="14">
        <f>IF(O27="-","-",IF(SUMIF(Loads!$A$1:$A$13458,Monthly!O27&amp;Monthly!$O$10,Loads!$K:$K)=0,"-",SUMIF(Loads!$A$1:$A$13458,Monthly!O27&amp;Monthly!$O$10,Loads!$K:$K)))</f>
        <v>39120</v>
      </c>
      <c r="R27" s="15" cm="1">
        <f t="array" ref="R27">IFERROR(SUMPRODUCT(--(Loads!$A$1:$A$13458=Monthly!O27&amp;$O$10),Loads!$L$1:$L$13458,Loads!$K$1:$K$13458)/Q27,"-")</f>
        <v>57.47515337423313</v>
      </c>
      <c r="S27" s="15" cm="1">
        <f t="array" ref="S27">IFERROR(SUMPRODUCT(--(Loads!$A$1:$A$13458=Monthly!O27&amp;$O$10),Loads!$M$1:$M$13458,Loads!$K$1:$K$13458)/Q27,"-")</f>
        <v>10.548476482617588</v>
      </c>
      <c r="T27" s="45"/>
      <c r="U27" s="75">
        <f t="shared" si="3"/>
        <v>44271</v>
      </c>
      <c r="V27" s="17">
        <f>IF(U27="-","-",COUNTIF(Loads!$A$1:$A$13458,Monthly!U27&amp;Monthly!$U$10))</f>
        <v>3</v>
      </c>
      <c r="W27" s="17">
        <f>IF(U27="-","-",IF(SUMIF(Loads!$A$1:$A$13458,Monthly!U27&amp;Monthly!$U$10,Loads!$K:$K)=0,"-",SUMIF(Loads!$A$1:$A$13458,Monthly!U27&amp;Monthly!$U$10,Loads!$K:$K)))</f>
        <v>54460</v>
      </c>
      <c r="X27" s="18" cm="1">
        <f t="array" ref="X27">IFERROR(SUMPRODUCT(--(Loads!$A$1:$A$13458=Monthly!U27&amp;$U$10),Loads!$L$1:$L$13458,Loads!$K$1:$K$13458)/W27,"-")</f>
        <v>7.5750936467131833</v>
      </c>
      <c r="Y27" s="18" cm="1">
        <f t="array" ref="Y27">IFERROR(SUMPRODUCT(--(Loads!$A$1:$A$13458=Monthly!U27&amp;$U$10),Loads!$M$1:$M$13458,Loads!$K$1:$K$13458)/W27,"-")</f>
        <v>62.117150201983101</v>
      </c>
      <c r="Z27" s="79"/>
    </row>
    <row r="28" spans="2:26" x14ac:dyDescent="0.35">
      <c r="B28" s="44"/>
      <c r="C28" s="64">
        <f t="shared" si="0"/>
        <v>44272</v>
      </c>
      <c r="D28" s="39">
        <f>IF(C28="-","-",COUNTIF(Loads!$A$1:$A$13458,Monthly!C28&amp;Monthly!$C$10))</f>
        <v>6</v>
      </c>
      <c r="E28" s="39">
        <f>IF(C28="-","-",IF(SUMIF(Loads!$A$1:$A$13458,Monthly!C28&amp;Monthly!$C$10,Loads!$K:$K)=0,"-",SUMIF(Loads!$A$1:$A$13458,Monthly!C28&amp;Monthly!$C$10,Loads!$K:$K)))</f>
        <v>137180</v>
      </c>
      <c r="F28" s="40" cm="1">
        <f t="array" ref="F28">IFERROR(SUMPRODUCT(--(Loads!$A$1:$A$13458=Monthly!C28&amp;$C$10),Loads!$L$1:$L$13458,Loads!$K$1:$K$13458)/E28,"-")</f>
        <v>8.0115206298294197</v>
      </c>
      <c r="G28" s="40" cm="1">
        <f t="array" ref="G28">IFERROR(SUMPRODUCT(--(Loads!$A$1:$A$13458=Monthly!C28&amp;$C$10),Loads!$M$1:$M$13458,Loads!$K$1:$K$13458)/E28,"-")</f>
        <v>21.813799387665842</v>
      </c>
      <c r="H28" s="45"/>
      <c r="I28" s="69">
        <f t="shared" si="1"/>
        <v>44272</v>
      </c>
      <c r="J28" s="11">
        <f>IF(I28="-","-",COUNTIF(Loads!$A$1:$A$13458,Monthly!I28&amp;Monthly!$I$10))</f>
        <v>11</v>
      </c>
      <c r="K28" s="11">
        <f>IF(I28="-","-",IF(SUMIF(Loads!$A$1:$A$13458,Monthly!I28&amp;Monthly!$I$10,Loads!$K:$K)=0,"-",SUMIF(Loads!$A$1:$A$13458,Monthly!I28&amp;Monthly!$I$10,Loads!$K:$K)))</f>
        <v>137660</v>
      </c>
      <c r="L28" s="12" cm="1">
        <f t="array" ref="L28">IFERROR(SUMPRODUCT(--(Loads!$A$1:$A$13458=Monthly!I28&amp;$I$10),Loads!$L$1:$L$13458,Loads!$K$1:$K$13458)/K28,"-")</f>
        <v>56.317501089641148</v>
      </c>
      <c r="M28" s="12" cm="1">
        <f t="array" ref="M28">IFERROR(SUMPRODUCT(--(Loads!$A$1:$A$13458=Monthly!I28&amp;$I$10),Loads!$M$1:$M$13458,Loads!$K$1:$K$13458)/K28,"-")</f>
        <v>11.668596542205435</v>
      </c>
      <c r="N28" s="45"/>
      <c r="O28" s="74">
        <f t="shared" si="2"/>
        <v>44272</v>
      </c>
      <c r="P28" s="14">
        <f>IF(O28="-","-",COUNTIF(Loads!$A$1:$A$13458,Monthly!O28&amp;Monthly!$O$10))</f>
        <v>2</v>
      </c>
      <c r="Q28" s="14">
        <f>IF(O28="-","-",IF(SUMIF(Loads!$A$1:$A$13458,Monthly!O28&amp;Monthly!$O$10,Loads!$K:$K)=0,"-",SUMIF(Loads!$A$1:$A$13458,Monthly!O28&amp;Monthly!$O$10,Loads!$K:$K)))</f>
        <v>22980</v>
      </c>
      <c r="R28" s="15" cm="1">
        <f t="array" ref="R28">IFERROR(SUMPRODUCT(--(Loads!$A$1:$A$13458=Monthly!O28&amp;$O$10),Loads!$L$1:$L$13458,Loads!$K$1:$K$13458)/Q28,"-")</f>
        <v>54.777719756309835</v>
      </c>
      <c r="S28" s="15" cm="1">
        <f t="array" ref="S28">IFERROR(SUMPRODUCT(--(Loads!$A$1:$A$13458=Monthly!O28&amp;$O$10),Loads!$M$1:$M$13458,Loads!$K$1:$K$13458)/Q28,"-")</f>
        <v>11.413933855526546</v>
      </c>
      <c r="T28" s="45"/>
      <c r="U28" s="75">
        <f t="shared" si="3"/>
        <v>44272</v>
      </c>
      <c r="V28" s="17">
        <f>IF(U28="-","-",COUNTIF(Loads!$A$1:$A$13458,Monthly!U28&amp;Monthly!$U$10))</f>
        <v>1</v>
      </c>
      <c r="W28" s="17">
        <f>IF(U28="-","-",IF(SUMIF(Loads!$A$1:$A$13458,Monthly!U28&amp;Monthly!$U$10,Loads!$K:$K)=0,"-",SUMIF(Loads!$A$1:$A$13458,Monthly!U28&amp;Monthly!$U$10,Loads!$K:$K)))</f>
        <v>35100</v>
      </c>
      <c r="X28" s="18" cm="1">
        <f t="array" ref="X28">IFERROR(SUMPRODUCT(--(Loads!$A$1:$A$13458=Monthly!U28&amp;$U$10),Loads!$L$1:$L$13458,Loads!$K$1:$K$13458)/W28,"-")</f>
        <v>6.86</v>
      </c>
      <c r="Y28" s="18" cm="1">
        <f t="array" ref="Y28">IFERROR(SUMPRODUCT(--(Loads!$A$1:$A$13458=Monthly!U28&amp;$U$10),Loads!$M$1:$M$13458,Loads!$K$1:$K$13458)/W28,"-")</f>
        <v>65.06</v>
      </c>
      <c r="Z28" s="79"/>
    </row>
    <row r="29" spans="2:26" x14ac:dyDescent="0.35">
      <c r="B29" s="44"/>
      <c r="C29" s="64">
        <f t="shared" si="0"/>
        <v>44273</v>
      </c>
      <c r="D29" s="39">
        <f>IF(C29="-","-",COUNTIF(Loads!$A$1:$A$13458,Monthly!C29&amp;Monthly!$C$10))</f>
        <v>5</v>
      </c>
      <c r="E29" s="39">
        <f>IF(C29="-","-",IF(SUMIF(Loads!$A$1:$A$13458,Monthly!C29&amp;Monthly!$C$10,Loads!$K:$K)=0,"-",SUMIF(Loads!$A$1:$A$13458,Monthly!C29&amp;Monthly!$C$10,Loads!$K:$K)))</f>
        <v>108760</v>
      </c>
      <c r="F29" s="40" cm="1">
        <f t="array" ref="F29">IFERROR(SUMPRODUCT(--(Loads!$A$1:$A$13458=Monthly!C29&amp;$C$10),Loads!$L$1:$L$13458,Loads!$K$1:$K$13458)/E29,"-")</f>
        <v>9.504930121368151</v>
      </c>
      <c r="G29" s="40" cm="1">
        <f t="array" ref="G29">IFERROR(SUMPRODUCT(--(Loads!$A$1:$A$13458=Monthly!C29&amp;$C$10),Loads!$M$1:$M$13458,Loads!$K$1:$K$13458)/E29,"-")</f>
        <v>22.398957337256348</v>
      </c>
      <c r="H29" s="45"/>
      <c r="I29" s="69">
        <f t="shared" si="1"/>
        <v>44273</v>
      </c>
      <c r="J29" s="11">
        <f>IF(I29="-","-",COUNTIF(Loads!$A$1:$A$13458,Monthly!I29&amp;Monthly!$I$10))</f>
        <v>10</v>
      </c>
      <c r="K29" s="11">
        <f>IF(I29="-","-",IF(SUMIF(Loads!$A$1:$A$13458,Monthly!I29&amp;Monthly!$I$10,Loads!$K:$K)=0,"-",SUMIF(Loads!$A$1:$A$13458,Monthly!I29&amp;Monthly!$I$10,Loads!$K:$K)))</f>
        <v>123800</v>
      </c>
      <c r="L29" s="12" cm="1">
        <f t="array" ref="L29">IFERROR(SUMPRODUCT(--(Loads!$A$1:$A$13458=Monthly!I29&amp;$I$10),Loads!$L$1:$L$13458,Loads!$K$1:$K$13458)/K29,"-")</f>
        <v>60.240067851373183</v>
      </c>
      <c r="M29" s="12" cm="1">
        <f t="array" ref="M29">IFERROR(SUMPRODUCT(--(Loads!$A$1:$A$13458=Monthly!I29&amp;$I$10),Loads!$M$1:$M$13458,Loads!$K$1:$K$13458)/K29,"-")</f>
        <v>9.9226672051696294</v>
      </c>
      <c r="N29" s="45"/>
      <c r="O29" s="74">
        <f t="shared" si="2"/>
        <v>44273</v>
      </c>
      <c r="P29" s="14">
        <f>IF(O29="-","-",COUNTIF(Loads!$A$1:$A$13458,Monthly!O29&amp;Monthly!$O$10))</f>
        <v>0</v>
      </c>
      <c r="Q29" s="14" t="str">
        <f>IF(O29="-","-",IF(SUMIF(Loads!$A$1:$A$13458,Monthly!O29&amp;Monthly!$O$10,Loads!$K:$K)=0,"-",SUMIF(Loads!$A$1:$A$13458,Monthly!O29&amp;Monthly!$O$10,Loads!$K:$K)))</f>
        <v>-</v>
      </c>
      <c r="R29" s="15" t="str" cm="1">
        <f t="array" ref="R29">IFERROR(SUMPRODUCT(--(Loads!$A$1:$A$13458=Monthly!O29&amp;$O$10),Loads!$L$1:$L$13458,Loads!$K$1:$K$13458)/Q29,"-")</f>
        <v>-</v>
      </c>
      <c r="S29" s="15" t="str" cm="1">
        <f t="array" ref="S29">IFERROR(SUMPRODUCT(--(Loads!$A$1:$A$13458=Monthly!O29&amp;$O$10),Loads!$M$1:$M$13458,Loads!$K$1:$K$13458)/Q29,"-")</f>
        <v>-</v>
      </c>
      <c r="T29" s="45"/>
      <c r="U29" s="75">
        <f t="shared" si="3"/>
        <v>44273</v>
      </c>
      <c r="V29" s="17">
        <f>IF(U29="-","-",COUNTIF(Loads!$A$1:$A$13458,Monthly!U29&amp;Monthly!$U$10))</f>
        <v>3</v>
      </c>
      <c r="W29" s="17">
        <f>IF(U29="-","-",IF(SUMIF(Loads!$A$1:$A$13458,Monthly!U29&amp;Monthly!$U$10,Loads!$K:$K)=0,"-",SUMIF(Loads!$A$1:$A$13458,Monthly!U29&amp;Monthly!$U$10,Loads!$K:$K)))</f>
        <v>92260</v>
      </c>
      <c r="X29" s="18" cm="1">
        <f t="array" ref="X29">IFERROR(SUMPRODUCT(--(Loads!$A$1:$A$13458=Monthly!U29&amp;$U$10),Loads!$L$1:$L$13458,Loads!$K$1:$K$13458)/W29,"-")</f>
        <v>9.3543225666594392</v>
      </c>
      <c r="Y29" s="18" cm="1">
        <f t="array" ref="Y29">IFERROR(SUMPRODUCT(--(Loads!$A$1:$A$13458=Monthly!U29&amp;$U$10),Loads!$M$1:$M$13458,Loads!$K$1:$K$13458)/W29,"-")</f>
        <v>61.611177108172555</v>
      </c>
      <c r="Z29" s="79"/>
    </row>
    <row r="30" spans="2:26" x14ac:dyDescent="0.35">
      <c r="B30" s="44"/>
      <c r="C30" s="64">
        <f t="shared" si="0"/>
        <v>44274</v>
      </c>
      <c r="D30" s="39">
        <f>IF(C30="-","-",COUNTIF(Loads!$A$1:$A$13458,Monthly!C30&amp;Monthly!$C$10))</f>
        <v>2</v>
      </c>
      <c r="E30" s="39">
        <f>IF(C30="-","-",IF(SUMIF(Loads!$A$1:$A$13458,Monthly!C30&amp;Monthly!$C$10,Loads!$K:$K)=0,"-",SUMIF(Loads!$A$1:$A$13458,Monthly!C30&amp;Monthly!$C$10,Loads!$K:$K)))</f>
        <v>46980</v>
      </c>
      <c r="F30" s="40" cm="1">
        <f t="array" ref="F30">IFERROR(SUMPRODUCT(--(Loads!$A$1:$A$13458=Monthly!C30&amp;$C$10),Loads!$L$1:$L$13458,Loads!$K$1:$K$13458)/E30,"-")</f>
        <v>9.7561515538527033</v>
      </c>
      <c r="G30" s="40" cm="1">
        <f t="array" ref="G30">IFERROR(SUMPRODUCT(--(Loads!$A$1:$A$13458=Monthly!C30&amp;$C$10),Loads!$M$1:$M$13458,Loads!$K$1:$K$13458)/E30,"-")</f>
        <v>21.771762452107279</v>
      </c>
      <c r="H30" s="45"/>
      <c r="I30" s="69">
        <f t="shared" si="1"/>
        <v>44274</v>
      </c>
      <c r="J30" s="11">
        <f>IF(I30="-","-",COUNTIF(Loads!$A$1:$A$13458,Monthly!I30&amp;Monthly!$I$10))</f>
        <v>7</v>
      </c>
      <c r="K30" s="11">
        <f>IF(I30="-","-",IF(SUMIF(Loads!$A$1:$A$13458,Monthly!I30&amp;Monthly!$I$10,Loads!$K:$K)=0,"-",SUMIF(Loads!$A$1:$A$13458,Monthly!I30&amp;Monthly!$I$10,Loads!$K:$K)))</f>
        <v>86600</v>
      </c>
      <c r="L30" s="12" cm="1">
        <f t="array" ref="L30">IFERROR(SUMPRODUCT(--(Loads!$A$1:$A$13458=Monthly!I30&amp;$I$10),Loads!$L$1:$L$13458,Loads!$K$1:$K$13458)/K30,"-")</f>
        <v>61.914681293302543</v>
      </c>
      <c r="M30" s="12" cm="1">
        <f t="array" ref="M30">IFERROR(SUMPRODUCT(--(Loads!$A$1:$A$13458=Monthly!I30&amp;$I$10),Loads!$M$1:$M$13458,Loads!$K$1:$K$13458)/K30,"-")</f>
        <v>10.37713625866051</v>
      </c>
      <c r="N30" s="45"/>
      <c r="O30" s="74">
        <f t="shared" si="2"/>
        <v>44274</v>
      </c>
      <c r="P30" s="14">
        <f>IF(O30="-","-",COUNTIF(Loads!$A$1:$A$13458,Monthly!O30&amp;Monthly!$O$10))</f>
        <v>3</v>
      </c>
      <c r="Q30" s="14">
        <f>IF(O30="-","-",IF(SUMIF(Loads!$A$1:$A$13458,Monthly!O30&amp;Monthly!$O$10,Loads!$K:$K)=0,"-",SUMIF(Loads!$A$1:$A$13458,Monthly!O30&amp;Monthly!$O$10,Loads!$K:$K)))</f>
        <v>34480</v>
      </c>
      <c r="R30" s="15" cm="1">
        <f t="array" ref="R30">IFERROR(SUMPRODUCT(--(Loads!$A$1:$A$13458=Monthly!O30&amp;$O$10),Loads!$L$1:$L$13458,Loads!$K$1:$K$13458)/Q30,"-")</f>
        <v>57.599153132250578</v>
      </c>
      <c r="S30" s="15" cm="1">
        <f t="array" ref="S30">IFERROR(SUMPRODUCT(--(Loads!$A$1:$A$13458=Monthly!O30&amp;$O$10),Loads!$M$1:$M$13458,Loads!$K$1:$K$13458)/Q30,"-")</f>
        <v>10.669008120649652</v>
      </c>
      <c r="T30" s="45"/>
      <c r="U30" s="75">
        <f t="shared" si="3"/>
        <v>44274</v>
      </c>
      <c r="V30" s="17">
        <f>IF(U30="-","-",COUNTIF(Loads!$A$1:$A$13458,Monthly!U30&amp;Monthly!$U$10))</f>
        <v>3</v>
      </c>
      <c r="W30" s="17">
        <f>IF(U30="-","-",IF(SUMIF(Loads!$A$1:$A$13458,Monthly!U30&amp;Monthly!$U$10,Loads!$K:$K)=0,"-",SUMIF(Loads!$A$1:$A$13458,Monthly!U30&amp;Monthly!$U$10,Loads!$K:$K)))</f>
        <v>83020</v>
      </c>
      <c r="X30" s="18" cm="1">
        <f t="array" ref="X30">IFERROR(SUMPRODUCT(--(Loads!$A$1:$A$13458=Monthly!U30&amp;$U$10),Loads!$L$1:$L$13458,Loads!$K$1:$K$13458)/W30,"-")</f>
        <v>7.5983064321850158</v>
      </c>
      <c r="Y30" s="18" cm="1">
        <f t="array" ref="Y30">IFERROR(SUMPRODUCT(--(Loads!$A$1:$A$13458=Monthly!U30&amp;$U$10),Loads!$M$1:$M$13458,Loads!$K$1:$K$13458)/W30,"-")</f>
        <v>62.454439894001453</v>
      </c>
      <c r="Z30" s="79"/>
    </row>
    <row r="31" spans="2:26" x14ac:dyDescent="0.35">
      <c r="B31" s="44"/>
      <c r="C31" s="64">
        <f t="shared" si="0"/>
        <v>44275</v>
      </c>
      <c r="D31" s="39">
        <f>IF(C31="-","-",COUNTIF(Loads!$A$1:$A$13458,Monthly!C31&amp;Monthly!$C$10))</f>
        <v>6</v>
      </c>
      <c r="E31" s="39">
        <f>IF(C31="-","-",IF(SUMIF(Loads!$A$1:$A$13458,Monthly!C31&amp;Monthly!$C$10,Loads!$K:$K)=0,"-",SUMIF(Loads!$A$1:$A$13458,Monthly!C31&amp;Monthly!$C$10,Loads!$K:$K)))</f>
        <v>124160</v>
      </c>
      <c r="F31" s="40" cm="1">
        <f t="array" ref="F31">IFERROR(SUMPRODUCT(--(Loads!$A$1:$A$13458=Monthly!C31&amp;$C$10),Loads!$L$1:$L$13458,Loads!$K$1:$K$13458)/E31,"-")</f>
        <v>9.3077657860824736</v>
      </c>
      <c r="G31" s="40" cm="1">
        <f t="array" ref="G31">IFERROR(SUMPRODUCT(--(Loads!$A$1:$A$13458=Monthly!C31&amp;$C$10),Loads!$M$1:$M$13458,Loads!$K$1:$K$13458)/E31,"-")</f>
        <v>22.387661082474228</v>
      </c>
      <c r="H31" s="45"/>
      <c r="I31" s="69">
        <f t="shared" si="1"/>
        <v>44275</v>
      </c>
      <c r="J31" s="11">
        <f>IF(I31="-","-",COUNTIF(Loads!$A$1:$A$13458,Monthly!I31&amp;Monthly!$I$10))</f>
        <v>17</v>
      </c>
      <c r="K31" s="11">
        <f>IF(I31="-","-",IF(SUMIF(Loads!$A$1:$A$13458,Monthly!I31&amp;Monthly!$I$10,Loads!$K:$K)=0,"-",SUMIF(Loads!$A$1:$A$13458,Monthly!I31&amp;Monthly!$I$10,Loads!$K:$K)))</f>
        <v>218860</v>
      </c>
      <c r="L31" s="12" cm="1">
        <f t="array" ref="L31">IFERROR(SUMPRODUCT(--(Loads!$A$1:$A$13458=Monthly!I31&amp;$I$10),Loads!$L$1:$L$13458,Loads!$K$1:$K$13458)/K31,"-")</f>
        <v>60.907815955405283</v>
      </c>
      <c r="M31" s="12" cm="1">
        <f t="array" ref="M31">IFERROR(SUMPRODUCT(--(Loads!$A$1:$A$13458=Monthly!I31&amp;$I$10),Loads!$M$1:$M$13458,Loads!$K$1:$K$13458)/K31,"-")</f>
        <v>10.119144658685915</v>
      </c>
      <c r="N31" s="45"/>
      <c r="O31" s="74">
        <f t="shared" si="2"/>
        <v>44275</v>
      </c>
      <c r="P31" s="14">
        <f>IF(O31="-","-",COUNTIF(Loads!$A$1:$A$13458,Monthly!O31&amp;Monthly!$O$10))</f>
        <v>1</v>
      </c>
      <c r="Q31" s="14">
        <f>IF(O31="-","-",IF(SUMIF(Loads!$A$1:$A$13458,Monthly!O31&amp;Monthly!$O$10,Loads!$K:$K)=0,"-",SUMIF(Loads!$A$1:$A$13458,Monthly!O31&amp;Monthly!$O$10,Loads!$K:$K)))</f>
        <v>11180</v>
      </c>
      <c r="R31" s="15" cm="1">
        <f t="array" ref="R31">IFERROR(SUMPRODUCT(--(Loads!$A$1:$A$13458=Monthly!O31&amp;$O$10),Loads!$L$1:$L$13458,Loads!$K$1:$K$13458)/Q31,"-")</f>
        <v>57.18</v>
      </c>
      <c r="S31" s="15" cm="1">
        <f t="array" ref="S31">IFERROR(SUMPRODUCT(--(Loads!$A$1:$A$13458=Monthly!O31&amp;$O$10),Loads!$M$1:$M$13458,Loads!$K$1:$K$13458)/Q31,"-")</f>
        <v>10.91</v>
      </c>
      <c r="T31" s="45"/>
      <c r="U31" s="75">
        <f t="shared" si="3"/>
        <v>44275</v>
      </c>
      <c r="V31" s="17">
        <f>IF(U31="-","-",COUNTIF(Loads!$A$1:$A$13458,Monthly!U31&amp;Monthly!$U$10))</f>
        <v>0</v>
      </c>
      <c r="W31" s="17" t="str">
        <f>IF(U31="-","-",IF(SUMIF(Loads!$A$1:$A$13458,Monthly!U31&amp;Monthly!$U$10,Loads!$K:$K)=0,"-",SUMIF(Loads!$A$1:$A$13458,Monthly!U31&amp;Monthly!$U$10,Loads!$K:$K)))</f>
        <v>-</v>
      </c>
      <c r="X31" s="18" t="str" cm="1">
        <f t="array" ref="X31">IFERROR(SUMPRODUCT(--(Loads!$A$1:$A$13458=Monthly!U31&amp;$U$10),Loads!$L$1:$L$13458,Loads!$K$1:$K$13458)/W31,"-")</f>
        <v>-</v>
      </c>
      <c r="Y31" s="18" t="str" cm="1">
        <f t="array" ref="Y31">IFERROR(SUMPRODUCT(--(Loads!$A$1:$A$13458=Monthly!U31&amp;$U$10),Loads!$M$1:$M$13458,Loads!$K$1:$K$13458)/W31,"-")</f>
        <v>-</v>
      </c>
      <c r="Z31" s="79"/>
    </row>
    <row r="32" spans="2:26" x14ac:dyDescent="0.35">
      <c r="B32" s="44"/>
      <c r="C32" s="64">
        <f t="shared" si="0"/>
        <v>44276</v>
      </c>
      <c r="D32" s="39">
        <f>IF(C32="-","-",COUNTIF(Loads!$A$1:$A$13458,Monthly!C32&amp;Monthly!$C$10))</f>
        <v>16</v>
      </c>
      <c r="E32" s="39">
        <f>IF(C32="-","-",IF(SUMIF(Loads!$A$1:$A$13458,Monthly!C32&amp;Monthly!$C$10,Loads!$K:$K)=0,"-",SUMIF(Loads!$A$1:$A$13458,Monthly!C32&amp;Monthly!$C$10,Loads!$K:$K)))</f>
        <v>453560</v>
      </c>
      <c r="F32" s="40" cm="1">
        <f t="array" ref="F32">IFERROR(SUMPRODUCT(--(Loads!$A$1:$A$13458=Monthly!C32&amp;$C$10),Loads!$L$1:$L$13458,Loads!$K$1:$K$13458)/E32,"-")</f>
        <v>8.4005459035188288</v>
      </c>
      <c r="G32" s="40" cm="1">
        <f t="array" ref="G32">IFERROR(SUMPRODUCT(--(Loads!$A$1:$A$13458=Monthly!C32&amp;$C$10),Loads!$M$1:$M$13458,Loads!$K$1:$K$13458)/E32,"-")</f>
        <v>22.443455331157949</v>
      </c>
      <c r="H32" s="45"/>
      <c r="I32" s="69">
        <f t="shared" si="1"/>
        <v>44276</v>
      </c>
      <c r="J32" s="11">
        <f>IF(I32="-","-",COUNTIF(Loads!$A$1:$A$13458,Monthly!I32&amp;Monthly!$I$10))</f>
        <v>9</v>
      </c>
      <c r="K32" s="11">
        <f>IF(I32="-","-",IF(SUMIF(Loads!$A$1:$A$13458,Monthly!I32&amp;Monthly!$I$10,Loads!$K:$K)=0,"-",SUMIF(Loads!$A$1:$A$13458,Monthly!I32&amp;Monthly!$I$10,Loads!$K:$K)))</f>
        <v>116140</v>
      </c>
      <c r="L32" s="12" cm="1">
        <f t="array" ref="L32">IFERROR(SUMPRODUCT(--(Loads!$A$1:$A$13458=Monthly!I32&amp;$I$10),Loads!$L$1:$L$13458,Loads!$K$1:$K$13458)/K32,"-")</f>
        <v>61.487964525572586</v>
      </c>
      <c r="M32" s="12" cm="1">
        <f t="array" ref="M32">IFERROR(SUMPRODUCT(--(Loads!$A$1:$A$13458=Monthly!I32&amp;$I$10),Loads!$M$1:$M$13458,Loads!$K$1:$K$13458)/K32,"-")</f>
        <v>10.486681591183055</v>
      </c>
      <c r="N32" s="45"/>
      <c r="O32" s="74">
        <f t="shared" si="2"/>
        <v>44276</v>
      </c>
      <c r="P32" s="14">
        <f>IF(O32="-","-",COUNTIF(Loads!$A$1:$A$13458,Monthly!O32&amp;Monthly!$O$10))</f>
        <v>0</v>
      </c>
      <c r="Q32" s="14" t="str">
        <f>IF(O32="-","-",IF(SUMIF(Loads!$A$1:$A$13458,Monthly!O32&amp;Monthly!$O$10,Loads!$K:$K)=0,"-",SUMIF(Loads!$A$1:$A$13458,Monthly!O32&amp;Monthly!$O$10,Loads!$K:$K)))</f>
        <v>-</v>
      </c>
      <c r="R32" s="15" t="str" cm="1">
        <f t="array" ref="R32">IFERROR(SUMPRODUCT(--(Loads!$A$1:$A$13458=Monthly!O32&amp;$O$10),Loads!$L$1:$L$13458,Loads!$K$1:$K$13458)/Q32,"-")</f>
        <v>-</v>
      </c>
      <c r="S32" s="15" t="str" cm="1">
        <f t="array" ref="S32">IFERROR(SUMPRODUCT(--(Loads!$A$1:$A$13458=Monthly!O32&amp;$O$10),Loads!$M$1:$M$13458,Loads!$K$1:$K$13458)/Q32,"-")</f>
        <v>-</v>
      </c>
      <c r="T32" s="45"/>
      <c r="U32" s="75">
        <f t="shared" si="3"/>
        <v>44276</v>
      </c>
      <c r="V32" s="17">
        <f>IF(U32="-","-",COUNTIF(Loads!$A$1:$A$13458,Monthly!U32&amp;Monthly!$U$10))</f>
        <v>3</v>
      </c>
      <c r="W32" s="17">
        <f>IF(U32="-","-",IF(SUMIF(Loads!$A$1:$A$13458,Monthly!U32&amp;Monthly!$U$10,Loads!$K:$K)=0,"-",SUMIF(Loads!$A$1:$A$13458,Monthly!U32&amp;Monthly!$U$10,Loads!$K:$K)))</f>
        <v>97540</v>
      </c>
      <c r="X32" s="18" cm="1">
        <f t="array" ref="X32">IFERROR(SUMPRODUCT(--(Loads!$A$1:$A$13458=Monthly!U32&amp;$U$10),Loads!$L$1:$L$13458,Loads!$K$1:$K$13458)/W32,"-")</f>
        <v>10.275413163830224</v>
      </c>
      <c r="Y32" s="18" cm="1">
        <f t="array" ref="Y32">IFERROR(SUMPRODUCT(--(Loads!$A$1:$A$13458=Monthly!U32&amp;$U$10),Loads!$M$1:$M$13458,Loads!$K$1:$K$13458)/W32,"-")</f>
        <v>62.575983186385074</v>
      </c>
      <c r="Z32" s="79"/>
    </row>
    <row r="33" spans="2:26" x14ac:dyDescent="0.35">
      <c r="B33" s="44"/>
      <c r="C33" s="64">
        <f t="shared" si="0"/>
        <v>44277</v>
      </c>
      <c r="D33" s="39">
        <f>IF(C33="-","-",COUNTIF(Loads!$A$1:$A$13458,Monthly!C33&amp;Monthly!$C$10))</f>
        <v>9</v>
      </c>
      <c r="E33" s="39">
        <f>IF(C33="-","-",IF(SUMIF(Loads!$A$1:$A$13458,Monthly!C33&amp;Monthly!$C$10,Loads!$K:$K)=0,"-",SUMIF(Loads!$A$1:$A$13458,Monthly!C33&amp;Monthly!$C$10,Loads!$K:$K)))</f>
        <v>203940</v>
      </c>
      <c r="F33" s="40" cm="1">
        <f t="array" ref="F33">IFERROR(SUMPRODUCT(--(Loads!$A$1:$A$13458=Monthly!C33&amp;$C$10),Loads!$L$1:$L$13458,Loads!$K$1:$K$13458)/E33,"-")</f>
        <v>8.4000274590565844</v>
      </c>
      <c r="G33" s="40" cm="1">
        <f t="array" ref="G33">IFERROR(SUMPRODUCT(--(Loads!$A$1:$A$13458=Monthly!C33&amp;$C$10),Loads!$M$1:$M$13458,Loads!$K$1:$K$13458)/E33,"-")</f>
        <v>21.466387172697846</v>
      </c>
      <c r="H33" s="45"/>
      <c r="I33" s="69">
        <f t="shared" si="1"/>
        <v>44277</v>
      </c>
      <c r="J33" s="11">
        <f>IF(I33="-","-",COUNTIF(Loads!$A$1:$A$13458,Monthly!I33&amp;Monthly!$I$10))</f>
        <v>10</v>
      </c>
      <c r="K33" s="11">
        <f>IF(I33="-","-",IF(SUMIF(Loads!$A$1:$A$13458,Monthly!I33&amp;Monthly!$I$10,Loads!$K:$K)=0,"-",SUMIF(Loads!$A$1:$A$13458,Monthly!I33&amp;Monthly!$I$10,Loads!$K:$K)))</f>
        <v>124060</v>
      </c>
      <c r="L33" s="12" cm="1">
        <f t="array" ref="L33">IFERROR(SUMPRODUCT(--(Loads!$A$1:$A$13458=Monthly!I33&amp;$I$10),Loads!$L$1:$L$13458,Loads!$K$1:$K$13458)/K33,"-")</f>
        <v>62.226548444301152</v>
      </c>
      <c r="M33" s="12" cm="1">
        <f t="array" ref="M33">IFERROR(SUMPRODUCT(--(Loads!$A$1:$A$13458=Monthly!I33&amp;$I$10),Loads!$M$1:$M$13458,Loads!$K$1:$K$13458)/K33,"-")</f>
        <v>9.8180831855553752</v>
      </c>
      <c r="N33" s="45"/>
      <c r="O33" s="74">
        <f t="shared" si="2"/>
        <v>44277</v>
      </c>
      <c r="P33" s="14">
        <f>IF(O33="-","-",COUNTIF(Loads!$A$1:$A$13458,Monthly!O33&amp;Monthly!$O$10))</f>
        <v>4</v>
      </c>
      <c r="Q33" s="14">
        <f>IF(O33="-","-",IF(SUMIF(Loads!$A$1:$A$13458,Monthly!O33&amp;Monthly!$O$10,Loads!$K:$K)=0,"-",SUMIF(Loads!$A$1:$A$13458,Monthly!O33&amp;Monthly!$O$10,Loads!$K:$K)))</f>
        <v>53280</v>
      </c>
      <c r="R33" s="15" cm="1">
        <f t="array" ref="R33">IFERROR(SUMPRODUCT(--(Loads!$A$1:$A$13458=Monthly!O33&amp;$O$10),Loads!$L$1:$L$13458,Loads!$K$1:$K$13458)/Q33,"-")</f>
        <v>57.515788288288292</v>
      </c>
      <c r="S33" s="15" cm="1">
        <f t="array" ref="S33">IFERROR(SUMPRODUCT(--(Loads!$A$1:$A$13458=Monthly!O33&amp;$O$10),Loads!$M$1:$M$13458,Loads!$K$1:$K$13458)/Q33,"-")</f>
        <v>11.44662912912913</v>
      </c>
      <c r="T33" s="45"/>
      <c r="U33" s="75">
        <f t="shared" si="3"/>
        <v>44277</v>
      </c>
      <c r="V33" s="17">
        <f>IF(U33="-","-",COUNTIF(Loads!$A$1:$A$13458,Monthly!U33&amp;Monthly!$U$10))</f>
        <v>2</v>
      </c>
      <c r="W33" s="17">
        <f>IF(U33="-","-",IF(SUMIF(Loads!$A$1:$A$13458,Monthly!U33&amp;Monthly!$U$10,Loads!$K:$K)=0,"-",SUMIF(Loads!$A$1:$A$13458,Monthly!U33&amp;Monthly!$U$10,Loads!$K:$K)))</f>
        <v>32200</v>
      </c>
      <c r="X33" s="18" cm="1">
        <f t="array" ref="X33">IFERROR(SUMPRODUCT(--(Loads!$A$1:$A$13458=Monthly!U33&amp;$U$10),Loads!$L$1:$L$13458,Loads!$K$1:$K$13458)/W33,"-")</f>
        <v>10.456683229813665</v>
      </c>
      <c r="Y33" s="18" cm="1">
        <f t="array" ref="Y33">IFERROR(SUMPRODUCT(--(Loads!$A$1:$A$13458=Monthly!U33&amp;$U$10),Loads!$M$1:$M$13458,Loads!$K$1:$K$13458)/W33,"-")</f>
        <v>63.2186397515528</v>
      </c>
      <c r="Z33" s="79"/>
    </row>
    <row r="34" spans="2:26" x14ac:dyDescent="0.35">
      <c r="B34" s="44"/>
      <c r="C34" s="64">
        <f t="shared" si="0"/>
        <v>44278</v>
      </c>
      <c r="D34" s="39">
        <f>IF(C34="-","-",COUNTIF(Loads!$A$1:$A$13458,Monthly!C34&amp;Monthly!$C$10))</f>
        <v>9</v>
      </c>
      <c r="E34" s="39">
        <f>IF(C34="-","-",IF(SUMIF(Loads!$A$1:$A$13458,Monthly!C34&amp;Monthly!$C$10,Loads!$K:$K)=0,"-",SUMIF(Loads!$A$1:$A$13458,Monthly!C34&amp;Monthly!$C$10,Loads!$K:$K)))</f>
        <v>236980</v>
      </c>
      <c r="F34" s="40" cm="1">
        <f t="array" ref="F34">IFERROR(SUMPRODUCT(--(Loads!$A$1:$A$13458=Monthly!C34&amp;$C$10),Loads!$L$1:$L$13458,Loads!$K$1:$K$13458)/E34,"-")</f>
        <v>8.4454502489661571</v>
      </c>
      <c r="G34" s="40" cm="1">
        <f t="array" ref="G34">IFERROR(SUMPRODUCT(--(Loads!$A$1:$A$13458=Monthly!C34&amp;$C$10),Loads!$M$1:$M$13458,Loads!$K$1:$K$13458)/E34,"-")</f>
        <v>21.025381044813905</v>
      </c>
      <c r="H34" s="45"/>
      <c r="I34" s="69">
        <f t="shared" si="1"/>
        <v>44278</v>
      </c>
      <c r="J34" s="11">
        <f>IF(I34="-","-",COUNTIF(Loads!$A$1:$A$13458,Monthly!I34&amp;Monthly!$I$10))</f>
        <v>11</v>
      </c>
      <c r="K34" s="11">
        <f>IF(I34="-","-",IF(SUMIF(Loads!$A$1:$A$13458,Monthly!I34&amp;Monthly!$I$10,Loads!$K:$K)=0,"-",SUMIF(Loads!$A$1:$A$13458,Monthly!I34&amp;Monthly!$I$10,Loads!$K:$K)))</f>
        <v>142440</v>
      </c>
      <c r="L34" s="12" cm="1">
        <f t="array" ref="L34">IFERROR(SUMPRODUCT(--(Loads!$A$1:$A$13458=Monthly!I34&amp;$I$10),Loads!$L$1:$L$13458,Loads!$K$1:$K$13458)/K34,"-")</f>
        <v>61.983515866329682</v>
      </c>
      <c r="M34" s="12" cm="1">
        <f t="array" ref="M34">IFERROR(SUMPRODUCT(--(Loads!$A$1:$A$13458=Monthly!I34&amp;$I$10),Loads!$M$1:$M$13458,Loads!$K$1:$K$13458)/K34,"-")</f>
        <v>9.3588851446222954</v>
      </c>
      <c r="N34" s="45"/>
      <c r="O34" s="74">
        <f t="shared" si="2"/>
        <v>44278</v>
      </c>
      <c r="P34" s="14">
        <f>IF(O34="-","-",COUNTIF(Loads!$A$1:$A$13458,Monthly!O34&amp;Monthly!$O$10))</f>
        <v>9</v>
      </c>
      <c r="Q34" s="14">
        <f>IF(O34="-","-",IF(SUMIF(Loads!$A$1:$A$13458,Monthly!O34&amp;Monthly!$O$10,Loads!$K:$K)=0,"-",SUMIF(Loads!$A$1:$A$13458,Monthly!O34&amp;Monthly!$O$10,Loads!$K:$K)))</f>
        <v>108580</v>
      </c>
      <c r="R34" s="15" cm="1">
        <f t="array" ref="R34">IFERROR(SUMPRODUCT(--(Loads!$A$1:$A$13458=Monthly!O34&amp;$O$10),Loads!$L$1:$L$13458,Loads!$K$1:$K$13458)/Q34,"-")</f>
        <v>56.38924111254375</v>
      </c>
      <c r="S34" s="15" cm="1">
        <f t="array" ref="S34">IFERROR(SUMPRODUCT(--(Loads!$A$1:$A$13458=Monthly!O34&amp;$O$10),Loads!$M$1:$M$13458,Loads!$K$1:$K$13458)/Q34,"-")</f>
        <v>10.461626450543378</v>
      </c>
      <c r="T34" s="45"/>
      <c r="U34" s="75">
        <f t="shared" si="3"/>
        <v>44278</v>
      </c>
      <c r="V34" s="17">
        <f>IF(U34="-","-",COUNTIF(Loads!$A$1:$A$13458,Monthly!U34&amp;Monthly!$U$10))</f>
        <v>2</v>
      </c>
      <c r="W34" s="17">
        <f>IF(U34="-","-",IF(SUMIF(Loads!$A$1:$A$13458,Monthly!U34&amp;Monthly!$U$10,Loads!$K:$K)=0,"-",SUMIF(Loads!$A$1:$A$13458,Monthly!U34&amp;Monthly!$U$10,Loads!$K:$K)))</f>
        <v>57380</v>
      </c>
      <c r="X34" s="18" cm="1">
        <f t="array" ref="X34">IFERROR(SUMPRODUCT(--(Loads!$A$1:$A$13458=Monthly!U34&amp;$U$10),Loads!$L$1:$L$13458,Loads!$K$1:$K$13458)/W34,"-")</f>
        <v>10.835953293830602</v>
      </c>
      <c r="Y34" s="18" cm="1">
        <f t="array" ref="Y34">IFERROR(SUMPRODUCT(--(Loads!$A$1:$A$13458=Monthly!U34&amp;$U$10),Loads!$M$1:$M$13458,Loads!$K$1:$K$13458)/W34,"-")</f>
        <v>61.361798536075284</v>
      </c>
      <c r="Z34" s="79"/>
    </row>
    <row r="35" spans="2:26" x14ac:dyDescent="0.35">
      <c r="B35" s="44"/>
      <c r="C35" s="64">
        <f t="shared" si="0"/>
        <v>44279</v>
      </c>
      <c r="D35" s="39">
        <f>IF(C35="-","-",COUNTIF(Loads!$A$1:$A$13458,Monthly!C35&amp;Monthly!$C$10))</f>
        <v>8</v>
      </c>
      <c r="E35" s="39">
        <f>IF(C35="-","-",IF(SUMIF(Loads!$A$1:$A$13458,Monthly!C35&amp;Monthly!$C$10,Loads!$K:$K)=0,"-",SUMIF(Loads!$A$1:$A$13458,Monthly!C35&amp;Monthly!$C$10,Loads!$K:$K)))</f>
        <v>223660</v>
      </c>
      <c r="F35" s="40" cm="1">
        <f t="array" ref="F35">IFERROR(SUMPRODUCT(--(Loads!$A$1:$A$13458=Monthly!C35&amp;$C$10),Loads!$L$1:$L$13458,Loads!$K$1:$K$13458)/E35,"-")</f>
        <v>7.8642314226951626</v>
      </c>
      <c r="G35" s="40" cm="1">
        <f t="array" ref="G35">IFERROR(SUMPRODUCT(--(Loads!$A$1:$A$13458=Monthly!C35&amp;$C$10),Loads!$M$1:$M$13458,Loads!$K$1:$K$13458)/E35,"-")</f>
        <v>20.969577036573373</v>
      </c>
      <c r="H35" s="45"/>
      <c r="I35" s="69">
        <f t="shared" si="1"/>
        <v>44279</v>
      </c>
      <c r="J35" s="11">
        <f>IF(I35="-","-",COUNTIF(Loads!$A$1:$A$13458,Monthly!I35&amp;Monthly!$I$10))</f>
        <v>13</v>
      </c>
      <c r="K35" s="11">
        <f>IF(I35="-","-",IF(SUMIF(Loads!$A$1:$A$13458,Monthly!I35&amp;Monthly!$I$10,Loads!$K:$K)=0,"-",SUMIF(Loads!$A$1:$A$13458,Monthly!I35&amp;Monthly!$I$10,Loads!$K:$K)))</f>
        <v>165940</v>
      </c>
      <c r="L35" s="12" cm="1">
        <f t="array" ref="L35">IFERROR(SUMPRODUCT(--(Loads!$A$1:$A$13458=Monthly!I35&amp;$I$10),Loads!$L$1:$L$13458,Loads!$K$1:$K$13458)/K35,"-")</f>
        <v>61.074724599252733</v>
      </c>
      <c r="M35" s="12" cm="1">
        <f t="array" ref="M35">IFERROR(SUMPRODUCT(--(Loads!$A$1:$A$13458=Monthly!I35&amp;$I$10),Loads!$M$1:$M$13458,Loads!$K$1:$K$13458)/K35,"-")</f>
        <v>9.0543160178377722</v>
      </c>
      <c r="N35" s="45"/>
      <c r="O35" s="74">
        <f t="shared" si="2"/>
        <v>44279</v>
      </c>
      <c r="P35" s="14">
        <f>IF(O35="-","-",COUNTIF(Loads!$A$1:$A$13458,Monthly!O35&amp;Monthly!$O$10))</f>
        <v>5</v>
      </c>
      <c r="Q35" s="14">
        <f>IF(O35="-","-",IF(SUMIF(Loads!$A$1:$A$13458,Monthly!O35&amp;Monthly!$O$10,Loads!$K:$K)=0,"-",SUMIF(Loads!$A$1:$A$13458,Monthly!O35&amp;Monthly!$O$10,Loads!$K:$K)))</f>
        <v>58240</v>
      </c>
      <c r="R35" s="15" cm="1">
        <f t="array" ref="R35">IFERROR(SUMPRODUCT(--(Loads!$A$1:$A$13458=Monthly!O35&amp;$O$10),Loads!$L$1:$L$13458,Loads!$K$1:$K$13458)/Q35,"-")</f>
        <v>57.773633241758247</v>
      </c>
      <c r="S35" s="15" cm="1">
        <f t="array" ref="S35">IFERROR(SUMPRODUCT(--(Loads!$A$1:$A$13458=Monthly!O35&amp;$O$10),Loads!$M$1:$M$13458,Loads!$K$1:$K$13458)/Q35,"-")</f>
        <v>10.416425137362637</v>
      </c>
      <c r="T35" s="45"/>
      <c r="U35" s="75">
        <f t="shared" si="3"/>
        <v>44279</v>
      </c>
      <c r="V35" s="17">
        <f>IF(U35="-","-",COUNTIF(Loads!$A$1:$A$13458,Monthly!U35&amp;Monthly!$U$10))</f>
        <v>4</v>
      </c>
      <c r="W35" s="17">
        <f>IF(U35="-","-",IF(SUMIF(Loads!$A$1:$A$13458,Monthly!U35&amp;Monthly!$U$10,Loads!$K:$K)=0,"-",SUMIF(Loads!$A$1:$A$13458,Monthly!U35&amp;Monthly!$U$10,Loads!$K:$K)))</f>
        <v>114660</v>
      </c>
      <c r="X35" s="18" cm="1">
        <f t="array" ref="X35">IFERROR(SUMPRODUCT(--(Loads!$A$1:$A$13458=Monthly!U35&amp;$U$10),Loads!$L$1:$L$13458,Loads!$K$1:$K$13458)/W35,"-")</f>
        <v>9.1771236699808121</v>
      </c>
      <c r="Y35" s="18" cm="1">
        <f t="array" ref="Y35">IFERROR(SUMPRODUCT(--(Loads!$A$1:$A$13458=Monthly!U35&amp;$U$10),Loads!$M$1:$M$13458,Loads!$K$1:$K$13458)/W35,"-")</f>
        <v>62.396598639455782</v>
      </c>
      <c r="Z35" s="79"/>
    </row>
    <row r="36" spans="2:26" x14ac:dyDescent="0.35">
      <c r="B36" s="44"/>
      <c r="C36" s="64">
        <f t="shared" si="0"/>
        <v>44280</v>
      </c>
      <c r="D36" s="39">
        <f>IF(C36="-","-",COUNTIF(Loads!$A$1:$A$13458,Monthly!C36&amp;Monthly!$C$10))</f>
        <v>11</v>
      </c>
      <c r="E36" s="39">
        <f>IF(C36="-","-",IF(SUMIF(Loads!$A$1:$A$13458,Monthly!C36&amp;Monthly!$C$10,Loads!$K:$K)=0,"-",SUMIF(Loads!$A$1:$A$13458,Monthly!C36&amp;Monthly!$C$10,Loads!$K:$K)))</f>
        <v>249120</v>
      </c>
      <c r="F36" s="40" cm="1">
        <f t="array" ref="F36">IFERROR(SUMPRODUCT(--(Loads!$A$1:$A$13458=Monthly!C36&amp;$C$10),Loads!$L$1:$L$13458,Loads!$K$1:$K$13458)/E36,"-")</f>
        <v>7.961958895311497</v>
      </c>
      <c r="G36" s="40" cm="1">
        <f t="array" ref="G36">IFERROR(SUMPRODUCT(--(Loads!$A$1:$A$13458=Monthly!C36&amp;$C$10),Loads!$M$1:$M$13458,Loads!$K$1:$K$13458)/E36,"-")</f>
        <v>22.123851156069364</v>
      </c>
      <c r="H36" s="45"/>
      <c r="I36" s="69">
        <f t="shared" si="1"/>
        <v>44280</v>
      </c>
      <c r="J36" s="11">
        <f>IF(I36="-","-",COUNTIF(Loads!$A$1:$A$13458,Monthly!I36&amp;Monthly!$I$10))</f>
        <v>12</v>
      </c>
      <c r="K36" s="11">
        <f>IF(I36="-","-",IF(SUMIF(Loads!$A$1:$A$13458,Monthly!I36&amp;Monthly!$I$10,Loads!$K:$K)=0,"-",SUMIF(Loads!$A$1:$A$13458,Monthly!I36&amp;Monthly!$I$10,Loads!$K:$K)))</f>
        <v>157240</v>
      </c>
      <c r="L36" s="12" cm="1">
        <f t="array" ref="L36">IFERROR(SUMPRODUCT(--(Loads!$A$1:$A$13458=Monthly!I36&amp;$I$10),Loads!$L$1:$L$13458,Loads!$K$1:$K$13458)/K36,"-")</f>
        <v>60.232363266344436</v>
      </c>
      <c r="M36" s="12" cm="1">
        <f t="array" ref="M36">IFERROR(SUMPRODUCT(--(Loads!$A$1:$A$13458=Monthly!I36&amp;$I$10),Loads!$M$1:$M$13458,Loads!$K$1:$K$13458)/K36,"-")</f>
        <v>9.5986237598575439</v>
      </c>
      <c r="N36" s="45"/>
      <c r="O36" s="74">
        <f t="shared" si="2"/>
        <v>44280</v>
      </c>
      <c r="P36" s="14">
        <f>IF(O36="-","-",COUNTIF(Loads!$A$1:$A$13458,Monthly!O36&amp;Monthly!$O$10))</f>
        <v>5</v>
      </c>
      <c r="Q36" s="14">
        <f>IF(O36="-","-",IF(SUMIF(Loads!$A$1:$A$13458,Monthly!O36&amp;Monthly!$O$10,Loads!$K:$K)=0,"-",SUMIF(Loads!$A$1:$A$13458,Monthly!O36&amp;Monthly!$O$10,Loads!$K:$K)))</f>
        <v>57220</v>
      </c>
      <c r="R36" s="15" cm="1">
        <f t="array" ref="R36">IFERROR(SUMPRODUCT(--(Loads!$A$1:$A$13458=Monthly!O36&amp;$O$10),Loads!$L$1:$L$13458,Loads!$K$1:$K$13458)/Q36,"-")</f>
        <v>58.52410695560993</v>
      </c>
      <c r="S36" s="15" cm="1">
        <f t="array" ref="S36">IFERROR(SUMPRODUCT(--(Loads!$A$1:$A$13458=Monthly!O36&amp;$O$10),Loads!$M$1:$M$13458,Loads!$K$1:$K$13458)/Q36,"-")</f>
        <v>11.25627053477805</v>
      </c>
      <c r="T36" s="45"/>
      <c r="U36" s="75">
        <f t="shared" si="3"/>
        <v>44280</v>
      </c>
      <c r="V36" s="17">
        <f>IF(U36="-","-",COUNTIF(Loads!$A$1:$A$13458,Monthly!U36&amp;Monthly!$U$10))</f>
        <v>3</v>
      </c>
      <c r="W36" s="17">
        <f>IF(U36="-","-",IF(SUMIF(Loads!$A$1:$A$13458,Monthly!U36&amp;Monthly!$U$10,Loads!$K:$K)=0,"-",SUMIF(Loads!$A$1:$A$13458,Monthly!U36&amp;Monthly!$U$10,Loads!$K:$K)))</f>
        <v>66200</v>
      </c>
      <c r="X36" s="18" cm="1">
        <f t="array" ref="X36">IFERROR(SUMPRODUCT(--(Loads!$A$1:$A$13458=Monthly!U36&amp;$U$10),Loads!$L$1:$L$13458,Loads!$K$1:$K$13458)/W36,"-")</f>
        <v>10.307634441087613</v>
      </c>
      <c r="Y36" s="18" cm="1">
        <f t="array" ref="Y36">IFERROR(SUMPRODUCT(--(Loads!$A$1:$A$13458=Monthly!U36&amp;$U$10),Loads!$M$1:$M$13458,Loads!$K$1:$K$13458)/W36,"-")</f>
        <v>62.296501510574011</v>
      </c>
      <c r="Z36" s="79"/>
    </row>
    <row r="37" spans="2:26" x14ac:dyDescent="0.35">
      <c r="B37" s="44"/>
      <c r="C37" s="64">
        <f t="shared" si="0"/>
        <v>44281</v>
      </c>
      <c r="D37" s="39">
        <f>IF(C37="-","-",COUNTIF(Loads!$A$1:$A$13458,Monthly!C37&amp;Monthly!$C$10))</f>
        <v>9</v>
      </c>
      <c r="E37" s="39">
        <f>IF(C37="-","-",IF(SUMIF(Loads!$A$1:$A$13458,Monthly!C37&amp;Monthly!$C$10,Loads!$K:$K)=0,"-",SUMIF(Loads!$A$1:$A$13458,Monthly!C37&amp;Monthly!$C$10,Loads!$K:$K)))</f>
        <v>227460</v>
      </c>
      <c r="F37" s="40" cm="1">
        <f t="array" ref="F37">IFERROR(SUMPRODUCT(--(Loads!$A$1:$A$13458=Monthly!C37&amp;$C$10),Loads!$L$1:$L$13458,Loads!$K$1:$K$13458)/E37,"-")</f>
        <v>7.8178536885606258</v>
      </c>
      <c r="G37" s="40" cm="1">
        <f t="array" ref="G37">IFERROR(SUMPRODUCT(--(Loads!$A$1:$A$13458=Monthly!C37&amp;$C$10),Loads!$M$1:$M$13458,Loads!$K$1:$K$13458)/E37,"-")</f>
        <v>26.224742811922972</v>
      </c>
      <c r="H37" s="45"/>
      <c r="I37" s="69">
        <f t="shared" si="1"/>
        <v>44281</v>
      </c>
      <c r="J37" s="11">
        <f>IF(I37="-","-",COUNTIF(Loads!$A$1:$A$13458,Monthly!I37&amp;Monthly!$I$10))</f>
        <v>10</v>
      </c>
      <c r="K37" s="11">
        <f>IF(I37="-","-",IF(SUMIF(Loads!$A$1:$A$13458,Monthly!I37&amp;Monthly!$I$10,Loads!$K:$K)=0,"-",SUMIF(Loads!$A$1:$A$13458,Monthly!I37&amp;Monthly!$I$10,Loads!$K:$K)))</f>
        <v>125620</v>
      </c>
      <c r="L37" s="12" cm="1">
        <f t="array" ref="L37">IFERROR(SUMPRODUCT(--(Loads!$A$1:$A$13458=Monthly!I37&amp;$I$10),Loads!$L$1:$L$13458,Loads!$K$1:$K$13458)/K37,"-")</f>
        <v>59.086979780289766</v>
      </c>
      <c r="M37" s="12" cm="1">
        <f t="array" ref="M37">IFERROR(SUMPRODUCT(--(Loads!$A$1:$A$13458=Monthly!I37&amp;$I$10),Loads!$M$1:$M$13458,Loads!$K$1:$K$13458)/K37,"-")</f>
        <v>9.735190256328611</v>
      </c>
      <c r="N37" s="45"/>
      <c r="O37" s="74">
        <f t="shared" si="2"/>
        <v>44281</v>
      </c>
      <c r="P37" s="14">
        <f>IF(O37="-","-",COUNTIF(Loads!$A$1:$A$13458,Monthly!O37&amp;Monthly!$O$10))</f>
        <v>4</v>
      </c>
      <c r="Q37" s="14">
        <f>IF(O37="-","-",IF(SUMIF(Loads!$A$1:$A$13458,Monthly!O37&amp;Monthly!$O$10,Loads!$K:$K)=0,"-",SUMIF(Loads!$A$1:$A$13458,Monthly!O37&amp;Monthly!$O$10,Loads!$K:$K)))</f>
        <v>44720</v>
      </c>
      <c r="R37" s="15" cm="1">
        <f t="array" ref="R37">IFERROR(SUMPRODUCT(--(Loads!$A$1:$A$13458=Monthly!O37&amp;$O$10),Loads!$L$1:$L$13458,Loads!$K$1:$K$13458)/Q37,"-")</f>
        <v>58.974606440071554</v>
      </c>
      <c r="S37" s="15" cm="1">
        <f t="array" ref="S37">IFERROR(SUMPRODUCT(--(Loads!$A$1:$A$13458=Monthly!O37&amp;$O$10),Loads!$M$1:$M$13458,Loads!$K$1:$K$13458)/Q37,"-")</f>
        <v>10.873747763864042</v>
      </c>
      <c r="T37" s="45"/>
      <c r="U37" s="75">
        <f t="shared" si="3"/>
        <v>44281</v>
      </c>
      <c r="V37" s="17">
        <f>IF(U37="-","-",COUNTIF(Loads!$A$1:$A$13458,Monthly!U37&amp;Monthly!$U$10))</f>
        <v>2</v>
      </c>
      <c r="W37" s="17">
        <f>IF(U37="-","-",IF(SUMIF(Loads!$A$1:$A$13458,Monthly!U37&amp;Monthly!$U$10,Loads!$K:$K)=0,"-",SUMIF(Loads!$A$1:$A$13458,Monthly!U37&amp;Monthly!$U$10,Loads!$K:$K)))</f>
        <v>56700</v>
      </c>
      <c r="X37" s="18" cm="1">
        <f t="array" ref="X37">IFERROR(SUMPRODUCT(--(Loads!$A$1:$A$13458=Monthly!U37&amp;$U$10),Loads!$L$1:$L$13458,Loads!$K$1:$K$13458)/W37,"-")</f>
        <v>7.8332380952380944</v>
      </c>
      <c r="Y37" s="18" cm="1">
        <f t="array" ref="Y37">IFERROR(SUMPRODUCT(--(Loads!$A$1:$A$13458=Monthly!U37&amp;$U$10),Loads!$M$1:$M$13458,Loads!$K$1:$K$13458)/W37,"-")</f>
        <v>62.343746031746022</v>
      </c>
      <c r="Z37" s="79"/>
    </row>
    <row r="38" spans="2:26" x14ac:dyDescent="0.35">
      <c r="B38" s="44"/>
      <c r="C38" s="64">
        <f t="shared" si="0"/>
        <v>44282</v>
      </c>
      <c r="D38" s="39">
        <f>IF(C38="-","-",COUNTIF(Loads!$A$1:$A$13458,Monthly!C38&amp;Monthly!$C$10))</f>
        <v>14</v>
      </c>
      <c r="E38" s="39">
        <f>IF(C38="-","-",IF(SUMIF(Loads!$A$1:$A$13458,Monthly!C38&amp;Monthly!$C$10,Loads!$K:$K)=0,"-",SUMIF(Loads!$A$1:$A$13458,Monthly!C38&amp;Monthly!$C$10,Loads!$K:$K)))</f>
        <v>325500</v>
      </c>
      <c r="F38" s="40" cm="1">
        <f t="array" ref="F38">IFERROR(SUMPRODUCT(--(Loads!$A$1:$A$13458=Monthly!C38&amp;$C$10),Loads!$L$1:$L$13458,Loads!$K$1:$K$13458)/E38,"-")</f>
        <v>7.619891244239632</v>
      </c>
      <c r="G38" s="40" cm="1">
        <f t="array" ref="G38">IFERROR(SUMPRODUCT(--(Loads!$A$1:$A$13458=Monthly!C38&amp;$C$10),Loads!$M$1:$M$13458,Loads!$K$1:$K$13458)/E38,"-")</f>
        <v>21.581393548387098</v>
      </c>
      <c r="H38" s="45"/>
      <c r="I38" s="69">
        <f t="shared" si="1"/>
        <v>44282</v>
      </c>
      <c r="J38" s="11">
        <f>IF(I38="-","-",COUNTIF(Loads!$A$1:$A$13458,Monthly!I38&amp;Monthly!$I$10))</f>
        <v>6</v>
      </c>
      <c r="K38" s="11">
        <f>IF(I38="-","-",IF(SUMIF(Loads!$A$1:$A$13458,Monthly!I38&amp;Monthly!$I$10,Loads!$K:$K)=0,"-",SUMIF(Loads!$A$1:$A$13458,Monthly!I38&amp;Monthly!$I$10,Loads!$K:$K)))</f>
        <v>66860</v>
      </c>
      <c r="L38" s="12" cm="1">
        <f t="array" ref="L38">IFERROR(SUMPRODUCT(--(Loads!$A$1:$A$13458=Monthly!I38&amp;$I$10),Loads!$L$1:$L$13458,Loads!$K$1:$K$13458)/K38,"-")</f>
        <v>59.169673945557889</v>
      </c>
      <c r="M38" s="12" cm="1">
        <f t="array" ref="M38">IFERROR(SUMPRODUCT(--(Loads!$A$1:$A$13458=Monthly!I38&amp;$I$10),Loads!$M$1:$M$13458,Loads!$K$1:$K$13458)/K38,"-")</f>
        <v>10.205746335626682</v>
      </c>
      <c r="N38" s="45"/>
      <c r="O38" s="74">
        <f t="shared" si="2"/>
        <v>44282</v>
      </c>
      <c r="P38" s="14">
        <f>IF(O38="-","-",COUNTIF(Loads!$A$1:$A$13458,Monthly!O38&amp;Monthly!$O$10))</f>
        <v>0</v>
      </c>
      <c r="Q38" s="14" t="str">
        <f>IF(O38="-","-",IF(SUMIF(Loads!$A$1:$A$13458,Monthly!O38&amp;Monthly!$O$10,Loads!$K:$K)=0,"-",SUMIF(Loads!$A$1:$A$13458,Monthly!O38&amp;Monthly!$O$10,Loads!$K:$K)))</f>
        <v>-</v>
      </c>
      <c r="R38" s="15" t="str" cm="1">
        <f t="array" ref="R38">IFERROR(SUMPRODUCT(--(Loads!$A$1:$A$13458=Monthly!O38&amp;$O$10),Loads!$L$1:$L$13458,Loads!$K$1:$K$13458)/Q38,"-")</f>
        <v>-</v>
      </c>
      <c r="S38" s="15" t="str" cm="1">
        <f t="array" ref="S38">IFERROR(SUMPRODUCT(--(Loads!$A$1:$A$13458=Monthly!O38&amp;$O$10),Loads!$M$1:$M$13458,Loads!$K$1:$K$13458)/Q38,"-")</f>
        <v>-</v>
      </c>
      <c r="T38" s="45"/>
      <c r="U38" s="75">
        <f t="shared" si="3"/>
        <v>44282</v>
      </c>
      <c r="V38" s="17">
        <f>IF(U38="-","-",COUNTIF(Loads!$A$1:$A$13458,Monthly!U38&amp;Monthly!$U$10))</f>
        <v>3</v>
      </c>
      <c r="W38" s="17">
        <f>IF(U38="-","-",IF(SUMIF(Loads!$A$1:$A$13458,Monthly!U38&amp;Monthly!$U$10,Loads!$K:$K)=0,"-",SUMIF(Loads!$A$1:$A$13458,Monthly!U38&amp;Monthly!$U$10,Loads!$K:$K)))</f>
        <v>78840</v>
      </c>
      <c r="X38" s="18" cm="1">
        <f t="array" ref="X38">IFERROR(SUMPRODUCT(--(Loads!$A$1:$A$13458=Monthly!U38&amp;$U$10),Loads!$L$1:$L$13458,Loads!$K$1:$K$13458)/W38,"-")</f>
        <v>8.7402891933028926</v>
      </c>
      <c r="Y38" s="18" cm="1">
        <f t="array" ref="Y38">IFERROR(SUMPRODUCT(--(Loads!$A$1:$A$13458=Monthly!U38&amp;$U$10),Loads!$M$1:$M$13458,Loads!$K$1:$K$13458)/W38,"-")</f>
        <v>61.529832572298325</v>
      </c>
      <c r="Z38" s="79"/>
    </row>
    <row r="39" spans="2:26" x14ac:dyDescent="0.35">
      <c r="B39" s="44"/>
      <c r="C39" s="64">
        <f t="shared" si="0"/>
        <v>44283</v>
      </c>
      <c r="D39" s="39">
        <f>IF(C39="-","-",COUNTIF(Loads!$A$1:$A$13458,Monthly!C39&amp;Monthly!$C$10))</f>
        <v>7</v>
      </c>
      <c r="E39" s="39">
        <f>IF(C39="-","-",IF(SUMIF(Loads!$A$1:$A$13458,Monthly!C39&amp;Monthly!$C$10,Loads!$K:$K)=0,"-",SUMIF(Loads!$A$1:$A$13458,Monthly!C39&amp;Monthly!$C$10,Loads!$K:$K)))</f>
        <v>168360</v>
      </c>
      <c r="F39" s="40" cm="1">
        <f t="array" ref="F39">IFERROR(SUMPRODUCT(--(Loads!$A$1:$A$13458=Monthly!C39&amp;$C$10),Loads!$L$1:$L$13458,Loads!$K$1:$K$13458)/E39,"-")</f>
        <v>8.8356688049417897</v>
      </c>
      <c r="G39" s="40" cm="1">
        <f t="array" ref="G39">IFERROR(SUMPRODUCT(--(Loads!$A$1:$A$13458=Monthly!C39&amp;$C$10),Loads!$M$1:$M$13458,Loads!$K$1:$K$13458)/E39,"-")</f>
        <v>21.849396531242576</v>
      </c>
      <c r="H39" s="45"/>
      <c r="I39" s="69">
        <f t="shared" si="1"/>
        <v>44283</v>
      </c>
      <c r="J39" s="11">
        <f>IF(I39="-","-",COUNTIF(Loads!$A$1:$A$13458,Monthly!I39&amp;Monthly!$I$10))</f>
        <v>8</v>
      </c>
      <c r="K39" s="11">
        <f>IF(I39="-","-",IF(SUMIF(Loads!$A$1:$A$13458,Monthly!I39&amp;Monthly!$I$10,Loads!$K:$K)=0,"-",SUMIF(Loads!$A$1:$A$13458,Monthly!I39&amp;Monthly!$I$10,Loads!$K:$K)))</f>
        <v>98220</v>
      </c>
      <c r="L39" s="12" cm="1">
        <f t="array" ref="L39">IFERROR(SUMPRODUCT(--(Loads!$A$1:$A$13458=Monthly!I39&amp;$I$10),Loads!$L$1:$L$13458,Loads!$K$1:$K$13458)/K39,"-")</f>
        <v>59.22517409896151</v>
      </c>
      <c r="M39" s="12" cm="1">
        <f t="array" ref="M39">IFERROR(SUMPRODUCT(--(Loads!$A$1:$A$13458=Monthly!I39&amp;$I$10),Loads!$M$1:$M$13458,Loads!$K$1:$K$13458)/K39,"-")</f>
        <v>9.9203929953166359</v>
      </c>
      <c r="N39" s="45"/>
      <c r="O39" s="74">
        <f t="shared" si="2"/>
        <v>44283</v>
      </c>
      <c r="P39" s="14">
        <f>IF(O39="-","-",COUNTIF(Loads!$A$1:$A$13458,Monthly!O39&amp;Monthly!$O$10))</f>
        <v>0</v>
      </c>
      <c r="Q39" s="14" t="str">
        <f>IF(O39="-","-",IF(SUMIF(Loads!$A$1:$A$13458,Monthly!O39&amp;Monthly!$O$10,Loads!$K:$K)=0,"-",SUMIF(Loads!$A$1:$A$13458,Monthly!O39&amp;Monthly!$O$10,Loads!$K:$K)))</f>
        <v>-</v>
      </c>
      <c r="R39" s="15" t="str" cm="1">
        <f t="array" ref="R39">IFERROR(SUMPRODUCT(--(Loads!$A$1:$A$13458=Monthly!O39&amp;$O$10),Loads!$L$1:$L$13458,Loads!$K$1:$K$13458)/Q39,"-")</f>
        <v>-</v>
      </c>
      <c r="S39" s="15" t="str" cm="1">
        <f t="array" ref="S39">IFERROR(SUMPRODUCT(--(Loads!$A$1:$A$13458=Monthly!O39&amp;$O$10),Loads!$M$1:$M$13458,Loads!$K$1:$K$13458)/Q39,"-")</f>
        <v>-</v>
      </c>
      <c r="T39" s="45"/>
      <c r="U39" s="75">
        <f t="shared" si="3"/>
        <v>44283</v>
      </c>
      <c r="V39" s="17">
        <f>IF(U39="-","-",COUNTIF(Loads!$A$1:$A$13458,Monthly!U39&amp;Monthly!$U$10))</f>
        <v>2</v>
      </c>
      <c r="W39" s="17">
        <f>IF(U39="-","-",IF(SUMIF(Loads!$A$1:$A$13458,Monthly!U39&amp;Monthly!$U$10,Loads!$K:$K)=0,"-",SUMIF(Loads!$A$1:$A$13458,Monthly!U39&amp;Monthly!$U$10,Loads!$K:$K)))</f>
        <v>59000</v>
      </c>
      <c r="X39" s="18" cm="1">
        <f t="array" ref="X39">IFERROR(SUMPRODUCT(--(Loads!$A$1:$A$13458=Monthly!U39&amp;$U$10),Loads!$L$1:$L$13458,Loads!$K$1:$K$13458)/W39,"-")</f>
        <v>8.7512542372881352</v>
      </c>
      <c r="Y39" s="18" cm="1">
        <f t="array" ref="Y39">IFERROR(SUMPRODUCT(--(Loads!$A$1:$A$13458=Monthly!U39&amp;$U$10),Loads!$M$1:$M$13458,Loads!$K$1:$K$13458)/W39,"-")</f>
        <v>63.354779661016948</v>
      </c>
      <c r="Z39" s="79"/>
    </row>
    <row r="40" spans="2:26" x14ac:dyDescent="0.35">
      <c r="B40" s="44"/>
      <c r="C40" s="64">
        <f>IFERROR(IF(C39=$X$6,"-",C39+1),"-")</f>
        <v>44284</v>
      </c>
      <c r="D40" s="39">
        <f>IF(C40="-","-",COUNTIF(Loads!$A$1:$A$13458,Monthly!C40&amp;Monthly!$C$10))</f>
        <v>12</v>
      </c>
      <c r="E40" s="39">
        <f>IF(C40="-","-",IF(SUMIF(Loads!$A$1:$A$13458,Monthly!C40&amp;Monthly!$C$10,Loads!$K:$K)=0,"-",SUMIF(Loads!$A$1:$A$13458,Monthly!C40&amp;Monthly!$C$10,Loads!$K:$K)))</f>
        <v>304290</v>
      </c>
      <c r="F40" s="40" cm="1">
        <f t="array" ref="F40">IFERROR(SUMPRODUCT(--(Loads!$A$1:$A$13458=Monthly!C40&amp;$C$10),Loads!$L$1:$L$13458,Loads!$K$1:$K$13458)/E40,"-")</f>
        <v>7.9280581024680394</v>
      </c>
      <c r="G40" s="40" cm="1">
        <f t="array" ref="G40">IFERROR(SUMPRODUCT(--(Loads!$A$1:$A$13458=Monthly!C40&amp;$C$10),Loads!$M$1:$M$13458,Loads!$K$1:$K$13458)/E40,"-")</f>
        <v>21.747744257123138</v>
      </c>
      <c r="H40" s="45"/>
      <c r="I40" s="69">
        <f>IFERROR(IF(I39=$X$6,"-",I39+1),"-")</f>
        <v>44284</v>
      </c>
      <c r="J40" s="11">
        <f>IF(I40="-","-",COUNTIF(Loads!$A$1:$A$13458,Monthly!I40&amp;Monthly!$I$10))</f>
        <v>8</v>
      </c>
      <c r="K40" s="11">
        <f>IF(I40="-","-",IF(SUMIF(Loads!$A$1:$A$13458,Monthly!I40&amp;Monthly!$I$10,Loads!$K:$K)=0,"-",SUMIF(Loads!$A$1:$A$13458,Monthly!I40&amp;Monthly!$I$10,Loads!$K:$K)))</f>
        <v>78500</v>
      </c>
      <c r="L40" s="12" cm="1">
        <f t="array" ref="L40">IFERROR(SUMPRODUCT(--(Loads!$A$1:$A$13458=Monthly!I40&amp;$I$10),Loads!$L$1:$L$13458,Loads!$K$1:$K$13458)/K40,"-")</f>
        <v>62.265373248407641</v>
      </c>
      <c r="M40" s="12" cm="1">
        <f t="array" ref="M40">IFERROR(SUMPRODUCT(--(Loads!$A$1:$A$13458=Monthly!I40&amp;$I$10),Loads!$M$1:$M$13458,Loads!$K$1:$K$13458)/K40,"-")</f>
        <v>8.9536560509554146</v>
      </c>
      <c r="N40" s="45"/>
      <c r="O40" s="74">
        <f>IFERROR(IF(O39=$X$6,"-",O39+1),"-")</f>
        <v>44284</v>
      </c>
      <c r="P40" s="14">
        <f>IF(O40="-","-",COUNTIF(Loads!$A$1:$A$13458,Monthly!O40&amp;Monthly!$O$10))</f>
        <v>0</v>
      </c>
      <c r="Q40" s="14" t="str">
        <f>IF(O40="-","-",IF(SUMIF(Loads!$A$1:$A$13458,Monthly!O40&amp;Monthly!$O$10,Loads!$K:$K)=0,"-",SUMIF(Loads!$A$1:$A$13458,Monthly!O40&amp;Monthly!$O$10,Loads!$K:$K)))</f>
        <v>-</v>
      </c>
      <c r="R40" s="15" t="str" cm="1">
        <f t="array" ref="R40">IFERROR(SUMPRODUCT(--(Loads!$A$1:$A$13458=Monthly!O40&amp;$O$10),Loads!$L$1:$L$13458,Loads!$K$1:$K$13458)/Q40,"-")</f>
        <v>-</v>
      </c>
      <c r="S40" s="15" t="str" cm="1">
        <f t="array" ref="S40">IFERROR(SUMPRODUCT(--(Loads!$A$1:$A$13458=Monthly!O40&amp;$O$10),Loads!$M$1:$M$13458,Loads!$K$1:$K$13458)/Q40,"-")</f>
        <v>-</v>
      </c>
      <c r="T40" s="45"/>
      <c r="U40" s="75">
        <f>IFERROR(IF(U39=$X$6,"-",U39+1),"-")</f>
        <v>44284</v>
      </c>
      <c r="V40" s="17">
        <f>IF(U40="-","-",COUNTIF(Loads!$A$1:$A$13458,Monthly!U40&amp;Monthly!$U$10))</f>
        <v>3</v>
      </c>
      <c r="W40" s="17">
        <f>IF(U40="-","-",IF(SUMIF(Loads!$A$1:$A$13458,Monthly!U40&amp;Monthly!$U$10,Loads!$K:$K)=0,"-",SUMIF(Loads!$A$1:$A$13458,Monthly!U40&amp;Monthly!$U$10,Loads!$K:$K)))</f>
        <v>81120</v>
      </c>
      <c r="X40" s="18" cm="1">
        <f t="array" ref="X40">IFERROR(SUMPRODUCT(--(Loads!$A$1:$A$13458=Monthly!U40&amp;$U$10),Loads!$L$1:$L$13458,Loads!$K$1:$K$13458)/W40,"-")</f>
        <v>8.6563757396449699</v>
      </c>
      <c r="Y40" s="18" cm="1">
        <f t="array" ref="Y40">IFERROR(SUMPRODUCT(--(Loads!$A$1:$A$13458=Monthly!U40&amp;$U$10),Loads!$M$1:$M$13458,Loads!$K$1:$K$13458)/W40,"-")</f>
        <v>62.977120315581857</v>
      </c>
      <c r="Z40" s="79"/>
    </row>
    <row r="41" spans="2:26" x14ac:dyDescent="0.35">
      <c r="B41" s="44"/>
      <c r="C41" s="64">
        <f>IFERROR(IF(C40=$X$6,"-",C40+1),"-")</f>
        <v>44285</v>
      </c>
      <c r="D41" s="39">
        <f>IF(C41="-","-",COUNTIF(Loads!$A$1:$A$13458,Monthly!C41&amp;Monthly!$C$10))</f>
        <v>7</v>
      </c>
      <c r="E41" s="39">
        <f>IF(C41="-","-",IF(SUMIF(Loads!$A$1:$A$13458,Monthly!C41&amp;Monthly!$C$10,Loads!$K:$K)=0,"-",SUMIF(Loads!$A$1:$A$13458,Monthly!C41&amp;Monthly!$C$10,Loads!$K:$K)))</f>
        <v>196900</v>
      </c>
      <c r="F41" s="40" cm="1">
        <f t="array" ref="F41">IFERROR(SUMPRODUCT(--(Loads!$A$1:$A$13458=Monthly!C41&amp;$C$10),Loads!$L$1:$L$13458,Loads!$K$1:$K$13458)/E41,"-")</f>
        <v>8.0431599796851199</v>
      </c>
      <c r="G41" s="40" cm="1">
        <f t="array" ref="G41">IFERROR(SUMPRODUCT(--(Loads!$A$1:$A$13458=Monthly!C41&amp;$C$10),Loads!$M$1:$M$13458,Loads!$K$1:$K$13458)/E41,"-")</f>
        <v>21.422769933976639</v>
      </c>
      <c r="H41" s="45"/>
      <c r="I41" s="69">
        <f>IFERROR(IF(I40=$X$6,"-",I40+1),"-")</f>
        <v>44285</v>
      </c>
      <c r="J41" s="11">
        <f>IF(I41="-","-",COUNTIF(Loads!$A$1:$A$13458,Monthly!I41&amp;Monthly!$I$10))</f>
        <v>2</v>
      </c>
      <c r="K41" s="11">
        <f>IF(I41="-","-",IF(SUMIF(Loads!$A$1:$A$13458,Monthly!I41&amp;Monthly!$I$10,Loads!$K:$K)=0,"-",SUMIF(Loads!$A$1:$A$13458,Monthly!I41&amp;Monthly!$I$10,Loads!$K:$K)))</f>
        <v>20540</v>
      </c>
      <c r="L41" s="12" cm="1">
        <f t="array" ref="L41">IFERROR(SUMPRODUCT(--(Loads!$A$1:$A$13458=Monthly!I41&amp;$I$10),Loads!$L$1:$L$13458,Loads!$K$1:$K$13458)/K41,"-")</f>
        <v>61.972181110029219</v>
      </c>
      <c r="M41" s="12" cm="1">
        <f t="array" ref="M41">IFERROR(SUMPRODUCT(--(Loads!$A$1:$A$13458=Monthly!I41&amp;$I$10),Loads!$M$1:$M$13458,Loads!$K$1:$K$13458)/K41,"-")</f>
        <v>10.28</v>
      </c>
      <c r="N41" s="45"/>
      <c r="O41" s="74">
        <f>IFERROR(IF(O40=$X$6,"-",O40+1),"-")</f>
        <v>44285</v>
      </c>
      <c r="P41" s="14">
        <f>IF(O41="-","-",COUNTIF(Loads!$A$1:$A$13458,Monthly!O41&amp;Monthly!$O$10))</f>
        <v>0</v>
      </c>
      <c r="Q41" s="14" t="str">
        <f>IF(O41="-","-",IF(SUMIF(Loads!$A$1:$A$13458,Monthly!O41&amp;Monthly!$O$10,Loads!$K:$K)=0,"-",SUMIF(Loads!$A$1:$A$13458,Monthly!O41&amp;Monthly!$O$10,Loads!$K:$K)))</f>
        <v>-</v>
      </c>
      <c r="R41" s="15" t="str" cm="1">
        <f t="array" ref="R41">IFERROR(SUMPRODUCT(--(Loads!$A$1:$A$13458=Monthly!O41&amp;$O$10),Loads!$L$1:$L$13458,Loads!$K$1:$K$13458)/Q41,"-")</f>
        <v>-</v>
      </c>
      <c r="S41" s="15" t="str" cm="1">
        <f t="array" ref="S41">IFERROR(SUMPRODUCT(--(Loads!$A$1:$A$13458=Monthly!O41&amp;$O$10),Loads!$M$1:$M$13458,Loads!$K$1:$K$13458)/Q41,"-")</f>
        <v>-</v>
      </c>
      <c r="T41" s="45"/>
      <c r="U41" s="75">
        <f>IFERROR(IF(U40=$X$6,"-",U40+1),"-")</f>
        <v>44285</v>
      </c>
      <c r="V41" s="17">
        <f>IF(U41="-","-",COUNTIF(Loads!$A$1:$A$13458,Monthly!U41&amp;Monthly!$U$10))</f>
        <v>2</v>
      </c>
      <c r="W41" s="17">
        <f>IF(U41="-","-",IF(SUMIF(Loads!$A$1:$A$13458,Monthly!U41&amp;Monthly!$U$10,Loads!$K:$K)=0,"-",SUMIF(Loads!$A$1:$A$13458,Monthly!U41&amp;Monthly!$U$10,Loads!$K:$K)))</f>
        <v>55980</v>
      </c>
      <c r="X41" s="18" cm="1">
        <f t="array" ref="X41">IFERROR(SUMPRODUCT(--(Loads!$A$1:$A$13458=Monthly!U41&amp;$U$10),Loads!$L$1:$L$13458,Loads!$K$1:$K$13458)/W41,"-")</f>
        <v>8.0681207574133627</v>
      </c>
      <c r="Y41" s="18" cm="1">
        <f t="array" ref="Y41">IFERROR(SUMPRODUCT(--(Loads!$A$1:$A$13458=Monthly!U41&amp;$U$10),Loads!$M$1:$M$13458,Loads!$K$1:$K$13458)/W41,"-")</f>
        <v>64.55083958556628</v>
      </c>
      <c r="Z41" s="79"/>
    </row>
    <row r="42" spans="2:26" ht="12.5" thickBot="1" x14ac:dyDescent="0.4">
      <c r="B42" s="44"/>
      <c r="C42" s="64">
        <f>IFERROR(IF(C41=$X$6,"-",C41+1),"-")</f>
        <v>44286</v>
      </c>
      <c r="D42" s="39">
        <f>IF(C42="-","-",COUNTIF(Loads!$A$1:$A$13458,Monthly!C42&amp;Monthly!$C$10))</f>
        <v>0</v>
      </c>
      <c r="E42" s="39" t="str">
        <f>IF(C42="-","-",IF(SUMIF(Loads!$A$1:$A$13458,Monthly!C42&amp;Monthly!$C$10,Loads!$K:$K)=0,"-",SUMIF(Loads!$A$1:$A$13458,Monthly!C42&amp;Monthly!$C$10,Loads!$K:$K)))</f>
        <v>-</v>
      </c>
      <c r="F42" s="40" t="str" cm="1">
        <f t="array" ref="F42">IFERROR(SUMPRODUCT(--(Loads!$A$1:$A$13458=Monthly!C42&amp;$C$10),Loads!$L$1:$L$13458,Loads!$K$1:$K$13458)/E42,"-")</f>
        <v>-</v>
      </c>
      <c r="G42" s="40" t="str" cm="1">
        <f t="array" ref="G42">IFERROR(SUMPRODUCT(--(Loads!$A$1:$A$13458=Monthly!C42&amp;$C$10),Loads!$M$1:$M$13458,Loads!$K$1:$K$13458)/E42,"-")</f>
        <v>-</v>
      </c>
      <c r="H42" s="45"/>
      <c r="I42" s="69">
        <f>IFERROR(IF(I41=$X$6,"-",I41+1),"-")</f>
        <v>44286</v>
      </c>
      <c r="J42" s="11">
        <f>IF(I42="-","-",COUNTIF(Loads!$A$1:$A$13458,Monthly!I42&amp;Monthly!$I$10))</f>
        <v>0</v>
      </c>
      <c r="K42" s="11" t="str">
        <f>IF(I42="-","-",IF(SUMIF(Loads!$A$1:$A$13458,Monthly!I42&amp;Monthly!$I$10,Loads!$K:$K)=0,"-",SUMIF(Loads!$A$1:$A$13458,Monthly!I42&amp;Monthly!$I$10,Loads!$K:$K)))</f>
        <v>-</v>
      </c>
      <c r="L42" s="12" t="str" cm="1">
        <f t="array" ref="L42">IFERROR(SUMPRODUCT(--(Loads!$A$1:$A$13458=Monthly!I42&amp;$I$10),Loads!$L$1:$L$13458,Loads!$K$1:$K$13458)/K42,"-")</f>
        <v>-</v>
      </c>
      <c r="M42" s="12" t="str" cm="1">
        <f t="array" ref="M42">IFERROR(SUMPRODUCT(--(Loads!$A$1:$A$13458=Monthly!I42&amp;$I$10),Loads!$M$1:$M$13458,Loads!$K$1:$K$13458)/K42,"-")</f>
        <v>-</v>
      </c>
      <c r="N42" s="45"/>
      <c r="O42" s="74">
        <f>IFERROR(IF(O41=$X$6,"-",O41+1),"-")</f>
        <v>44286</v>
      </c>
      <c r="P42" s="14">
        <f>IF(O42="-","-",COUNTIF(Loads!$A$1:$A$13458,Monthly!O42&amp;Monthly!$O$10))</f>
        <v>0</v>
      </c>
      <c r="Q42" s="14" t="str">
        <f>IF(O42="-","-",IF(SUMIF(Loads!$A$1:$A$13458,Monthly!O42&amp;Monthly!$O$10,Loads!$K:$K)=0,"-",SUMIF(Loads!$A$1:$A$13458,Monthly!O42&amp;Monthly!$O$10,Loads!$K:$K)))</f>
        <v>-</v>
      </c>
      <c r="R42" s="15" t="str" cm="1">
        <f t="array" ref="R42">IFERROR(SUMPRODUCT(--(Loads!$A$1:$A$13458=Monthly!O42&amp;$O$10),Loads!$L$1:$L$13458,Loads!$K$1:$K$13458)/Q42,"-")</f>
        <v>-</v>
      </c>
      <c r="S42" s="15" t="str" cm="1">
        <f t="array" ref="S42">IFERROR(SUMPRODUCT(--(Loads!$A$1:$A$13458=Monthly!O42&amp;$O$10),Loads!$M$1:$M$13458,Loads!$K$1:$K$13458)/Q42,"-")</f>
        <v>-</v>
      </c>
      <c r="T42" s="45"/>
      <c r="U42" s="75">
        <f>IFERROR(IF(U41=$X$6,"-",U41+1),"-")</f>
        <v>44286</v>
      </c>
      <c r="V42" s="17">
        <f>IF(U42="-","-",COUNTIF(Loads!$A$1:$A$13458,Monthly!U42&amp;Monthly!$U$10))</f>
        <v>0</v>
      </c>
      <c r="W42" s="17" t="str">
        <f>IF(U42="-","-",IF(SUMIF(Loads!$A$1:$A$13458,Monthly!U42&amp;Monthly!$U$10,Loads!$K:$K)=0,"-",SUMIF(Loads!$A$1:$A$13458,Monthly!U42&amp;Monthly!$U$10,Loads!$K:$K)))</f>
        <v>-</v>
      </c>
      <c r="X42" s="18" t="str" cm="1">
        <f t="array" ref="X42">IFERROR(SUMPRODUCT(--(Loads!$A$1:$A$13458=Monthly!U42&amp;$U$10),Loads!$L$1:$L$13458,Loads!$K$1:$K$13458)/W42,"-")</f>
        <v>-</v>
      </c>
      <c r="Y42" s="18" t="str" cm="1">
        <f t="array" ref="Y42">IFERROR(SUMPRODUCT(--(Loads!$A$1:$A$13458=Monthly!U42&amp;$U$10),Loads!$M$1:$M$13458,Loads!$K$1:$K$13458)/W42,"-")</f>
        <v>-</v>
      </c>
      <c r="Z42" s="79"/>
    </row>
    <row r="43" spans="2:26" s="8" customFormat="1" ht="13.5" thickBot="1" x14ac:dyDescent="0.4">
      <c r="B43" s="48"/>
      <c r="C43" s="68" t="s">
        <v>3</v>
      </c>
      <c r="D43" s="41">
        <f>IF(SUM(D12:D42)=0,"-",SUM(D12:D42))</f>
        <v>270</v>
      </c>
      <c r="E43" s="41">
        <f>IF(SUM(E12:E42)=0,"-",SUM(E12:E42))</f>
        <v>6574477</v>
      </c>
      <c r="F43" s="42">
        <f>IFERROR(SUMPRODUCT(F12:F42,E12:E42)/E43,"-")</f>
        <v>8.3072240468709548</v>
      </c>
      <c r="G43" s="42">
        <f>IFERROR(SUMPRODUCT(G12:G42,E12:E42)/E43,"-")</f>
        <v>22.066582277191017</v>
      </c>
      <c r="H43" s="49"/>
      <c r="I43" s="25" t="s">
        <v>3</v>
      </c>
      <c r="J43" s="25">
        <f>IF(SUM(J12:J42)=0,"-",SUM(J12:J42))</f>
        <v>245</v>
      </c>
      <c r="K43" s="25">
        <f>IF(SUM(K12:K42)=0,"-",SUM(K12:K42))</f>
        <v>3059320</v>
      </c>
      <c r="L43" s="26">
        <f>IFERROR(SUMPRODUCT(L12:L42,K12:K42)/K43,"-")</f>
        <v>61.102314632009744</v>
      </c>
      <c r="M43" s="26">
        <f>IFERROR(SUMPRODUCT(M12:M42,K12:K42)/K43,"-")</f>
        <v>9.8086027613979567</v>
      </c>
      <c r="N43" s="49"/>
      <c r="O43" s="27" t="s">
        <v>3</v>
      </c>
      <c r="P43" s="27">
        <f>IF(SUM(P12:P42)=0,"-",SUM(P12:P42))</f>
        <v>48</v>
      </c>
      <c r="Q43" s="27">
        <f>IF(SUM(Q12:Q42)=0,"-",SUM(Q12:Q42))</f>
        <v>573320</v>
      </c>
      <c r="R43" s="28">
        <f>IFERROR(SUMPRODUCT(R12:R42,Q12:Q42)/Q43,"-")</f>
        <v>57.565521174911048</v>
      </c>
      <c r="S43" s="28">
        <f>IFERROR(SUMPRODUCT(S12:S42,Q12:Q42)/Q43,"-")</f>
        <v>10.96478022744715</v>
      </c>
      <c r="T43" s="49"/>
      <c r="U43" s="29" t="s">
        <v>3</v>
      </c>
      <c r="V43" s="29">
        <f>IF(SUM(V12:V42)=0,"-",SUM(V12:V42))</f>
        <v>68</v>
      </c>
      <c r="W43" s="29">
        <f>IF(SUM(W12:W42)=0,"-",SUM(W12:W42))</f>
        <v>1869800</v>
      </c>
      <c r="X43" s="30">
        <f>IFERROR(SUMPRODUCT(X12:X42,W12:W42)/W43,"-")</f>
        <v>9.1127577280992611</v>
      </c>
      <c r="Y43" s="30">
        <f>IFERROR(SUMPRODUCT(Y12:Y42,W12:W42)/W43,"-")</f>
        <v>62.667029949727258</v>
      </c>
      <c r="Z43" s="80"/>
    </row>
    <row r="44" spans="2:26" ht="5.65" customHeight="1" x14ac:dyDescent="0.35">
      <c r="B44" s="44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79"/>
    </row>
    <row r="45" spans="2:26" ht="16" thickBot="1" x14ac:dyDescent="0.4">
      <c r="B45" s="44"/>
      <c r="C45" s="130" t="s">
        <v>16</v>
      </c>
      <c r="D45" s="131"/>
      <c r="E45" s="131"/>
      <c r="F45" s="131"/>
      <c r="G45" s="131"/>
      <c r="H45" s="45"/>
      <c r="I45" s="132" t="s">
        <v>17</v>
      </c>
      <c r="J45" s="133"/>
      <c r="K45" s="133"/>
      <c r="L45" s="133"/>
      <c r="M45" s="133"/>
      <c r="N45" s="45"/>
      <c r="O45" s="134" t="s">
        <v>18</v>
      </c>
      <c r="P45" s="135"/>
      <c r="Q45" s="135"/>
      <c r="R45" s="135"/>
      <c r="S45" s="135"/>
      <c r="T45" s="45"/>
      <c r="U45" s="136" t="s">
        <v>19</v>
      </c>
      <c r="V45" s="137"/>
      <c r="W45" s="137"/>
      <c r="X45" s="137"/>
      <c r="Y45" s="137"/>
      <c r="Z45" s="79"/>
    </row>
    <row r="46" spans="2:26" ht="13.5" thickBot="1" x14ac:dyDescent="0.4">
      <c r="B46" s="44"/>
      <c r="C46" s="53" t="s">
        <v>35</v>
      </c>
      <c r="D46" s="53" t="s">
        <v>24</v>
      </c>
      <c r="E46" s="53" t="s">
        <v>25</v>
      </c>
      <c r="F46" s="53" t="s">
        <v>26</v>
      </c>
      <c r="G46" s="53" t="s">
        <v>27</v>
      </c>
      <c r="H46" s="45"/>
      <c r="I46" s="19" t="s">
        <v>35</v>
      </c>
      <c r="J46" s="19" t="s">
        <v>24</v>
      </c>
      <c r="K46" s="19" t="s">
        <v>25</v>
      </c>
      <c r="L46" s="19" t="s">
        <v>26</v>
      </c>
      <c r="M46" s="19" t="s">
        <v>28</v>
      </c>
      <c r="N46" s="45"/>
      <c r="O46" s="22" t="s">
        <v>35</v>
      </c>
      <c r="P46" s="22" t="s">
        <v>24</v>
      </c>
      <c r="Q46" s="22" t="s">
        <v>25</v>
      </c>
      <c r="R46" s="22" t="s">
        <v>2</v>
      </c>
      <c r="S46" s="22" t="s">
        <v>29</v>
      </c>
      <c r="T46" s="45"/>
      <c r="U46" s="58" t="s">
        <v>35</v>
      </c>
      <c r="V46" s="58" t="s">
        <v>24</v>
      </c>
      <c r="W46" s="58" t="s">
        <v>25</v>
      </c>
      <c r="X46" s="58" t="s">
        <v>26</v>
      </c>
      <c r="Y46" s="58" t="s">
        <v>27</v>
      </c>
      <c r="Z46" s="79"/>
    </row>
    <row r="47" spans="2:26" x14ac:dyDescent="0.35">
      <c r="B47" s="44"/>
      <c r="C47" s="70">
        <f>$W$6</f>
        <v>44256</v>
      </c>
      <c r="D47" s="54">
        <f>IF(C47="-","-",COUNTIF(Loads!$A$1:$A$13458,Monthly!C47&amp;Monthly!$C$45))</f>
        <v>0</v>
      </c>
      <c r="E47" s="54" t="str">
        <f>IF(C47="-","-",IF(SUMIF(Loads!$A$1:$A$13458,Monthly!C47&amp;Monthly!$C$45,Loads!$K:$K)=0,"-",SUMIF(Loads!$A$1:$A$13458,Monthly!C47&amp;Monthly!$C$45,Loads!$K:$K)))</f>
        <v>-</v>
      </c>
      <c r="F47" s="55" t="str" cm="1">
        <f t="array" ref="F47">IFERROR(SUMPRODUCT(--(Loads!$A$1:$A$13458=Monthly!C47&amp;$C$45),Loads!$L$1:$L$13458,Loads!$K$1:$K$13458)/E47,"-")</f>
        <v>-</v>
      </c>
      <c r="G47" s="55" t="str" cm="1">
        <f t="array" ref="G47">IFERROR(SUMPRODUCT(--(Loads!$A$1:$A$13458=Monthly!C47&amp;$C$45),Loads!$M$1:$M$13458,Loads!$K$1:$K$13458)/E47,"-")</f>
        <v>-</v>
      </c>
      <c r="H47" s="45"/>
      <c r="I47" s="71">
        <f>$W$6</f>
        <v>44256</v>
      </c>
      <c r="J47" s="20">
        <f>IF(I47="-","-",COUNTIF(Loads!$A$1:$A$13458,Monthly!I47&amp;Monthly!$I$45))</f>
        <v>1</v>
      </c>
      <c r="K47" s="20">
        <f>IF(I47="-","-",IF(SUMIF(Loads!$A$1:$A$13458,Monthly!I47&amp;Monthly!$I$45,Loads!$K:$K)=0,"-",SUMIF(Loads!$A$1:$A$13458,Monthly!I47&amp;Monthly!$I$45,Loads!$K:$K)))</f>
        <v>33480</v>
      </c>
      <c r="L47" s="21" cm="1">
        <f t="array" ref="L47">IFERROR(SUMPRODUCT(--(Loads!$A$1:$A$13458=Monthly!I47&amp;$I$45),Loads!$L$1:$L$13458,Loads!$K$1:$K$13458)/K47,"-")</f>
        <v>7.0000000000000007E-2</v>
      </c>
      <c r="M47" s="21" cm="1">
        <f t="array" ref="M47">IFERROR(SUMPRODUCT(--(Loads!$A$1:$A$13458=Monthly!I47&amp;$I$45),Loads!$N$1:$N$13458,Loads!$K$1:$K$13458)/K47,"-")</f>
        <v>2.23</v>
      </c>
      <c r="N47" s="45"/>
      <c r="O47" s="72">
        <f>$W$6</f>
        <v>44256</v>
      </c>
      <c r="P47" s="23">
        <f>IF(O47="-","-",COUNTIF(Loads!$A$1:$A$13458,Monthly!O47&amp;Monthly!$O$45))</f>
        <v>0</v>
      </c>
      <c r="Q47" s="23" t="str">
        <f>IF(O47="-","-",IF(SUMIF(Loads!$A$1:$A$13458,Monthly!O47&amp;Monthly!$O$45,Loads!$K:$K)=0,"-",SUMIF(Loads!$A$1:$A$13458,Monthly!O47&amp;Monthly!$O$45,Loads!$K:$K)))</f>
        <v>-</v>
      </c>
      <c r="R47" s="24" t="str" cm="1">
        <f t="array" ref="R47">IFERROR(SUMPRODUCT(--(Loads!$A$1:$A$13458=Monthly!O47&amp;$O$45),Loads!$M$1:$M$13458,Loads!$K$1:$K$13458)/Q47,"-")</f>
        <v>-</v>
      </c>
      <c r="S47" s="24" t="str" cm="1">
        <f t="array" ref="S47">IFERROR(SUMPRODUCT(--(Loads!$A$1:$A$13458=Monthly!O47&amp;$O$45),Loads!$O$1:$O$13458,Loads!$K$1:$K$13458)/Q47,"-")</f>
        <v>-</v>
      </c>
      <c r="T47" s="45"/>
      <c r="U47" s="73">
        <f>$W$6</f>
        <v>44256</v>
      </c>
      <c r="V47" s="59">
        <f>IF(U47="-","-",COUNTIF(Loads!$A$1:$A$13458,Monthly!U47&amp;Monthly!$U$45))</f>
        <v>0</v>
      </c>
      <c r="W47" s="59" t="str">
        <f>IF(U47="-","-",IF(SUMIF(Loads!$A$1:$A$13458,Monthly!U47&amp;Monthly!$U$45,Loads!$K:$K)=0,"-",SUMIF(Loads!$A$1:$A$13458,Monthly!U47&amp;Monthly!$U$45,Loads!$K:$K)))</f>
        <v>-</v>
      </c>
      <c r="X47" s="60" t="str" cm="1">
        <f t="array" ref="X47">IFERROR(SUMPRODUCT(--(Loads!$A$1:$A$13458=Monthly!U47&amp;$U$45),Loads!$L$1:$L$13458,Loads!$K$1:$K$13458)/W47,"-")</f>
        <v>-</v>
      </c>
      <c r="Y47" s="60" t="str" cm="1">
        <f t="array" ref="Y47">IFERROR(SUMPRODUCT(--(Loads!$A$1:$A$13458=Monthly!U47&amp;$U$45),Loads!$M$1:$M$13458,Loads!$K$1:$K$13458)/W47,"-")</f>
        <v>-</v>
      </c>
      <c r="Z47" s="79"/>
    </row>
    <row r="48" spans="2:26" x14ac:dyDescent="0.35">
      <c r="B48" s="44"/>
      <c r="C48" s="70">
        <f>C47+1</f>
        <v>44257</v>
      </c>
      <c r="D48" s="54">
        <f>IF(C48="-","-",COUNTIF(Loads!$A$1:$A$13458,Monthly!C48&amp;Monthly!$C$45))</f>
        <v>0</v>
      </c>
      <c r="E48" s="54" t="str">
        <f>IF(C48="-","-",IF(SUMIF(Loads!$A$1:$A$13458,Monthly!C48&amp;Monthly!$C$45,Loads!$K:$K)=0,"-",SUMIF(Loads!$A$1:$A$13458,Monthly!C48&amp;Monthly!$C$45,Loads!$K:$K)))</f>
        <v>-</v>
      </c>
      <c r="F48" s="55" t="str" cm="1">
        <f t="array" ref="F48">IFERROR(SUMPRODUCT(--(Loads!$A$1:$A$13458=Monthly!C48&amp;$C$45),Loads!$L$1:$L$13458,Loads!$K$1:$K$13458)/E48,"-")</f>
        <v>-</v>
      </c>
      <c r="G48" s="55" t="str" cm="1">
        <f t="array" ref="G48">IFERROR(SUMPRODUCT(--(Loads!$A$1:$A$13458=Monthly!C48&amp;$C$45),Loads!$M$1:$M$13458,Loads!$K$1:$K$13458)/E48,"-")</f>
        <v>-</v>
      </c>
      <c r="H48" s="45"/>
      <c r="I48" s="71">
        <f>I47+1</f>
        <v>44257</v>
      </c>
      <c r="J48" s="20">
        <f>IF(I48="-","-",COUNTIF(Loads!$A$1:$A$13458,Monthly!I48&amp;Monthly!$I$45))</f>
        <v>1</v>
      </c>
      <c r="K48" s="20">
        <f>IF(I48="-","-",IF(SUMIF(Loads!$A$1:$A$13458,Monthly!I48&amp;Monthly!$I$45,Loads!$K:$K)=0,"-",SUMIF(Loads!$A$1:$A$13458,Monthly!I48&amp;Monthly!$I$45,Loads!$K:$K)))</f>
        <v>36220</v>
      </c>
      <c r="L48" s="21" cm="1">
        <f t="array" ref="L48">IFERROR(SUMPRODUCT(--(Loads!$A$1:$A$13458=Monthly!I48&amp;$I$45),Loads!$L$1:$L$13458,Loads!$K$1:$K$13458)/K48,"-")</f>
        <v>0.06</v>
      </c>
      <c r="M48" s="21" cm="1">
        <f t="array" ref="M48">IFERROR(SUMPRODUCT(--(Loads!$A$1:$A$13458=Monthly!I48&amp;$I$45),Loads!$N$1:$N$13458,Loads!$K$1:$K$13458)/K48,"-")</f>
        <v>2.0699999999999998</v>
      </c>
      <c r="N48" s="45"/>
      <c r="O48" s="72">
        <f>O47+1</f>
        <v>44257</v>
      </c>
      <c r="P48" s="23">
        <f>IF(O48="-","-",COUNTIF(Loads!$A$1:$A$13458,Monthly!O48&amp;Monthly!$O$45))</f>
        <v>0</v>
      </c>
      <c r="Q48" s="23" t="str">
        <f>IF(O48="-","-",IF(SUMIF(Loads!$A$1:$A$13458,Monthly!O48&amp;Monthly!$O$45,Loads!$K:$K)=0,"-",SUMIF(Loads!$A$1:$A$13458,Monthly!O48&amp;Monthly!$O$45,Loads!$K:$K)))</f>
        <v>-</v>
      </c>
      <c r="R48" s="24" t="str" cm="1">
        <f t="array" ref="R48">IFERROR(SUMPRODUCT(--(Loads!$A$1:$A$13458=Monthly!O48&amp;$O$45),Loads!$M$1:$M$13458,Loads!$K$1:$K$13458)/Q48,"-")</f>
        <v>-</v>
      </c>
      <c r="S48" s="24" t="str" cm="1">
        <f t="array" ref="S48">IFERROR(SUMPRODUCT(--(Loads!$A$1:$A$13458=Monthly!O48&amp;$O$45),Loads!$O$1:$O$13458,Loads!$K$1:$K$13458)/Q48,"-")</f>
        <v>-</v>
      </c>
      <c r="T48" s="45"/>
      <c r="U48" s="73">
        <f>U47+1</f>
        <v>44257</v>
      </c>
      <c r="V48" s="59">
        <f>IF(U48="-","-",COUNTIF(Loads!$A$1:$A$13458,Monthly!U48&amp;Monthly!$U$45))</f>
        <v>1</v>
      </c>
      <c r="W48" s="59">
        <f>IF(U48="-","-",IF(SUMIF(Loads!$A$1:$A$13458,Monthly!U48&amp;Monthly!$U$45,Loads!$K:$K)=0,"-",SUMIF(Loads!$A$1:$A$13458,Monthly!U48&amp;Monthly!$U$45,Loads!$K:$K)))</f>
        <v>13580</v>
      </c>
      <c r="X48" s="60" cm="1">
        <f t="array" ref="X48">IFERROR(SUMPRODUCT(--(Loads!$A$1:$A$13458=Monthly!U48&amp;$U$45),Loads!$L$1:$L$13458,Loads!$K$1:$K$13458)/W48,"-")</f>
        <v>11.44</v>
      </c>
      <c r="Y48" s="60" cm="1">
        <f t="array" ref="Y48">IFERROR(SUMPRODUCT(--(Loads!$A$1:$A$13458=Monthly!U48&amp;$U$45),Loads!$M$1:$M$13458,Loads!$K$1:$K$13458)/W48,"-")</f>
        <v>7.2</v>
      </c>
      <c r="Z48" s="79"/>
    </row>
    <row r="49" spans="2:26" x14ac:dyDescent="0.35">
      <c r="B49" s="44"/>
      <c r="C49" s="70">
        <f t="shared" ref="C49:C74" si="4">C48+1</f>
        <v>44258</v>
      </c>
      <c r="D49" s="54">
        <f>IF(C49="-","-",COUNTIF(Loads!$A$1:$A$13458,Monthly!C49&amp;Monthly!$C$45))</f>
        <v>0</v>
      </c>
      <c r="E49" s="54" t="str">
        <f>IF(C49="-","-",IF(SUMIF(Loads!$A$1:$A$13458,Monthly!C49&amp;Monthly!$C$45,Loads!$K:$K)=0,"-",SUMIF(Loads!$A$1:$A$13458,Monthly!C49&amp;Monthly!$C$45,Loads!$K:$K)))</f>
        <v>-</v>
      </c>
      <c r="F49" s="55" t="str" cm="1">
        <f t="array" ref="F49">IFERROR(SUMPRODUCT(--(Loads!$A$1:$A$13458=Monthly!C49&amp;$C$45),Loads!$L$1:$L$13458,Loads!$K$1:$K$13458)/E49,"-")</f>
        <v>-</v>
      </c>
      <c r="G49" s="55" t="str" cm="1">
        <f t="array" ref="G49">IFERROR(SUMPRODUCT(--(Loads!$A$1:$A$13458=Monthly!C49&amp;$C$45),Loads!$M$1:$M$13458,Loads!$K$1:$K$13458)/E49,"-")</f>
        <v>-</v>
      </c>
      <c r="H49" s="45"/>
      <c r="I49" s="71">
        <f t="shared" ref="I49:I74" si="5">I48+1</f>
        <v>44258</v>
      </c>
      <c r="J49" s="20">
        <f>IF(I49="-","-",COUNTIF(Loads!$A$1:$A$13458,Monthly!I49&amp;Monthly!$I$45))</f>
        <v>2</v>
      </c>
      <c r="K49" s="20">
        <f>IF(I49="-","-",IF(SUMIF(Loads!$A$1:$A$13458,Monthly!I49&amp;Monthly!$I$45,Loads!$K:$K)=0,"-",SUMIF(Loads!$A$1:$A$13458,Monthly!I49&amp;Monthly!$I$45,Loads!$K:$K)))</f>
        <v>75880</v>
      </c>
      <c r="L49" s="21" cm="1">
        <f t="array" ref="L49">IFERROR(SUMPRODUCT(--(Loads!$A$1:$A$13458=Monthly!I49&amp;$I$45),Loads!$L$1:$L$13458,Loads!$K$1:$K$13458)/K49,"-")</f>
        <v>5.9999999999999991E-2</v>
      </c>
      <c r="M49" s="21" cm="1">
        <f t="array" ref="M49">IFERROR(SUMPRODUCT(--(Loads!$A$1:$A$13458=Monthly!I49&amp;$I$45),Loads!$N$1:$N$13458,Loads!$K$1:$K$13458)/K49,"-")</f>
        <v>2.04</v>
      </c>
      <c r="N49" s="45"/>
      <c r="O49" s="72">
        <f t="shared" ref="O49:O74" si="6">O48+1</f>
        <v>44258</v>
      </c>
      <c r="P49" s="23">
        <f>IF(O49="-","-",COUNTIF(Loads!$A$1:$A$13458,Monthly!O49&amp;Monthly!$O$45))</f>
        <v>0</v>
      </c>
      <c r="Q49" s="23" t="str">
        <f>IF(O49="-","-",IF(SUMIF(Loads!$A$1:$A$13458,Monthly!O49&amp;Monthly!$O$45,Loads!$K:$K)=0,"-",SUMIF(Loads!$A$1:$A$13458,Monthly!O49&amp;Monthly!$O$45,Loads!$K:$K)))</f>
        <v>-</v>
      </c>
      <c r="R49" s="24" t="str" cm="1">
        <f t="array" ref="R49">IFERROR(SUMPRODUCT(--(Loads!$A$1:$A$13458=Monthly!O49&amp;$O$45),Loads!$M$1:$M$13458,Loads!$K$1:$K$13458)/Q49,"-")</f>
        <v>-</v>
      </c>
      <c r="S49" s="24" t="str" cm="1">
        <f t="array" ref="S49">IFERROR(SUMPRODUCT(--(Loads!$A$1:$A$13458=Monthly!O49&amp;$O$45),Loads!$O$1:$O$13458,Loads!$K$1:$K$13458)/Q49,"-")</f>
        <v>-</v>
      </c>
      <c r="T49" s="45"/>
      <c r="U49" s="73">
        <f t="shared" ref="U49:U74" si="7">U48+1</f>
        <v>44258</v>
      </c>
      <c r="V49" s="59">
        <f>IF(U49="-","-",COUNTIF(Loads!$A$1:$A$13458,Monthly!U49&amp;Monthly!$U$45))</f>
        <v>0</v>
      </c>
      <c r="W49" s="59" t="str">
        <f>IF(U49="-","-",IF(SUMIF(Loads!$A$1:$A$13458,Monthly!U49&amp;Monthly!$U$45,Loads!$K:$K)=0,"-",SUMIF(Loads!$A$1:$A$13458,Monthly!U49&amp;Monthly!$U$45,Loads!$K:$K)))</f>
        <v>-</v>
      </c>
      <c r="X49" s="60" t="str" cm="1">
        <f t="array" ref="X49">IFERROR(SUMPRODUCT(--(Loads!$A$1:$A$13458=Monthly!U49&amp;$U$45),Loads!$L$1:$L$13458,Loads!$K$1:$K$13458)/W49,"-")</f>
        <v>-</v>
      </c>
      <c r="Y49" s="60" t="str" cm="1">
        <f t="array" ref="Y49">IFERROR(SUMPRODUCT(--(Loads!$A$1:$A$13458=Monthly!U49&amp;$U$45),Loads!$M$1:$M$13458,Loads!$K$1:$K$13458)/W49,"-")</f>
        <v>-</v>
      </c>
      <c r="Z49" s="79"/>
    </row>
    <row r="50" spans="2:26" x14ac:dyDescent="0.35">
      <c r="B50" s="44"/>
      <c r="C50" s="70">
        <f t="shared" si="4"/>
        <v>44259</v>
      </c>
      <c r="D50" s="54">
        <f>IF(C50="-","-",COUNTIF(Loads!$A$1:$A$13458,Monthly!C50&amp;Monthly!$C$45))</f>
        <v>0</v>
      </c>
      <c r="E50" s="54" t="str">
        <f>IF(C50="-","-",IF(SUMIF(Loads!$A$1:$A$13458,Monthly!C50&amp;Monthly!$C$45,Loads!$K:$K)=0,"-",SUMIF(Loads!$A$1:$A$13458,Monthly!C50&amp;Monthly!$C$45,Loads!$K:$K)))</f>
        <v>-</v>
      </c>
      <c r="F50" s="55" t="str" cm="1">
        <f t="array" ref="F50">IFERROR(SUMPRODUCT(--(Loads!$A$1:$A$13458=Monthly!C50&amp;$C$45),Loads!$L$1:$L$13458,Loads!$K$1:$K$13458)/E50,"-")</f>
        <v>-</v>
      </c>
      <c r="G50" s="55" t="str" cm="1">
        <f t="array" ref="G50">IFERROR(SUMPRODUCT(--(Loads!$A$1:$A$13458=Monthly!C50&amp;$C$45),Loads!$M$1:$M$13458,Loads!$K$1:$K$13458)/E50,"-")</f>
        <v>-</v>
      </c>
      <c r="H50" s="45"/>
      <c r="I50" s="71">
        <f t="shared" si="5"/>
        <v>44259</v>
      </c>
      <c r="J50" s="20">
        <f>IF(I50="-","-",COUNTIF(Loads!$A$1:$A$13458,Monthly!I50&amp;Monthly!$I$45))</f>
        <v>1</v>
      </c>
      <c r="K50" s="20">
        <f>IF(I50="-","-",IF(SUMIF(Loads!$A$1:$A$13458,Monthly!I50&amp;Monthly!$I$45,Loads!$K:$K)=0,"-",SUMIF(Loads!$A$1:$A$13458,Monthly!I50&amp;Monthly!$I$45,Loads!$K:$K)))</f>
        <v>35600</v>
      </c>
      <c r="L50" s="21" cm="1">
        <f t="array" ref="L50">IFERROR(SUMPRODUCT(--(Loads!$A$1:$A$13458=Monthly!I50&amp;$I$45),Loads!$L$1:$L$13458,Loads!$K$1:$K$13458)/K50,"-")</f>
        <v>0.08</v>
      </c>
      <c r="M50" s="21" cm="1">
        <f t="array" ref="M50">IFERROR(SUMPRODUCT(--(Loads!$A$1:$A$13458=Monthly!I50&amp;$I$45),Loads!$N$1:$N$13458,Loads!$K$1:$K$13458)/K50,"-")</f>
        <v>2.04</v>
      </c>
      <c r="N50" s="45"/>
      <c r="O50" s="72">
        <f t="shared" si="6"/>
        <v>44259</v>
      </c>
      <c r="P50" s="23">
        <f>IF(O50="-","-",COUNTIF(Loads!$A$1:$A$13458,Monthly!O50&amp;Monthly!$O$45))</f>
        <v>2</v>
      </c>
      <c r="Q50" s="23">
        <f>IF(O50="-","-",IF(SUMIF(Loads!$A$1:$A$13458,Monthly!O50&amp;Monthly!$O$45,Loads!$K:$K)=0,"-",SUMIF(Loads!$A$1:$A$13458,Monthly!O50&amp;Monthly!$O$45,Loads!$K:$K)))</f>
        <v>55280</v>
      </c>
      <c r="R50" s="24" cm="1">
        <f t="array" ref="R50">IFERROR(SUMPRODUCT(--(Loads!$A$1:$A$13458=Monthly!O50&amp;$O$45),Loads!$M$1:$M$13458,Loads!$K$1:$K$13458)/Q50,"-")</f>
        <v>23.231132416787265</v>
      </c>
      <c r="S50" s="24" cm="1">
        <f t="array" ref="S50">IFERROR(SUMPRODUCT(--(Loads!$A$1:$A$13458=Monthly!O50&amp;$O$45),Loads!$O$1:$O$13458,Loads!$K$1:$K$13458)/Q50,"-")</f>
        <v>40.428006512301017</v>
      </c>
      <c r="T50" s="45"/>
      <c r="U50" s="73">
        <f t="shared" si="7"/>
        <v>44259</v>
      </c>
      <c r="V50" s="59">
        <f>IF(U50="-","-",COUNTIF(Loads!$A$1:$A$13458,Monthly!U50&amp;Monthly!$U$45))</f>
        <v>1</v>
      </c>
      <c r="W50" s="59">
        <f>IF(U50="-","-",IF(SUMIF(Loads!$A$1:$A$13458,Monthly!U50&amp;Monthly!$U$45,Loads!$K:$K)=0,"-",SUMIF(Loads!$A$1:$A$13458,Monthly!U50&amp;Monthly!$U$45,Loads!$K:$K)))</f>
        <v>18680</v>
      </c>
      <c r="X50" s="60" cm="1">
        <f t="array" ref="X50">IFERROR(SUMPRODUCT(--(Loads!$A$1:$A$13458=Monthly!U50&amp;$U$45),Loads!$L$1:$L$13458,Loads!$K$1:$K$13458)/W50,"-")</f>
        <v>12.39</v>
      </c>
      <c r="Y50" s="60" cm="1">
        <f t="array" ref="Y50">IFERROR(SUMPRODUCT(--(Loads!$A$1:$A$13458=Monthly!U50&amp;$U$45),Loads!$M$1:$M$13458,Loads!$K$1:$K$13458)/W50,"-")</f>
        <v>7.01</v>
      </c>
      <c r="Z50" s="79"/>
    </row>
    <row r="51" spans="2:26" x14ac:dyDescent="0.35">
      <c r="B51" s="44"/>
      <c r="C51" s="70">
        <f t="shared" si="4"/>
        <v>44260</v>
      </c>
      <c r="D51" s="54">
        <f>IF(C51="-","-",COUNTIF(Loads!$A$1:$A$13458,Monthly!C51&amp;Monthly!$C$45))</f>
        <v>1</v>
      </c>
      <c r="E51" s="54">
        <f>IF(C51="-","-",IF(SUMIF(Loads!$A$1:$A$13458,Monthly!C51&amp;Monthly!$C$45,Loads!$K:$K)=0,"-",SUMIF(Loads!$A$1:$A$13458,Monthly!C51&amp;Monthly!$C$45,Loads!$K:$K)))</f>
        <v>6080</v>
      </c>
      <c r="F51" s="55" cm="1">
        <f t="array" ref="F51">IFERROR(SUMPRODUCT(--(Loads!$A$1:$A$13458=Monthly!C51&amp;$C$45),Loads!$L$1:$L$13458,Loads!$K$1:$K$13458)/E51,"-")</f>
        <v>11.31</v>
      </c>
      <c r="G51" s="55" cm="1">
        <f t="array" ref="G51">IFERROR(SUMPRODUCT(--(Loads!$A$1:$A$13458=Monthly!C51&amp;$C$45),Loads!$M$1:$M$13458,Loads!$K$1:$K$13458)/E51,"-")</f>
        <v>0</v>
      </c>
      <c r="H51" s="45"/>
      <c r="I51" s="71">
        <f t="shared" si="5"/>
        <v>44260</v>
      </c>
      <c r="J51" s="20">
        <f>IF(I51="-","-",COUNTIF(Loads!$A$1:$A$13458,Monthly!I51&amp;Monthly!$I$45))</f>
        <v>0</v>
      </c>
      <c r="K51" s="20" t="str">
        <f>IF(I51="-","-",IF(SUMIF(Loads!$A$1:$A$13458,Monthly!I51&amp;Monthly!$I$45,Loads!$K:$K)=0,"-",SUMIF(Loads!$A$1:$A$13458,Monthly!I51&amp;Monthly!$I$45,Loads!$K:$K)))</f>
        <v>-</v>
      </c>
      <c r="L51" s="21" t="str" cm="1">
        <f t="array" ref="L51">IFERROR(SUMPRODUCT(--(Loads!$A$1:$A$13458=Monthly!I51&amp;$I$45),Loads!$L$1:$L$13458,Loads!$K$1:$K$13458)/K51,"-")</f>
        <v>-</v>
      </c>
      <c r="M51" s="21" t="str" cm="1">
        <f t="array" ref="M51">IFERROR(SUMPRODUCT(--(Loads!$A$1:$A$13458=Monthly!I51&amp;$I$45),Loads!$N$1:$N$13458,Loads!$K$1:$K$13458)/K51,"-")</f>
        <v>-</v>
      </c>
      <c r="N51" s="45"/>
      <c r="O51" s="72">
        <f t="shared" si="6"/>
        <v>44260</v>
      </c>
      <c r="P51" s="23">
        <f>IF(O51="-","-",COUNTIF(Loads!$A$1:$A$13458,Monthly!O51&amp;Monthly!$O$45))</f>
        <v>0</v>
      </c>
      <c r="Q51" s="23" t="str">
        <f>IF(O51="-","-",IF(SUMIF(Loads!$A$1:$A$13458,Monthly!O51&amp;Monthly!$O$45,Loads!$K:$K)=0,"-",SUMIF(Loads!$A$1:$A$13458,Monthly!O51&amp;Monthly!$O$45,Loads!$K:$K)))</f>
        <v>-</v>
      </c>
      <c r="R51" s="24" t="str" cm="1">
        <f t="array" ref="R51">IFERROR(SUMPRODUCT(--(Loads!$A$1:$A$13458=Monthly!O51&amp;$O$45),Loads!$M$1:$M$13458,Loads!$K$1:$K$13458)/Q51,"-")</f>
        <v>-</v>
      </c>
      <c r="S51" s="24" t="str" cm="1">
        <f t="array" ref="S51">IFERROR(SUMPRODUCT(--(Loads!$A$1:$A$13458=Monthly!O51&amp;$O$45),Loads!$O$1:$O$13458,Loads!$K$1:$K$13458)/Q51,"-")</f>
        <v>-</v>
      </c>
      <c r="T51" s="45"/>
      <c r="U51" s="73">
        <f t="shared" si="7"/>
        <v>44260</v>
      </c>
      <c r="V51" s="59">
        <f>IF(U51="-","-",COUNTIF(Loads!$A$1:$A$13458,Monthly!U51&amp;Monthly!$U$45))</f>
        <v>0</v>
      </c>
      <c r="W51" s="59" t="str">
        <f>IF(U51="-","-",IF(SUMIF(Loads!$A$1:$A$13458,Monthly!U51&amp;Monthly!$U$45,Loads!$K:$K)=0,"-",SUMIF(Loads!$A$1:$A$13458,Monthly!U51&amp;Monthly!$U$45,Loads!$K:$K)))</f>
        <v>-</v>
      </c>
      <c r="X51" s="60" t="str" cm="1">
        <f t="array" ref="X51">IFERROR(SUMPRODUCT(--(Loads!$A$1:$A$13458=Monthly!U51&amp;$U$45),Loads!$L$1:$L$13458,Loads!$K$1:$K$13458)/W51,"-")</f>
        <v>-</v>
      </c>
      <c r="Y51" s="60" t="str" cm="1">
        <f t="array" ref="Y51">IFERROR(SUMPRODUCT(--(Loads!$A$1:$A$13458=Monthly!U51&amp;$U$45),Loads!$M$1:$M$13458,Loads!$K$1:$K$13458)/W51,"-")</f>
        <v>-</v>
      </c>
      <c r="Z51" s="79"/>
    </row>
    <row r="52" spans="2:26" x14ac:dyDescent="0.35">
      <c r="B52" s="44"/>
      <c r="C52" s="70">
        <f t="shared" si="4"/>
        <v>44261</v>
      </c>
      <c r="D52" s="54">
        <f>IF(C52="-","-",COUNTIF(Loads!$A$1:$A$13458,Monthly!C52&amp;Monthly!$C$45))</f>
        <v>0</v>
      </c>
      <c r="E52" s="54" t="str">
        <f>IF(C52="-","-",IF(SUMIF(Loads!$A$1:$A$13458,Monthly!C52&amp;Monthly!$C$45,Loads!$K:$K)=0,"-",SUMIF(Loads!$A$1:$A$13458,Monthly!C52&amp;Monthly!$C$45,Loads!$K:$K)))</f>
        <v>-</v>
      </c>
      <c r="F52" s="55" t="str" cm="1">
        <f t="array" ref="F52">IFERROR(SUMPRODUCT(--(Loads!$A$1:$A$13458=Monthly!C52&amp;$C$45),Loads!$L$1:$L$13458,Loads!$K$1:$K$13458)/E52,"-")</f>
        <v>-</v>
      </c>
      <c r="G52" s="55" t="str" cm="1">
        <f t="array" ref="G52">IFERROR(SUMPRODUCT(--(Loads!$A$1:$A$13458=Monthly!C52&amp;$C$45),Loads!$M$1:$M$13458,Loads!$K$1:$K$13458)/E52,"-")</f>
        <v>-</v>
      </c>
      <c r="H52" s="45"/>
      <c r="I52" s="71">
        <f t="shared" si="5"/>
        <v>44261</v>
      </c>
      <c r="J52" s="20">
        <f>IF(I52="-","-",COUNTIF(Loads!$A$1:$A$13458,Monthly!I52&amp;Monthly!$I$45))</f>
        <v>1</v>
      </c>
      <c r="K52" s="20">
        <f>IF(I52="-","-",IF(SUMIF(Loads!$A$1:$A$13458,Monthly!I52&amp;Monthly!$I$45,Loads!$K:$K)=0,"-",SUMIF(Loads!$A$1:$A$13458,Monthly!I52&amp;Monthly!$I$45,Loads!$K:$K)))</f>
        <v>38340</v>
      </c>
      <c r="L52" s="21" cm="1">
        <f t="array" ref="L52">IFERROR(SUMPRODUCT(--(Loads!$A$1:$A$13458=Monthly!I52&amp;$I$45),Loads!$L$1:$L$13458,Loads!$K$1:$K$13458)/K52,"-")</f>
        <v>1.9399999999999997</v>
      </c>
      <c r="M52" s="21" cm="1">
        <f t="array" ref="M52">IFERROR(SUMPRODUCT(--(Loads!$A$1:$A$13458=Monthly!I52&amp;$I$45),Loads!$N$1:$N$13458,Loads!$K$1:$K$13458)/K52,"-")</f>
        <v>0.09</v>
      </c>
      <c r="N52" s="45"/>
      <c r="O52" s="72">
        <f t="shared" si="6"/>
        <v>44261</v>
      </c>
      <c r="P52" s="23">
        <f>IF(O52="-","-",COUNTIF(Loads!$A$1:$A$13458,Monthly!O52&amp;Monthly!$O$45))</f>
        <v>1</v>
      </c>
      <c r="Q52" s="23">
        <f>IF(O52="-","-",IF(SUMIF(Loads!$A$1:$A$13458,Monthly!O52&amp;Monthly!$O$45,Loads!$K:$K)=0,"-",SUMIF(Loads!$A$1:$A$13458,Monthly!O52&amp;Monthly!$O$45,Loads!$K:$K)))</f>
        <v>26200</v>
      </c>
      <c r="R52" s="24" cm="1">
        <f t="array" ref="R52">IFERROR(SUMPRODUCT(--(Loads!$A$1:$A$13458=Monthly!O52&amp;$O$45),Loads!$M$1:$M$13458,Loads!$K$1:$K$13458)/Q52,"-")</f>
        <v>24.13</v>
      </c>
      <c r="S52" s="24" cm="1">
        <f t="array" ref="S52">IFERROR(SUMPRODUCT(--(Loads!$A$1:$A$13458=Monthly!O52&amp;$O$45),Loads!$O$1:$O$13458,Loads!$K$1:$K$13458)/Q52,"-")</f>
        <v>51.74</v>
      </c>
      <c r="T52" s="45"/>
      <c r="U52" s="73">
        <f t="shared" si="7"/>
        <v>44261</v>
      </c>
      <c r="V52" s="59">
        <f>IF(U52="-","-",COUNTIF(Loads!$A$1:$A$13458,Monthly!U52&amp;Monthly!$U$45))</f>
        <v>1</v>
      </c>
      <c r="W52" s="59">
        <f>IF(U52="-","-",IF(SUMIF(Loads!$A$1:$A$13458,Monthly!U52&amp;Monthly!$U$45,Loads!$K:$K)=0,"-",SUMIF(Loads!$A$1:$A$13458,Monthly!U52&amp;Monthly!$U$45,Loads!$K:$K)))</f>
        <v>23520</v>
      </c>
      <c r="X52" s="60" cm="1">
        <f t="array" ref="X52">IFERROR(SUMPRODUCT(--(Loads!$A$1:$A$13458=Monthly!U52&amp;$U$45),Loads!$L$1:$L$13458,Loads!$K$1:$K$13458)/W52,"-")</f>
        <v>13.01</v>
      </c>
      <c r="Y52" s="60" cm="1">
        <f t="array" ref="Y52">IFERROR(SUMPRODUCT(--(Loads!$A$1:$A$13458=Monthly!U52&amp;$U$45),Loads!$M$1:$M$13458,Loads!$K$1:$K$13458)/W52,"-")</f>
        <v>7.0099999999999989</v>
      </c>
      <c r="Z52" s="79"/>
    </row>
    <row r="53" spans="2:26" x14ac:dyDescent="0.35">
      <c r="B53" s="44"/>
      <c r="C53" s="70">
        <f t="shared" si="4"/>
        <v>44262</v>
      </c>
      <c r="D53" s="54">
        <f>IF(C53="-","-",COUNTIF(Loads!$A$1:$A$13458,Monthly!C53&amp;Monthly!$C$45))</f>
        <v>0</v>
      </c>
      <c r="E53" s="54" t="str">
        <f>IF(C53="-","-",IF(SUMIF(Loads!$A$1:$A$13458,Monthly!C53&amp;Monthly!$C$45,Loads!$K:$K)=0,"-",SUMIF(Loads!$A$1:$A$13458,Monthly!C53&amp;Monthly!$C$45,Loads!$K:$K)))</f>
        <v>-</v>
      </c>
      <c r="F53" s="55" t="str" cm="1">
        <f t="array" ref="F53">IFERROR(SUMPRODUCT(--(Loads!$A$1:$A$13458=Monthly!C53&amp;$C$45),Loads!$L$1:$L$13458,Loads!$K$1:$K$13458)/E53,"-")</f>
        <v>-</v>
      </c>
      <c r="G53" s="55" t="str" cm="1">
        <f t="array" ref="G53">IFERROR(SUMPRODUCT(--(Loads!$A$1:$A$13458=Monthly!C53&amp;$C$45),Loads!$M$1:$M$13458,Loads!$K$1:$K$13458)/E53,"-")</f>
        <v>-</v>
      </c>
      <c r="H53" s="45"/>
      <c r="I53" s="71">
        <f t="shared" si="5"/>
        <v>44262</v>
      </c>
      <c r="J53" s="20">
        <f>IF(I53="-","-",COUNTIF(Loads!$A$1:$A$13458,Monthly!I53&amp;Monthly!$I$45))</f>
        <v>1</v>
      </c>
      <c r="K53" s="20">
        <f>IF(I53="-","-",IF(SUMIF(Loads!$A$1:$A$13458,Monthly!I53&amp;Monthly!$I$45,Loads!$K:$K)=0,"-",SUMIF(Loads!$A$1:$A$13458,Monthly!I53&amp;Monthly!$I$45,Loads!$K:$K)))</f>
        <v>34880</v>
      </c>
      <c r="L53" s="21" cm="1">
        <f t="array" ref="L53">IFERROR(SUMPRODUCT(--(Loads!$A$1:$A$13458=Monthly!I53&amp;$I$45),Loads!$L$1:$L$13458,Loads!$K$1:$K$13458)/K53,"-")</f>
        <v>1.94</v>
      </c>
      <c r="M53" s="21" cm="1">
        <f t="array" ref="M53">IFERROR(SUMPRODUCT(--(Loads!$A$1:$A$13458=Monthly!I53&amp;$I$45),Loads!$N$1:$N$13458,Loads!$K$1:$K$13458)/K53,"-")</f>
        <v>0.09</v>
      </c>
      <c r="N53" s="45"/>
      <c r="O53" s="72">
        <f t="shared" si="6"/>
        <v>44262</v>
      </c>
      <c r="P53" s="23">
        <f>IF(O53="-","-",COUNTIF(Loads!$A$1:$A$13458,Monthly!O53&amp;Monthly!$O$45))</f>
        <v>1</v>
      </c>
      <c r="Q53" s="23">
        <f>IF(O53="-","-",IF(SUMIF(Loads!$A$1:$A$13458,Monthly!O53&amp;Monthly!$O$45,Loads!$K:$K)=0,"-",SUMIF(Loads!$A$1:$A$13458,Monthly!O53&amp;Monthly!$O$45,Loads!$K:$K)))</f>
        <v>26200</v>
      </c>
      <c r="R53" s="24" cm="1">
        <f t="array" ref="R53">IFERROR(SUMPRODUCT(--(Loads!$A$1:$A$13458=Monthly!O53&amp;$O$45),Loads!$M$1:$M$13458,Loads!$K$1:$K$13458)/Q53,"-")</f>
        <v>24.13</v>
      </c>
      <c r="S53" s="24" cm="1">
        <f t="array" ref="S53">IFERROR(SUMPRODUCT(--(Loads!$A$1:$A$13458=Monthly!O53&amp;$O$45),Loads!$O$1:$O$13458,Loads!$K$1:$K$13458)/Q53,"-")</f>
        <v>51.74</v>
      </c>
      <c r="T53" s="45"/>
      <c r="U53" s="73">
        <f t="shared" si="7"/>
        <v>44262</v>
      </c>
      <c r="V53" s="59">
        <f>IF(U53="-","-",COUNTIF(Loads!$A$1:$A$13458,Monthly!U53&amp;Monthly!$U$45))</f>
        <v>1</v>
      </c>
      <c r="W53" s="59">
        <f>IF(U53="-","-",IF(SUMIF(Loads!$A$1:$A$13458,Monthly!U53&amp;Monthly!$U$45,Loads!$K:$K)=0,"-",SUMIF(Loads!$A$1:$A$13458,Monthly!U53&amp;Monthly!$U$45,Loads!$K:$K)))</f>
        <v>12640</v>
      </c>
      <c r="X53" s="60" cm="1">
        <f t="array" ref="X53">IFERROR(SUMPRODUCT(--(Loads!$A$1:$A$13458=Monthly!U53&amp;$U$45),Loads!$L$1:$L$13458,Loads!$K$1:$K$13458)/W53,"-")</f>
        <v>11.6</v>
      </c>
      <c r="Y53" s="60" cm="1">
        <f t="array" ref="Y53">IFERROR(SUMPRODUCT(--(Loads!$A$1:$A$13458=Monthly!U53&amp;$U$45),Loads!$M$1:$M$13458,Loads!$K$1:$K$13458)/W53,"-")</f>
        <v>7.2</v>
      </c>
      <c r="Z53" s="79"/>
    </row>
    <row r="54" spans="2:26" x14ac:dyDescent="0.35">
      <c r="B54" s="44"/>
      <c r="C54" s="70">
        <f t="shared" si="4"/>
        <v>44263</v>
      </c>
      <c r="D54" s="54">
        <f>IF(C54="-","-",COUNTIF(Loads!$A$1:$A$13458,Monthly!C54&amp;Monthly!$C$45))</f>
        <v>0</v>
      </c>
      <c r="E54" s="54" t="str">
        <f>IF(C54="-","-",IF(SUMIF(Loads!$A$1:$A$13458,Monthly!C54&amp;Monthly!$C$45,Loads!$K:$K)=0,"-",SUMIF(Loads!$A$1:$A$13458,Monthly!C54&amp;Monthly!$C$45,Loads!$K:$K)))</f>
        <v>-</v>
      </c>
      <c r="F54" s="55" t="str" cm="1">
        <f t="array" ref="F54">IFERROR(SUMPRODUCT(--(Loads!$A$1:$A$13458=Monthly!C54&amp;$C$45),Loads!$L$1:$L$13458,Loads!$K$1:$K$13458)/E54,"-")</f>
        <v>-</v>
      </c>
      <c r="G54" s="55" t="str" cm="1">
        <f t="array" ref="G54">IFERROR(SUMPRODUCT(--(Loads!$A$1:$A$13458=Monthly!C54&amp;$C$45),Loads!$M$1:$M$13458,Loads!$K$1:$K$13458)/E54,"-")</f>
        <v>-</v>
      </c>
      <c r="H54" s="45"/>
      <c r="I54" s="71">
        <f t="shared" si="5"/>
        <v>44263</v>
      </c>
      <c r="J54" s="20">
        <f>IF(I54="-","-",COUNTIF(Loads!$A$1:$A$13458,Monthly!I54&amp;Monthly!$I$45))</f>
        <v>1</v>
      </c>
      <c r="K54" s="20">
        <f>IF(I54="-","-",IF(SUMIF(Loads!$A$1:$A$13458,Monthly!I54&amp;Monthly!$I$45,Loads!$K:$K)=0,"-",SUMIF(Loads!$A$1:$A$13458,Monthly!I54&amp;Monthly!$I$45,Loads!$K:$K)))</f>
        <v>35920</v>
      </c>
      <c r="L54" s="21" cm="1">
        <f t="array" ref="L54">IFERROR(SUMPRODUCT(--(Loads!$A$1:$A$13458=Monthly!I54&amp;$I$45),Loads!$L$1:$L$13458,Loads!$K$1:$K$13458)/K54,"-")</f>
        <v>2.19</v>
      </c>
      <c r="M54" s="21" cm="1">
        <f t="array" ref="M54">IFERROR(SUMPRODUCT(--(Loads!$A$1:$A$13458=Monthly!I54&amp;$I$45),Loads!$N$1:$N$13458,Loads!$K$1:$K$13458)/K54,"-")</f>
        <v>0.09</v>
      </c>
      <c r="N54" s="45"/>
      <c r="O54" s="72">
        <f t="shared" si="6"/>
        <v>44263</v>
      </c>
      <c r="P54" s="23">
        <f>IF(O54="-","-",COUNTIF(Loads!$A$1:$A$13458,Monthly!O54&amp;Monthly!$O$45))</f>
        <v>1</v>
      </c>
      <c r="Q54" s="23">
        <f>IF(O54="-","-",IF(SUMIF(Loads!$A$1:$A$13458,Monthly!O54&amp;Monthly!$O$45,Loads!$K:$K)=0,"-",SUMIF(Loads!$A$1:$A$13458,Monthly!O54&amp;Monthly!$O$45,Loads!$K:$K)))</f>
        <v>22780</v>
      </c>
      <c r="R54" s="24" cm="1">
        <f t="array" ref="R54">IFERROR(SUMPRODUCT(--(Loads!$A$1:$A$13458=Monthly!O54&amp;$O$45),Loads!$M$1:$M$13458,Loads!$K$1:$K$13458)/Q54,"-")</f>
        <v>21.15</v>
      </c>
      <c r="S54" s="24" cm="1">
        <f t="array" ref="S54">IFERROR(SUMPRODUCT(--(Loads!$A$1:$A$13458=Monthly!O54&amp;$O$45),Loads!$O$1:$O$13458,Loads!$K$1:$K$13458)/Q54,"-")</f>
        <v>41.96</v>
      </c>
      <c r="T54" s="45"/>
      <c r="U54" s="73">
        <f t="shared" si="7"/>
        <v>44263</v>
      </c>
      <c r="V54" s="59">
        <f>IF(U54="-","-",COUNTIF(Loads!$A$1:$A$13458,Monthly!U54&amp;Monthly!$U$45))</f>
        <v>1</v>
      </c>
      <c r="W54" s="59">
        <f>IF(U54="-","-",IF(SUMIF(Loads!$A$1:$A$13458,Monthly!U54&amp;Monthly!$U$45,Loads!$K:$K)=0,"-",SUMIF(Loads!$A$1:$A$13458,Monthly!U54&amp;Monthly!$U$45,Loads!$K:$K)))</f>
        <v>11520</v>
      </c>
      <c r="X54" s="60" cm="1">
        <f t="array" ref="X54">IFERROR(SUMPRODUCT(--(Loads!$A$1:$A$13458=Monthly!U54&amp;$U$45),Loads!$L$1:$L$13458,Loads!$K$1:$K$13458)/W54,"-")</f>
        <v>10.6</v>
      </c>
      <c r="Y54" s="60" cm="1">
        <f t="array" ref="Y54">IFERROR(SUMPRODUCT(--(Loads!$A$1:$A$13458=Monthly!U54&amp;$U$45),Loads!$M$1:$M$13458,Loads!$K$1:$K$13458)/W54,"-")</f>
        <v>7.2</v>
      </c>
      <c r="Z54" s="79"/>
    </row>
    <row r="55" spans="2:26" x14ac:dyDescent="0.35">
      <c r="B55" s="44"/>
      <c r="C55" s="70">
        <f t="shared" si="4"/>
        <v>44264</v>
      </c>
      <c r="D55" s="54">
        <f>IF(C55="-","-",COUNTIF(Loads!$A$1:$A$13458,Monthly!C55&amp;Monthly!$C$45))</f>
        <v>0</v>
      </c>
      <c r="E55" s="54" t="str">
        <f>IF(C55="-","-",IF(SUMIF(Loads!$A$1:$A$13458,Monthly!C55&amp;Monthly!$C$45,Loads!$K:$K)=0,"-",SUMIF(Loads!$A$1:$A$13458,Monthly!C55&amp;Monthly!$C$45,Loads!$K:$K)))</f>
        <v>-</v>
      </c>
      <c r="F55" s="55" t="str" cm="1">
        <f t="array" ref="F55">IFERROR(SUMPRODUCT(--(Loads!$A$1:$A$13458=Monthly!C55&amp;$C$45),Loads!$L$1:$L$13458,Loads!$K$1:$K$13458)/E55,"-")</f>
        <v>-</v>
      </c>
      <c r="G55" s="55" t="str" cm="1">
        <f t="array" ref="G55">IFERROR(SUMPRODUCT(--(Loads!$A$1:$A$13458=Monthly!C55&amp;$C$45),Loads!$M$1:$M$13458,Loads!$K$1:$K$13458)/E55,"-")</f>
        <v>-</v>
      </c>
      <c r="H55" s="45"/>
      <c r="I55" s="71">
        <f t="shared" si="5"/>
        <v>44264</v>
      </c>
      <c r="J55" s="20">
        <f>IF(I55="-","-",COUNTIF(Loads!$A$1:$A$13458,Monthly!I55&amp;Monthly!$I$45))</f>
        <v>1</v>
      </c>
      <c r="K55" s="20">
        <f>IF(I55="-","-",IF(SUMIF(Loads!$A$1:$A$13458,Monthly!I55&amp;Monthly!$I$45,Loads!$K:$K)=0,"-",SUMIF(Loads!$A$1:$A$13458,Monthly!I55&amp;Monthly!$I$45,Loads!$K:$K)))</f>
        <v>31640</v>
      </c>
      <c r="L55" s="21" cm="1">
        <f t="array" ref="L55">IFERROR(SUMPRODUCT(--(Loads!$A$1:$A$13458=Monthly!I55&amp;$I$45),Loads!$L$1:$L$13458,Loads!$K$1:$K$13458)/K55,"-")</f>
        <v>1.9</v>
      </c>
      <c r="M55" s="21" cm="1">
        <f t="array" ref="M55">IFERROR(SUMPRODUCT(--(Loads!$A$1:$A$13458=Monthly!I55&amp;$I$45),Loads!$N$1:$N$13458,Loads!$K$1:$K$13458)/K55,"-")</f>
        <v>0.09</v>
      </c>
      <c r="N55" s="45"/>
      <c r="O55" s="72">
        <f t="shared" si="6"/>
        <v>44264</v>
      </c>
      <c r="P55" s="23">
        <f>IF(O55="-","-",COUNTIF(Loads!$A$1:$A$13458,Monthly!O55&amp;Monthly!$O$45))</f>
        <v>1</v>
      </c>
      <c r="Q55" s="23">
        <f>IF(O55="-","-",IF(SUMIF(Loads!$A$1:$A$13458,Monthly!O55&amp;Monthly!$O$45,Loads!$K:$K)=0,"-",SUMIF(Loads!$A$1:$A$13458,Monthly!O55&amp;Monthly!$O$45,Loads!$K:$K)))</f>
        <v>21600</v>
      </c>
      <c r="R55" s="24" cm="1">
        <f t="array" ref="R55">IFERROR(SUMPRODUCT(--(Loads!$A$1:$A$13458=Monthly!O55&amp;$O$45),Loads!$M$1:$M$13458,Loads!$K$1:$K$13458)/Q55,"-")</f>
        <v>23.3</v>
      </c>
      <c r="S55" s="24" cm="1">
        <f t="array" ref="S55">IFERROR(SUMPRODUCT(--(Loads!$A$1:$A$13458=Monthly!O55&amp;$O$45),Loads!$O$1:$O$13458,Loads!$K$1:$K$13458)/Q55,"-")</f>
        <v>50.23</v>
      </c>
      <c r="T55" s="45"/>
      <c r="U55" s="73">
        <f t="shared" si="7"/>
        <v>44264</v>
      </c>
      <c r="V55" s="59">
        <f>IF(U55="-","-",COUNTIF(Loads!$A$1:$A$13458,Monthly!U55&amp;Monthly!$U$45))</f>
        <v>1</v>
      </c>
      <c r="W55" s="59">
        <f>IF(U55="-","-",IF(SUMIF(Loads!$A$1:$A$13458,Monthly!U55&amp;Monthly!$U$45,Loads!$K:$K)=0,"-",SUMIF(Loads!$A$1:$A$13458,Monthly!U55&amp;Monthly!$U$45,Loads!$K:$K)))</f>
        <v>12620</v>
      </c>
      <c r="X55" s="60" cm="1">
        <f t="array" ref="X55">IFERROR(SUMPRODUCT(--(Loads!$A$1:$A$13458=Monthly!U55&amp;$U$45),Loads!$L$1:$L$13458,Loads!$K$1:$K$13458)/W55,"-")</f>
        <v>11.88</v>
      </c>
      <c r="Y55" s="60" cm="1">
        <f t="array" ref="Y55">IFERROR(SUMPRODUCT(--(Loads!$A$1:$A$13458=Monthly!U55&amp;$U$45),Loads!$M$1:$M$13458,Loads!$K$1:$K$13458)/W55,"-")</f>
        <v>7.2</v>
      </c>
      <c r="Z55" s="79"/>
    </row>
    <row r="56" spans="2:26" x14ac:dyDescent="0.35">
      <c r="B56" s="44"/>
      <c r="C56" s="70">
        <f t="shared" si="4"/>
        <v>44265</v>
      </c>
      <c r="D56" s="54">
        <f>IF(C56="-","-",COUNTIF(Loads!$A$1:$A$13458,Monthly!C56&amp;Monthly!$C$45))</f>
        <v>1</v>
      </c>
      <c r="E56" s="54">
        <f>IF(C56="-","-",IF(SUMIF(Loads!$A$1:$A$13458,Monthly!C56&amp;Monthly!$C$45,Loads!$K:$K)=0,"-",SUMIF(Loads!$A$1:$A$13458,Monthly!C56&amp;Monthly!$C$45,Loads!$K:$K)))</f>
        <v>7480</v>
      </c>
      <c r="F56" s="55" cm="1">
        <f t="array" ref="F56">IFERROR(SUMPRODUCT(--(Loads!$A$1:$A$13458=Monthly!C56&amp;$C$45),Loads!$L$1:$L$13458,Loads!$K$1:$K$13458)/E56,"-")</f>
        <v>13.68</v>
      </c>
      <c r="G56" s="55" cm="1">
        <f t="array" ref="G56">IFERROR(SUMPRODUCT(--(Loads!$A$1:$A$13458=Monthly!C56&amp;$C$45),Loads!$M$1:$M$13458,Loads!$K$1:$K$13458)/E56,"-")</f>
        <v>0</v>
      </c>
      <c r="H56" s="45"/>
      <c r="I56" s="71">
        <f t="shared" si="5"/>
        <v>44265</v>
      </c>
      <c r="J56" s="20">
        <f>IF(I56="-","-",COUNTIF(Loads!$A$1:$A$13458,Monthly!I56&amp;Monthly!$I$45))</f>
        <v>2</v>
      </c>
      <c r="K56" s="20">
        <f>IF(I56="-","-",IF(SUMIF(Loads!$A$1:$A$13458,Monthly!I56&amp;Monthly!$I$45,Loads!$K:$K)=0,"-",SUMIF(Loads!$A$1:$A$13458,Monthly!I56&amp;Monthly!$I$45,Loads!$K:$K)))</f>
        <v>64560</v>
      </c>
      <c r="L56" s="21" cm="1">
        <f t="array" ref="L56">IFERROR(SUMPRODUCT(--(Loads!$A$1:$A$13458=Monthly!I56&amp;$I$45),Loads!$L$1:$L$13458,Loads!$K$1:$K$13458)/K56,"-")</f>
        <v>2.1</v>
      </c>
      <c r="M56" s="21" cm="1">
        <f t="array" ref="M56">IFERROR(SUMPRODUCT(--(Loads!$A$1:$A$13458=Monthly!I56&amp;$I$45),Loads!$N$1:$N$13458,Loads!$K$1:$K$13458)/K56,"-")</f>
        <v>0.08</v>
      </c>
      <c r="N56" s="45"/>
      <c r="O56" s="72">
        <f t="shared" si="6"/>
        <v>44265</v>
      </c>
      <c r="P56" s="23">
        <f>IF(O56="-","-",COUNTIF(Loads!$A$1:$A$13458,Monthly!O56&amp;Monthly!$O$45))</f>
        <v>2</v>
      </c>
      <c r="Q56" s="23">
        <f>IF(O56="-","-",IF(SUMIF(Loads!$A$1:$A$13458,Monthly!O56&amp;Monthly!$O$45,Loads!$K:$K)=0,"-",SUMIF(Loads!$A$1:$A$13458,Monthly!O56&amp;Monthly!$O$45,Loads!$K:$K)))</f>
        <v>53500</v>
      </c>
      <c r="R56" s="24" cm="1">
        <f t="array" ref="R56">IFERROR(SUMPRODUCT(--(Loads!$A$1:$A$13458=Monthly!O56&amp;$O$45),Loads!$M$1:$M$13458,Loads!$K$1:$K$13458)/Q56,"-")</f>
        <v>21.624579439252336</v>
      </c>
      <c r="S56" s="24" cm="1">
        <f t="array" ref="S56">IFERROR(SUMPRODUCT(--(Loads!$A$1:$A$13458=Monthly!O56&amp;$O$45),Loads!$O$1:$O$13458,Loads!$K$1:$K$13458)/Q56,"-")</f>
        <v>41.628</v>
      </c>
      <c r="T56" s="45"/>
      <c r="U56" s="73">
        <f t="shared" si="7"/>
        <v>44265</v>
      </c>
      <c r="V56" s="59">
        <f>IF(U56="-","-",COUNTIF(Loads!$A$1:$A$13458,Monthly!U56&amp;Monthly!$U$45))</f>
        <v>0</v>
      </c>
      <c r="W56" s="59" t="str">
        <f>IF(U56="-","-",IF(SUMIF(Loads!$A$1:$A$13458,Monthly!U56&amp;Monthly!$U$45,Loads!$K:$K)=0,"-",SUMIF(Loads!$A$1:$A$13458,Monthly!U56&amp;Monthly!$U$45,Loads!$K:$K)))</f>
        <v>-</v>
      </c>
      <c r="X56" s="60" t="str" cm="1">
        <f t="array" ref="X56">IFERROR(SUMPRODUCT(--(Loads!$A$1:$A$13458=Monthly!U56&amp;$U$45),Loads!$L$1:$L$13458,Loads!$K$1:$K$13458)/W56,"-")</f>
        <v>-</v>
      </c>
      <c r="Y56" s="60" t="str" cm="1">
        <f t="array" ref="Y56">IFERROR(SUMPRODUCT(--(Loads!$A$1:$A$13458=Monthly!U56&amp;$U$45),Loads!$M$1:$M$13458,Loads!$K$1:$K$13458)/W56,"-")</f>
        <v>-</v>
      </c>
      <c r="Z56" s="79"/>
    </row>
    <row r="57" spans="2:26" x14ac:dyDescent="0.35">
      <c r="B57" s="44"/>
      <c r="C57" s="70">
        <f t="shared" si="4"/>
        <v>44266</v>
      </c>
      <c r="D57" s="54">
        <f>IF(C57="-","-",COUNTIF(Loads!$A$1:$A$13458,Monthly!C57&amp;Monthly!$C$45))</f>
        <v>0</v>
      </c>
      <c r="E57" s="54" t="str">
        <f>IF(C57="-","-",IF(SUMIF(Loads!$A$1:$A$13458,Monthly!C57&amp;Monthly!$C$45,Loads!$K:$K)=0,"-",SUMIF(Loads!$A$1:$A$13458,Monthly!C57&amp;Monthly!$C$45,Loads!$K:$K)))</f>
        <v>-</v>
      </c>
      <c r="F57" s="55" t="str" cm="1">
        <f t="array" ref="F57">IFERROR(SUMPRODUCT(--(Loads!$A$1:$A$13458=Monthly!C57&amp;$C$45),Loads!$L$1:$L$13458,Loads!$K$1:$K$13458)/E57,"-")</f>
        <v>-</v>
      </c>
      <c r="G57" s="55" t="str" cm="1">
        <f t="array" ref="G57">IFERROR(SUMPRODUCT(--(Loads!$A$1:$A$13458=Monthly!C57&amp;$C$45),Loads!$M$1:$M$13458,Loads!$K$1:$K$13458)/E57,"-")</f>
        <v>-</v>
      </c>
      <c r="H57" s="45"/>
      <c r="I57" s="71">
        <f t="shared" si="5"/>
        <v>44266</v>
      </c>
      <c r="J57" s="20">
        <f>IF(I57="-","-",COUNTIF(Loads!$A$1:$A$13458,Monthly!I57&amp;Monthly!$I$45))</f>
        <v>1</v>
      </c>
      <c r="K57" s="20">
        <f>IF(I57="-","-",IF(SUMIF(Loads!$A$1:$A$13458,Monthly!I57&amp;Monthly!$I$45,Loads!$K:$K)=0,"-",SUMIF(Loads!$A$1:$A$13458,Monthly!I57&amp;Monthly!$I$45,Loads!$K:$K)))</f>
        <v>35440</v>
      </c>
      <c r="L57" s="21" cm="1">
        <f t="array" ref="L57">IFERROR(SUMPRODUCT(--(Loads!$A$1:$A$13458=Monthly!I57&amp;$I$45),Loads!$L$1:$L$13458,Loads!$K$1:$K$13458)/K57,"-")</f>
        <v>0.08</v>
      </c>
      <c r="M57" s="21" cm="1">
        <f t="array" ref="M57">IFERROR(SUMPRODUCT(--(Loads!$A$1:$A$13458=Monthly!I57&amp;$I$45),Loads!$N$1:$N$13458,Loads!$K$1:$K$13458)/K57,"-")</f>
        <v>2.1</v>
      </c>
      <c r="N57" s="45"/>
      <c r="O57" s="72">
        <f t="shared" si="6"/>
        <v>44266</v>
      </c>
      <c r="P57" s="23">
        <f>IF(O57="-","-",COUNTIF(Loads!$A$1:$A$13458,Monthly!O57&amp;Monthly!$O$45))</f>
        <v>0</v>
      </c>
      <c r="Q57" s="23" t="str">
        <f>IF(O57="-","-",IF(SUMIF(Loads!$A$1:$A$13458,Monthly!O57&amp;Monthly!$O$45,Loads!$K:$K)=0,"-",SUMIF(Loads!$A$1:$A$13458,Monthly!O57&amp;Monthly!$O$45,Loads!$K:$K)))</f>
        <v>-</v>
      </c>
      <c r="R57" s="24" t="str" cm="1">
        <f t="array" ref="R57">IFERROR(SUMPRODUCT(--(Loads!$A$1:$A$13458=Monthly!O57&amp;$O$45),Loads!$M$1:$M$13458,Loads!$K$1:$K$13458)/Q57,"-")</f>
        <v>-</v>
      </c>
      <c r="S57" s="24" t="str" cm="1">
        <f t="array" ref="S57">IFERROR(SUMPRODUCT(--(Loads!$A$1:$A$13458=Monthly!O57&amp;$O$45),Loads!$O$1:$O$13458,Loads!$K$1:$K$13458)/Q57,"-")</f>
        <v>-</v>
      </c>
      <c r="T57" s="45"/>
      <c r="U57" s="73">
        <f t="shared" si="7"/>
        <v>44266</v>
      </c>
      <c r="V57" s="59">
        <f>IF(U57="-","-",COUNTIF(Loads!$A$1:$A$13458,Monthly!U57&amp;Monthly!$U$45))</f>
        <v>3</v>
      </c>
      <c r="W57" s="59">
        <f>IF(U57="-","-",IF(SUMIF(Loads!$A$1:$A$13458,Monthly!U57&amp;Monthly!$U$45,Loads!$K:$K)=0,"-",SUMIF(Loads!$A$1:$A$13458,Monthly!U57&amp;Monthly!$U$45,Loads!$K:$K)))</f>
        <v>34620</v>
      </c>
      <c r="X57" s="60" cm="1">
        <f t="array" ref="X57">IFERROR(SUMPRODUCT(--(Loads!$A$1:$A$13458=Monthly!U57&amp;$U$45),Loads!$L$1:$L$13458,Loads!$K$1:$K$13458)/W57,"-")</f>
        <v>12.026112073945695</v>
      </c>
      <c r="Y57" s="60" cm="1">
        <f t="array" ref="Y57">IFERROR(SUMPRODUCT(--(Loads!$A$1:$A$13458=Monthly!U57&amp;$U$45),Loads!$M$1:$M$13458,Loads!$K$1:$K$13458)/W57,"-")</f>
        <v>7.2063316002310804</v>
      </c>
      <c r="Z57" s="79"/>
    </row>
    <row r="58" spans="2:26" x14ac:dyDescent="0.35">
      <c r="B58" s="44"/>
      <c r="C58" s="70">
        <f t="shared" si="4"/>
        <v>44267</v>
      </c>
      <c r="D58" s="54">
        <f>IF(C58="-","-",COUNTIF(Loads!$A$1:$A$13458,Monthly!C58&amp;Monthly!$C$45))</f>
        <v>0</v>
      </c>
      <c r="E58" s="54" t="str">
        <f>IF(C58="-","-",IF(SUMIF(Loads!$A$1:$A$13458,Monthly!C58&amp;Monthly!$C$45,Loads!$K:$K)=0,"-",SUMIF(Loads!$A$1:$A$13458,Monthly!C58&amp;Monthly!$C$45,Loads!$K:$K)))</f>
        <v>-</v>
      </c>
      <c r="F58" s="55" t="str" cm="1">
        <f t="array" ref="F58">IFERROR(SUMPRODUCT(--(Loads!$A$1:$A$13458=Monthly!C58&amp;$C$45),Loads!$L$1:$L$13458,Loads!$K$1:$K$13458)/E58,"-")</f>
        <v>-</v>
      </c>
      <c r="G58" s="55" t="str" cm="1">
        <f t="array" ref="G58">IFERROR(SUMPRODUCT(--(Loads!$A$1:$A$13458=Monthly!C58&amp;$C$45),Loads!$M$1:$M$13458,Loads!$K$1:$K$13458)/E58,"-")</f>
        <v>-</v>
      </c>
      <c r="H58" s="45"/>
      <c r="I58" s="71">
        <f t="shared" si="5"/>
        <v>44267</v>
      </c>
      <c r="J58" s="20">
        <f>IF(I58="-","-",COUNTIF(Loads!$A$1:$A$13458,Monthly!I58&amp;Monthly!$I$45))</f>
        <v>1</v>
      </c>
      <c r="K58" s="20">
        <f>IF(I58="-","-",IF(SUMIF(Loads!$A$1:$A$13458,Monthly!I58&amp;Monthly!$I$45,Loads!$K:$K)=0,"-",SUMIF(Loads!$A$1:$A$13458,Monthly!I58&amp;Monthly!$I$45,Loads!$K:$K)))</f>
        <v>35440</v>
      </c>
      <c r="L58" s="21" cm="1">
        <f t="array" ref="L58">IFERROR(SUMPRODUCT(--(Loads!$A$1:$A$13458=Monthly!I58&amp;$I$45),Loads!$L$1:$L$13458,Loads!$K$1:$K$13458)/K58,"-")</f>
        <v>7.0000000000000007E-2</v>
      </c>
      <c r="M58" s="21" cm="1">
        <f t="array" ref="M58">IFERROR(SUMPRODUCT(--(Loads!$A$1:$A$13458=Monthly!I58&amp;$I$45),Loads!$N$1:$N$13458,Loads!$K$1:$K$13458)/K58,"-")</f>
        <v>2.61</v>
      </c>
      <c r="N58" s="45"/>
      <c r="O58" s="72">
        <f t="shared" si="6"/>
        <v>44267</v>
      </c>
      <c r="P58" s="23">
        <f>IF(O58="-","-",COUNTIF(Loads!$A$1:$A$13458,Monthly!O58&amp;Monthly!$O$45))</f>
        <v>0</v>
      </c>
      <c r="Q58" s="23" t="str">
        <f>IF(O58="-","-",IF(SUMIF(Loads!$A$1:$A$13458,Monthly!O58&amp;Monthly!$O$45,Loads!$K:$K)=0,"-",SUMIF(Loads!$A$1:$A$13458,Monthly!O58&amp;Monthly!$O$45,Loads!$K:$K)))</f>
        <v>-</v>
      </c>
      <c r="R58" s="24" t="str" cm="1">
        <f t="array" ref="R58">IFERROR(SUMPRODUCT(--(Loads!$A$1:$A$13458=Monthly!O58&amp;$O$45),Loads!$M$1:$M$13458,Loads!$K$1:$K$13458)/Q58,"-")</f>
        <v>-</v>
      </c>
      <c r="S58" s="24" t="str" cm="1">
        <f t="array" ref="S58">IFERROR(SUMPRODUCT(--(Loads!$A$1:$A$13458=Monthly!O58&amp;$O$45),Loads!$O$1:$O$13458,Loads!$K$1:$K$13458)/Q58,"-")</f>
        <v>-</v>
      </c>
      <c r="T58" s="45"/>
      <c r="U58" s="73">
        <f t="shared" si="7"/>
        <v>44267</v>
      </c>
      <c r="V58" s="59">
        <f>IF(U58="-","-",COUNTIF(Loads!$A$1:$A$13458,Monthly!U58&amp;Monthly!$U$45))</f>
        <v>1</v>
      </c>
      <c r="W58" s="59">
        <f>IF(U58="-","-",IF(SUMIF(Loads!$A$1:$A$13458,Monthly!U58&amp;Monthly!$U$45,Loads!$K:$K)=0,"-",SUMIF(Loads!$A$1:$A$13458,Monthly!U58&amp;Monthly!$U$45,Loads!$K:$K)))</f>
        <v>11740</v>
      </c>
      <c r="X58" s="60" cm="1">
        <f t="array" ref="X58">IFERROR(SUMPRODUCT(--(Loads!$A$1:$A$13458=Monthly!U58&amp;$U$45),Loads!$L$1:$L$13458,Loads!$K$1:$K$13458)/W58,"-")</f>
        <v>12.16</v>
      </c>
      <c r="Y58" s="60" cm="1">
        <f t="array" ref="Y58">IFERROR(SUMPRODUCT(--(Loads!$A$1:$A$13458=Monthly!U58&amp;$U$45),Loads!$M$1:$M$13458,Loads!$K$1:$K$13458)/W58,"-")</f>
        <v>7.01</v>
      </c>
      <c r="Z58" s="79"/>
    </row>
    <row r="59" spans="2:26" x14ac:dyDescent="0.35">
      <c r="B59" s="44"/>
      <c r="C59" s="70">
        <f t="shared" si="4"/>
        <v>44268</v>
      </c>
      <c r="D59" s="54">
        <f>IF(C59="-","-",COUNTIF(Loads!$A$1:$A$13458,Monthly!C59&amp;Monthly!$C$45))</f>
        <v>0</v>
      </c>
      <c r="E59" s="54" t="str">
        <f>IF(C59="-","-",IF(SUMIF(Loads!$A$1:$A$13458,Monthly!C59&amp;Monthly!$C$45,Loads!$K:$K)=0,"-",SUMIF(Loads!$A$1:$A$13458,Monthly!C59&amp;Monthly!$C$45,Loads!$K:$K)))</f>
        <v>-</v>
      </c>
      <c r="F59" s="55" t="str" cm="1">
        <f t="array" ref="F59">IFERROR(SUMPRODUCT(--(Loads!$A$1:$A$13458=Monthly!C59&amp;$C$45),Loads!$L$1:$L$13458,Loads!$K$1:$K$13458)/E59,"-")</f>
        <v>-</v>
      </c>
      <c r="G59" s="55" t="str" cm="1">
        <f t="array" ref="G59">IFERROR(SUMPRODUCT(--(Loads!$A$1:$A$13458=Monthly!C59&amp;$C$45),Loads!$M$1:$M$13458,Loads!$K$1:$K$13458)/E59,"-")</f>
        <v>-</v>
      </c>
      <c r="H59" s="45"/>
      <c r="I59" s="71">
        <f t="shared" si="5"/>
        <v>44268</v>
      </c>
      <c r="J59" s="20">
        <f>IF(I59="-","-",COUNTIF(Loads!$A$1:$A$13458,Monthly!I59&amp;Monthly!$I$45))</f>
        <v>1</v>
      </c>
      <c r="K59" s="20">
        <f>IF(I59="-","-",IF(SUMIF(Loads!$A$1:$A$13458,Monthly!I59&amp;Monthly!$I$45,Loads!$K:$K)=0,"-",SUMIF(Loads!$A$1:$A$13458,Monthly!I59&amp;Monthly!$I$45,Loads!$K:$K)))</f>
        <v>31560</v>
      </c>
      <c r="L59" s="21" cm="1">
        <f t="array" ref="L59">IFERROR(SUMPRODUCT(--(Loads!$A$1:$A$13458=Monthly!I59&amp;$I$45),Loads!$L$1:$L$13458,Loads!$K$1:$K$13458)/K59,"-")</f>
        <v>7.0000000000000007E-2</v>
      </c>
      <c r="M59" s="21" cm="1">
        <f t="array" ref="M59">IFERROR(SUMPRODUCT(--(Loads!$A$1:$A$13458=Monthly!I59&amp;$I$45),Loads!$N$1:$N$13458,Loads!$K$1:$K$13458)/K59,"-")</f>
        <v>2.39</v>
      </c>
      <c r="N59" s="45"/>
      <c r="O59" s="72">
        <f t="shared" si="6"/>
        <v>44268</v>
      </c>
      <c r="P59" s="23">
        <f>IF(O59="-","-",COUNTIF(Loads!$A$1:$A$13458,Monthly!O59&amp;Monthly!$O$45))</f>
        <v>1</v>
      </c>
      <c r="Q59" s="23">
        <f>IF(O59="-","-",IF(SUMIF(Loads!$A$1:$A$13458,Monthly!O59&amp;Monthly!$O$45,Loads!$K:$K)=0,"-",SUMIF(Loads!$A$1:$A$13458,Monthly!O59&amp;Monthly!$O$45,Loads!$K:$K)))</f>
        <v>26740</v>
      </c>
      <c r="R59" s="24" cm="1">
        <f t="array" ref="R59">IFERROR(SUMPRODUCT(--(Loads!$A$1:$A$13458=Monthly!O59&amp;$O$45),Loads!$M$1:$M$13458,Loads!$K$1:$K$13458)/Q59,"-")</f>
        <v>21.95</v>
      </c>
      <c r="S59" s="24" cm="1">
        <f t="array" ref="S59">IFERROR(SUMPRODUCT(--(Loads!$A$1:$A$13458=Monthly!O59&amp;$O$45),Loads!$O$1:$O$13458,Loads!$K$1:$K$13458)/Q59,"-")</f>
        <v>41.61</v>
      </c>
      <c r="T59" s="45"/>
      <c r="U59" s="73">
        <f t="shared" si="7"/>
        <v>44268</v>
      </c>
      <c r="V59" s="59">
        <f>IF(U59="-","-",COUNTIF(Loads!$A$1:$A$13458,Monthly!U59&amp;Monthly!$U$45))</f>
        <v>1</v>
      </c>
      <c r="W59" s="59">
        <f>IF(U59="-","-",IF(SUMIF(Loads!$A$1:$A$13458,Monthly!U59&amp;Monthly!$U$45,Loads!$K:$K)=0,"-",SUMIF(Loads!$A$1:$A$13458,Monthly!U59&amp;Monthly!$U$45,Loads!$K:$K)))</f>
        <v>22100</v>
      </c>
      <c r="X59" s="60" cm="1">
        <f t="array" ref="X59">IFERROR(SUMPRODUCT(--(Loads!$A$1:$A$13458=Monthly!U59&amp;$U$45),Loads!$L$1:$L$13458,Loads!$K$1:$K$13458)/W59,"-")</f>
        <v>12.24</v>
      </c>
      <c r="Y59" s="60" cm="1">
        <f t="array" ref="Y59">IFERROR(SUMPRODUCT(--(Loads!$A$1:$A$13458=Monthly!U59&amp;$U$45),Loads!$M$1:$M$13458,Loads!$K$1:$K$13458)/W59,"-")</f>
        <v>7.22</v>
      </c>
      <c r="Z59" s="79"/>
    </row>
    <row r="60" spans="2:26" x14ac:dyDescent="0.35">
      <c r="B60" s="44"/>
      <c r="C60" s="70">
        <f t="shared" si="4"/>
        <v>44269</v>
      </c>
      <c r="D60" s="54">
        <f>IF(C60="-","-",COUNTIF(Loads!$A$1:$A$13458,Monthly!C60&amp;Monthly!$C$45))</f>
        <v>0</v>
      </c>
      <c r="E60" s="54" t="str">
        <f>IF(C60="-","-",IF(SUMIF(Loads!$A$1:$A$13458,Monthly!C60&amp;Monthly!$C$45,Loads!$K:$K)=0,"-",SUMIF(Loads!$A$1:$A$13458,Monthly!C60&amp;Monthly!$C$45,Loads!$K:$K)))</f>
        <v>-</v>
      </c>
      <c r="F60" s="55" t="str" cm="1">
        <f t="array" ref="F60">IFERROR(SUMPRODUCT(--(Loads!$A$1:$A$13458=Monthly!C60&amp;$C$45),Loads!$L$1:$L$13458,Loads!$K$1:$K$13458)/E60,"-")</f>
        <v>-</v>
      </c>
      <c r="G60" s="55" t="str" cm="1">
        <f t="array" ref="G60">IFERROR(SUMPRODUCT(--(Loads!$A$1:$A$13458=Monthly!C60&amp;$C$45),Loads!$M$1:$M$13458,Loads!$K$1:$K$13458)/E60,"-")</f>
        <v>-</v>
      </c>
      <c r="H60" s="45"/>
      <c r="I60" s="71">
        <f t="shared" si="5"/>
        <v>44269</v>
      </c>
      <c r="J60" s="20">
        <f>IF(I60="-","-",COUNTIF(Loads!$A$1:$A$13458,Monthly!I60&amp;Monthly!$I$45))</f>
        <v>0</v>
      </c>
      <c r="K60" s="20" t="str">
        <f>IF(I60="-","-",IF(SUMIF(Loads!$A$1:$A$13458,Monthly!I60&amp;Monthly!$I$45,Loads!$K:$K)=0,"-",SUMIF(Loads!$A$1:$A$13458,Monthly!I60&amp;Monthly!$I$45,Loads!$K:$K)))</f>
        <v>-</v>
      </c>
      <c r="L60" s="21" t="str" cm="1">
        <f t="array" ref="L60">IFERROR(SUMPRODUCT(--(Loads!$A$1:$A$13458=Monthly!I60&amp;$I$45),Loads!$L$1:$L$13458,Loads!$K$1:$K$13458)/K60,"-")</f>
        <v>-</v>
      </c>
      <c r="M60" s="21" t="str" cm="1">
        <f t="array" ref="M60">IFERROR(SUMPRODUCT(--(Loads!$A$1:$A$13458=Monthly!I60&amp;$I$45),Loads!$N$1:$N$13458,Loads!$K$1:$K$13458)/K60,"-")</f>
        <v>-</v>
      </c>
      <c r="N60" s="45"/>
      <c r="O60" s="72">
        <f t="shared" si="6"/>
        <v>44269</v>
      </c>
      <c r="P60" s="23">
        <f>IF(O60="-","-",COUNTIF(Loads!$A$1:$A$13458,Monthly!O60&amp;Monthly!$O$45))</f>
        <v>0</v>
      </c>
      <c r="Q60" s="23" t="str">
        <f>IF(O60="-","-",IF(SUMIF(Loads!$A$1:$A$13458,Monthly!O60&amp;Monthly!$O$45,Loads!$K:$K)=0,"-",SUMIF(Loads!$A$1:$A$13458,Monthly!O60&amp;Monthly!$O$45,Loads!$K:$K)))</f>
        <v>-</v>
      </c>
      <c r="R60" s="24" t="str" cm="1">
        <f t="array" ref="R60">IFERROR(SUMPRODUCT(--(Loads!$A$1:$A$13458=Monthly!O60&amp;$O$45),Loads!$M$1:$M$13458,Loads!$K$1:$K$13458)/Q60,"-")</f>
        <v>-</v>
      </c>
      <c r="S60" s="24" t="str" cm="1">
        <f t="array" ref="S60">IFERROR(SUMPRODUCT(--(Loads!$A$1:$A$13458=Monthly!O60&amp;$O$45),Loads!$O$1:$O$13458,Loads!$K$1:$K$13458)/Q60,"-")</f>
        <v>-</v>
      </c>
      <c r="T60" s="45"/>
      <c r="U60" s="73">
        <f t="shared" si="7"/>
        <v>44269</v>
      </c>
      <c r="V60" s="59">
        <f>IF(U60="-","-",COUNTIF(Loads!$A$1:$A$13458,Monthly!U60&amp;Monthly!$U$45))</f>
        <v>0</v>
      </c>
      <c r="W60" s="59" t="str">
        <f>IF(U60="-","-",IF(SUMIF(Loads!$A$1:$A$13458,Monthly!U60&amp;Monthly!$U$45,Loads!$K:$K)=0,"-",SUMIF(Loads!$A$1:$A$13458,Monthly!U60&amp;Monthly!$U$45,Loads!$K:$K)))</f>
        <v>-</v>
      </c>
      <c r="X60" s="60" t="str" cm="1">
        <f t="array" ref="X60">IFERROR(SUMPRODUCT(--(Loads!$A$1:$A$13458=Monthly!U60&amp;$U$45),Loads!$L$1:$L$13458,Loads!$K$1:$K$13458)/W60,"-")</f>
        <v>-</v>
      </c>
      <c r="Y60" s="60" t="str" cm="1">
        <f t="array" ref="Y60">IFERROR(SUMPRODUCT(--(Loads!$A$1:$A$13458=Monthly!U60&amp;$U$45),Loads!$M$1:$M$13458,Loads!$K$1:$K$13458)/W60,"-")</f>
        <v>-</v>
      </c>
      <c r="Z60" s="79"/>
    </row>
    <row r="61" spans="2:26" x14ac:dyDescent="0.35">
      <c r="B61" s="44"/>
      <c r="C61" s="70">
        <f t="shared" si="4"/>
        <v>44270</v>
      </c>
      <c r="D61" s="54">
        <f>IF(C61="-","-",COUNTIF(Loads!$A$1:$A$13458,Monthly!C61&amp;Monthly!$C$45))</f>
        <v>0</v>
      </c>
      <c r="E61" s="54" t="str">
        <f>IF(C61="-","-",IF(SUMIF(Loads!$A$1:$A$13458,Monthly!C61&amp;Monthly!$C$45,Loads!$K:$K)=0,"-",SUMIF(Loads!$A$1:$A$13458,Monthly!C61&amp;Monthly!$C$45,Loads!$K:$K)))</f>
        <v>-</v>
      </c>
      <c r="F61" s="55" t="str" cm="1">
        <f t="array" ref="F61">IFERROR(SUMPRODUCT(--(Loads!$A$1:$A$13458=Monthly!C61&amp;$C$45),Loads!$L$1:$L$13458,Loads!$K$1:$K$13458)/E61,"-")</f>
        <v>-</v>
      </c>
      <c r="G61" s="55" t="str" cm="1">
        <f t="array" ref="G61">IFERROR(SUMPRODUCT(--(Loads!$A$1:$A$13458=Monthly!C61&amp;$C$45),Loads!$M$1:$M$13458,Loads!$K$1:$K$13458)/E61,"-")</f>
        <v>-</v>
      </c>
      <c r="H61" s="45"/>
      <c r="I61" s="71">
        <f t="shared" si="5"/>
        <v>44270</v>
      </c>
      <c r="J61" s="20">
        <f>IF(I61="-","-",COUNTIF(Loads!$A$1:$A$13458,Monthly!I61&amp;Monthly!$I$45))</f>
        <v>1</v>
      </c>
      <c r="K61" s="20">
        <f>IF(I61="-","-",IF(SUMIF(Loads!$A$1:$A$13458,Monthly!I61&amp;Monthly!$I$45,Loads!$K:$K)=0,"-",SUMIF(Loads!$A$1:$A$13458,Monthly!I61&amp;Monthly!$I$45,Loads!$K:$K)))</f>
        <v>34980</v>
      </c>
      <c r="L61" s="21" cm="1">
        <f t="array" ref="L61">IFERROR(SUMPRODUCT(--(Loads!$A$1:$A$13458=Monthly!I61&amp;$I$45),Loads!$L$1:$L$13458,Loads!$K$1:$K$13458)/K61,"-")</f>
        <v>0.08</v>
      </c>
      <c r="M61" s="21" cm="1">
        <f t="array" ref="M61">IFERROR(SUMPRODUCT(--(Loads!$A$1:$A$13458=Monthly!I61&amp;$I$45),Loads!$N$1:$N$13458,Loads!$K$1:$K$13458)/K61,"-")</f>
        <v>2.1</v>
      </c>
      <c r="N61" s="45"/>
      <c r="O61" s="72">
        <f t="shared" si="6"/>
        <v>44270</v>
      </c>
      <c r="P61" s="23">
        <f>IF(O61="-","-",COUNTIF(Loads!$A$1:$A$13458,Monthly!O61&amp;Monthly!$O$45))</f>
        <v>1</v>
      </c>
      <c r="Q61" s="23">
        <f>IF(O61="-","-",IF(SUMIF(Loads!$A$1:$A$13458,Monthly!O61&amp;Monthly!$O$45,Loads!$K:$K)=0,"-",SUMIF(Loads!$A$1:$A$13458,Monthly!O61&amp;Monthly!$O$45,Loads!$K:$K)))</f>
        <v>23940</v>
      </c>
      <c r="R61" s="24" cm="1">
        <f t="array" ref="R61">IFERROR(SUMPRODUCT(--(Loads!$A$1:$A$13458=Monthly!O61&amp;$O$45),Loads!$M$1:$M$13458,Loads!$K$1:$K$13458)/Q61,"-")</f>
        <v>21.03</v>
      </c>
      <c r="S61" s="24" cm="1">
        <f t="array" ref="S61">IFERROR(SUMPRODUCT(--(Loads!$A$1:$A$13458=Monthly!O61&amp;$O$45),Loads!$O$1:$O$13458,Loads!$K$1:$K$13458)/Q61,"-")</f>
        <v>41.61</v>
      </c>
      <c r="T61" s="45"/>
      <c r="U61" s="73">
        <f t="shared" si="7"/>
        <v>44270</v>
      </c>
      <c r="V61" s="59">
        <f>IF(U61="-","-",COUNTIF(Loads!$A$1:$A$13458,Monthly!U61&amp;Monthly!$U$45))</f>
        <v>1</v>
      </c>
      <c r="W61" s="59">
        <f>IF(U61="-","-",IF(SUMIF(Loads!$A$1:$A$13458,Monthly!U61&amp;Monthly!$U$45,Loads!$K:$K)=0,"-",SUMIF(Loads!$A$1:$A$13458,Monthly!U61&amp;Monthly!$U$45,Loads!$K:$K)))</f>
        <v>11480</v>
      </c>
      <c r="X61" s="60" cm="1">
        <f t="array" ref="X61">IFERROR(SUMPRODUCT(--(Loads!$A$1:$A$13458=Monthly!U61&amp;$U$45),Loads!$L$1:$L$13458,Loads!$K$1:$K$13458)/W61,"-")</f>
        <v>10.5</v>
      </c>
      <c r="Y61" s="60" cm="1">
        <f t="array" ref="Y61">IFERROR(SUMPRODUCT(--(Loads!$A$1:$A$13458=Monthly!U61&amp;$U$45),Loads!$M$1:$M$13458,Loads!$K$1:$K$13458)/W61,"-")</f>
        <v>7.0100000000000007</v>
      </c>
      <c r="Z61" s="79"/>
    </row>
    <row r="62" spans="2:26" x14ac:dyDescent="0.35">
      <c r="B62" s="44"/>
      <c r="C62" s="70">
        <f t="shared" si="4"/>
        <v>44271</v>
      </c>
      <c r="D62" s="54">
        <f>IF(C62="-","-",COUNTIF(Loads!$A$1:$A$13458,Monthly!C62&amp;Monthly!$C$45))</f>
        <v>1</v>
      </c>
      <c r="E62" s="54">
        <f>IF(C62="-","-",IF(SUMIF(Loads!$A$1:$A$13458,Monthly!C62&amp;Monthly!$C$45,Loads!$K:$K)=0,"-",SUMIF(Loads!$A$1:$A$13458,Monthly!C62&amp;Monthly!$C$45,Loads!$K:$K)))</f>
        <v>18020</v>
      </c>
      <c r="F62" s="55" cm="1">
        <f t="array" ref="F62">IFERROR(SUMPRODUCT(--(Loads!$A$1:$A$13458=Monthly!C62&amp;$C$45),Loads!$L$1:$L$13458,Loads!$K$1:$K$13458)/E62,"-")</f>
        <v>10.3</v>
      </c>
      <c r="G62" s="55" cm="1">
        <f t="array" ref="G62">IFERROR(SUMPRODUCT(--(Loads!$A$1:$A$13458=Monthly!C62&amp;$C$45),Loads!$M$1:$M$13458,Loads!$K$1:$K$13458)/E62,"-")</f>
        <v>0</v>
      </c>
      <c r="H62" s="45"/>
      <c r="I62" s="71">
        <f t="shared" si="5"/>
        <v>44271</v>
      </c>
      <c r="J62" s="20">
        <f>IF(I62="-","-",COUNTIF(Loads!$A$1:$A$13458,Monthly!I62&amp;Monthly!$I$45))</f>
        <v>0</v>
      </c>
      <c r="K62" s="20" t="str">
        <f>IF(I62="-","-",IF(SUMIF(Loads!$A$1:$A$13458,Monthly!I62&amp;Monthly!$I$45,Loads!$K:$K)=0,"-",SUMIF(Loads!$A$1:$A$13458,Monthly!I62&amp;Monthly!$I$45,Loads!$K:$K)))</f>
        <v>-</v>
      </c>
      <c r="L62" s="21" t="str" cm="1">
        <f t="array" ref="L62">IFERROR(SUMPRODUCT(--(Loads!$A$1:$A$13458=Monthly!I62&amp;$I$45),Loads!$L$1:$L$13458,Loads!$K$1:$K$13458)/K62,"-")</f>
        <v>-</v>
      </c>
      <c r="M62" s="21" t="str" cm="1">
        <f t="array" ref="M62">IFERROR(SUMPRODUCT(--(Loads!$A$1:$A$13458=Monthly!I62&amp;$I$45),Loads!$N$1:$N$13458,Loads!$K$1:$K$13458)/K62,"-")</f>
        <v>-</v>
      </c>
      <c r="N62" s="45"/>
      <c r="O62" s="72">
        <f t="shared" si="6"/>
        <v>44271</v>
      </c>
      <c r="P62" s="23">
        <f>IF(O62="-","-",COUNTIF(Loads!$A$1:$A$13458,Monthly!O62&amp;Monthly!$O$45))</f>
        <v>1</v>
      </c>
      <c r="Q62" s="23">
        <f>IF(O62="-","-",IF(SUMIF(Loads!$A$1:$A$13458,Monthly!O62&amp;Monthly!$O$45,Loads!$K:$K)=0,"-",SUMIF(Loads!$A$1:$A$13458,Monthly!O62&amp;Monthly!$O$45,Loads!$K:$K)))</f>
        <v>20940</v>
      </c>
      <c r="R62" s="24" cm="1">
        <f t="array" ref="R62">IFERROR(SUMPRODUCT(--(Loads!$A$1:$A$13458=Monthly!O62&amp;$O$45),Loads!$M$1:$M$13458,Loads!$K$1:$K$13458)/Q62,"-")</f>
        <v>20.45</v>
      </c>
      <c r="S62" s="24" cm="1">
        <f t="array" ref="S62">IFERROR(SUMPRODUCT(--(Loads!$A$1:$A$13458=Monthly!O62&amp;$O$45),Loads!$O$1:$O$13458,Loads!$K$1:$K$13458)/Q62,"-")</f>
        <v>41</v>
      </c>
      <c r="T62" s="45"/>
      <c r="U62" s="73">
        <f t="shared" si="7"/>
        <v>44271</v>
      </c>
      <c r="V62" s="59">
        <f>IF(U62="-","-",COUNTIF(Loads!$A$1:$A$13458,Monthly!U62&amp;Monthly!$U$45))</f>
        <v>1</v>
      </c>
      <c r="W62" s="59">
        <f>IF(U62="-","-",IF(SUMIF(Loads!$A$1:$A$13458,Monthly!U62&amp;Monthly!$U$45,Loads!$K:$K)=0,"-",SUMIF(Loads!$A$1:$A$13458,Monthly!U62&amp;Monthly!$U$45,Loads!$K:$K)))</f>
        <v>24400</v>
      </c>
      <c r="X62" s="60" cm="1">
        <f t="array" ref="X62">IFERROR(SUMPRODUCT(--(Loads!$A$1:$A$13458=Monthly!U62&amp;$U$45),Loads!$L$1:$L$13458,Loads!$K$1:$K$13458)/W62,"-")</f>
        <v>12.64</v>
      </c>
      <c r="Y62" s="60" cm="1">
        <f t="array" ref="Y62">IFERROR(SUMPRODUCT(--(Loads!$A$1:$A$13458=Monthly!U62&amp;$U$45),Loads!$M$1:$M$13458,Loads!$K$1:$K$13458)/W62,"-")</f>
        <v>7.2</v>
      </c>
      <c r="Z62" s="79"/>
    </row>
    <row r="63" spans="2:26" x14ac:dyDescent="0.35">
      <c r="B63" s="44"/>
      <c r="C63" s="70">
        <f t="shared" si="4"/>
        <v>44272</v>
      </c>
      <c r="D63" s="54">
        <f>IF(C63="-","-",COUNTIF(Loads!$A$1:$A$13458,Monthly!C63&amp;Monthly!$C$45))</f>
        <v>0</v>
      </c>
      <c r="E63" s="54" t="str">
        <f>IF(C63="-","-",IF(SUMIF(Loads!$A$1:$A$13458,Monthly!C63&amp;Monthly!$C$45,Loads!$K:$K)=0,"-",SUMIF(Loads!$A$1:$A$13458,Monthly!C63&amp;Monthly!$C$45,Loads!$K:$K)))</f>
        <v>-</v>
      </c>
      <c r="F63" s="55" t="str" cm="1">
        <f t="array" ref="F63">IFERROR(SUMPRODUCT(--(Loads!$A$1:$A$13458=Monthly!C63&amp;$C$45),Loads!$L$1:$L$13458,Loads!$K$1:$K$13458)/E63,"-")</f>
        <v>-</v>
      </c>
      <c r="G63" s="55" t="str" cm="1">
        <f t="array" ref="G63">IFERROR(SUMPRODUCT(--(Loads!$A$1:$A$13458=Monthly!C63&amp;$C$45),Loads!$M$1:$M$13458,Loads!$K$1:$K$13458)/E63,"-")</f>
        <v>-</v>
      </c>
      <c r="H63" s="45"/>
      <c r="I63" s="71">
        <f t="shared" si="5"/>
        <v>44272</v>
      </c>
      <c r="J63" s="20">
        <f>IF(I63="-","-",COUNTIF(Loads!$A$1:$A$13458,Monthly!I63&amp;Monthly!$I$45))</f>
        <v>2</v>
      </c>
      <c r="K63" s="20">
        <f>IF(I63="-","-",IF(SUMIF(Loads!$A$1:$A$13458,Monthly!I63&amp;Monthly!$I$45,Loads!$K:$K)=0,"-",SUMIF(Loads!$A$1:$A$13458,Monthly!I63&amp;Monthly!$I$45,Loads!$K:$K)))</f>
        <v>70160</v>
      </c>
      <c r="L63" s="21" cm="1">
        <f t="array" ref="L63">IFERROR(SUMPRODUCT(--(Loads!$A$1:$A$13458=Monthly!I63&amp;$I$45),Loads!$L$1:$L$13458,Loads!$K$1:$K$13458)/K63,"-")</f>
        <v>0.17700399087799318</v>
      </c>
      <c r="M63" s="21" cm="1">
        <f t="array" ref="M63">IFERROR(SUMPRODUCT(--(Loads!$A$1:$A$13458=Monthly!I63&amp;$I$45),Loads!$N$1:$N$13458,Loads!$K$1:$K$13458)/K63,"-")</f>
        <v>2.2806755986316993</v>
      </c>
      <c r="N63" s="45"/>
      <c r="O63" s="72">
        <f t="shared" si="6"/>
        <v>44272</v>
      </c>
      <c r="P63" s="23">
        <f>IF(O63="-","-",COUNTIF(Loads!$A$1:$A$13458,Monthly!O63&amp;Monthly!$O$45))</f>
        <v>1</v>
      </c>
      <c r="Q63" s="23">
        <f>IF(O63="-","-",IF(SUMIF(Loads!$A$1:$A$13458,Monthly!O63&amp;Monthly!$O$45,Loads!$K:$K)=0,"-",SUMIF(Loads!$A$1:$A$13458,Monthly!O63&amp;Monthly!$O$45,Loads!$K:$K)))</f>
        <v>19780</v>
      </c>
      <c r="R63" s="24" cm="1">
        <f t="array" ref="R63">IFERROR(SUMPRODUCT(--(Loads!$A$1:$A$13458=Monthly!O63&amp;$O$45),Loads!$M$1:$M$13458,Loads!$K$1:$K$13458)/Q63,"-")</f>
        <v>20.77</v>
      </c>
      <c r="S63" s="24" cm="1">
        <f t="array" ref="S63">IFERROR(SUMPRODUCT(--(Loads!$A$1:$A$13458=Monthly!O63&amp;$O$45),Loads!$O$1:$O$13458,Loads!$K$1:$K$13458)/Q63,"-")</f>
        <v>38.14</v>
      </c>
      <c r="T63" s="45"/>
      <c r="U63" s="73">
        <f t="shared" si="7"/>
        <v>44272</v>
      </c>
      <c r="V63" s="59">
        <f>IF(U63="-","-",COUNTIF(Loads!$A$1:$A$13458,Monthly!U63&amp;Monthly!$U$45))</f>
        <v>1</v>
      </c>
      <c r="W63" s="59">
        <f>IF(U63="-","-",IF(SUMIF(Loads!$A$1:$A$13458,Monthly!U63&amp;Monthly!$U$45,Loads!$K:$K)=0,"-",SUMIF(Loads!$A$1:$A$13458,Monthly!U63&amp;Monthly!$U$45,Loads!$K:$K)))</f>
        <v>22260</v>
      </c>
      <c r="X63" s="60" cm="1">
        <f t="array" ref="X63">IFERROR(SUMPRODUCT(--(Loads!$A$1:$A$13458=Monthly!U63&amp;$U$45),Loads!$L$1:$L$13458,Loads!$K$1:$K$13458)/W63,"-")</f>
        <v>12.479999999999999</v>
      </c>
      <c r="Y63" s="60" cm="1">
        <f t="array" ref="Y63">IFERROR(SUMPRODUCT(--(Loads!$A$1:$A$13458=Monthly!U63&amp;$U$45),Loads!$M$1:$M$13458,Loads!$K$1:$K$13458)/W63,"-")</f>
        <v>7.2</v>
      </c>
      <c r="Z63" s="79"/>
    </row>
    <row r="64" spans="2:26" x14ac:dyDescent="0.35">
      <c r="B64" s="44"/>
      <c r="C64" s="70">
        <f t="shared" si="4"/>
        <v>44273</v>
      </c>
      <c r="D64" s="54">
        <f>IF(C64="-","-",COUNTIF(Loads!$A$1:$A$13458,Monthly!C64&amp;Monthly!$C$45))</f>
        <v>1</v>
      </c>
      <c r="E64" s="54">
        <f>IF(C64="-","-",IF(SUMIF(Loads!$A$1:$A$13458,Monthly!C64&amp;Monthly!$C$45,Loads!$K:$K)=0,"-",SUMIF(Loads!$A$1:$A$13458,Monthly!C64&amp;Monthly!$C$45,Loads!$K:$K)))</f>
        <v>15920</v>
      </c>
      <c r="F64" s="55" cm="1">
        <f t="array" ref="F64">IFERROR(SUMPRODUCT(--(Loads!$A$1:$A$13458=Monthly!C64&amp;$C$45),Loads!$L$1:$L$13458,Loads!$K$1:$K$13458)/E64,"-")</f>
        <v>12.48</v>
      </c>
      <c r="G64" s="55" cm="1">
        <f t="array" ref="G64">IFERROR(SUMPRODUCT(--(Loads!$A$1:$A$13458=Monthly!C64&amp;$C$45),Loads!$M$1:$M$13458,Loads!$K$1:$K$13458)/E64,"-")</f>
        <v>0</v>
      </c>
      <c r="H64" s="45"/>
      <c r="I64" s="71">
        <f t="shared" si="5"/>
        <v>44273</v>
      </c>
      <c r="J64" s="20">
        <f>IF(I64="-","-",COUNTIF(Loads!$A$1:$A$13458,Monthly!I64&amp;Monthly!$I$45))</f>
        <v>1</v>
      </c>
      <c r="K64" s="20">
        <f>IF(I64="-","-",IF(SUMIF(Loads!$A$1:$A$13458,Monthly!I64&amp;Monthly!$I$45,Loads!$K:$K)=0,"-",SUMIF(Loads!$A$1:$A$13458,Monthly!I64&amp;Monthly!$I$45,Loads!$K:$K)))</f>
        <v>36820</v>
      </c>
      <c r="L64" s="21" cm="1">
        <f t="array" ref="L64">IFERROR(SUMPRODUCT(--(Loads!$A$1:$A$13458=Monthly!I64&amp;$I$45),Loads!$L$1:$L$13458,Loads!$K$1:$K$13458)/K64,"-")</f>
        <v>0.08</v>
      </c>
      <c r="M64" s="21" cm="1">
        <f t="array" ref="M64">IFERROR(SUMPRODUCT(--(Loads!$A$1:$A$13458=Monthly!I64&amp;$I$45),Loads!$N$1:$N$13458,Loads!$K$1:$K$13458)/K64,"-")</f>
        <v>2.4900000000000002</v>
      </c>
      <c r="N64" s="45"/>
      <c r="O64" s="72">
        <f t="shared" si="6"/>
        <v>44273</v>
      </c>
      <c r="P64" s="23">
        <f>IF(O64="-","-",COUNTIF(Loads!$A$1:$A$13458,Monthly!O64&amp;Monthly!$O$45))</f>
        <v>1</v>
      </c>
      <c r="Q64" s="23">
        <f>IF(O64="-","-",IF(SUMIF(Loads!$A$1:$A$13458,Monthly!O64&amp;Monthly!$O$45,Loads!$K:$K)=0,"-",SUMIF(Loads!$A$1:$A$13458,Monthly!O64&amp;Monthly!$O$45,Loads!$K:$K)))</f>
        <v>21000</v>
      </c>
      <c r="R64" s="24" cm="1">
        <f t="array" ref="R64">IFERROR(SUMPRODUCT(--(Loads!$A$1:$A$13458=Monthly!O64&amp;$O$45),Loads!$M$1:$M$13458,Loads!$K$1:$K$13458)/Q64,"-")</f>
        <v>22.07</v>
      </c>
      <c r="S64" s="24" cm="1">
        <f t="array" ref="S64">IFERROR(SUMPRODUCT(--(Loads!$A$1:$A$13458=Monthly!O64&amp;$O$45),Loads!$O$1:$O$13458,Loads!$K$1:$K$13458)/Q64,"-")</f>
        <v>38</v>
      </c>
      <c r="T64" s="45"/>
      <c r="U64" s="73">
        <f t="shared" si="7"/>
        <v>44273</v>
      </c>
      <c r="V64" s="59">
        <f>IF(U64="-","-",COUNTIF(Loads!$A$1:$A$13458,Monthly!U64&amp;Monthly!$U$45))</f>
        <v>1</v>
      </c>
      <c r="W64" s="59">
        <f>IF(U64="-","-",IF(SUMIF(Loads!$A$1:$A$13458,Monthly!U64&amp;Monthly!$U$45,Loads!$K:$K)=0,"-",SUMIF(Loads!$A$1:$A$13458,Monthly!U64&amp;Monthly!$U$45,Loads!$K:$K)))</f>
        <v>23200</v>
      </c>
      <c r="X64" s="60" cm="1">
        <f t="array" ref="X64">IFERROR(SUMPRODUCT(--(Loads!$A$1:$A$13458=Monthly!U64&amp;$U$45),Loads!$L$1:$L$13458,Loads!$K$1:$K$13458)/W64,"-")</f>
        <v>12.88</v>
      </c>
      <c r="Y64" s="60" cm="1">
        <f t="array" ref="Y64">IFERROR(SUMPRODUCT(--(Loads!$A$1:$A$13458=Monthly!U64&amp;$U$45),Loads!$M$1:$M$13458,Loads!$K$1:$K$13458)/W64,"-")</f>
        <v>7.2</v>
      </c>
      <c r="Z64" s="79"/>
    </row>
    <row r="65" spans="2:26" x14ac:dyDescent="0.35">
      <c r="B65" s="44"/>
      <c r="C65" s="70">
        <f t="shared" si="4"/>
        <v>44274</v>
      </c>
      <c r="D65" s="54">
        <f>IF(C65="-","-",COUNTIF(Loads!$A$1:$A$13458,Monthly!C65&amp;Monthly!$C$45))</f>
        <v>0</v>
      </c>
      <c r="E65" s="54" t="str">
        <f>IF(C65="-","-",IF(SUMIF(Loads!$A$1:$A$13458,Monthly!C65&amp;Monthly!$C$45,Loads!$K:$K)=0,"-",SUMIF(Loads!$A$1:$A$13458,Monthly!C65&amp;Monthly!$C$45,Loads!$K:$K)))</f>
        <v>-</v>
      </c>
      <c r="F65" s="55" t="str" cm="1">
        <f t="array" ref="F65">IFERROR(SUMPRODUCT(--(Loads!$A$1:$A$13458=Monthly!C65&amp;$C$45),Loads!$L$1:$L$13458,Loads!$K$1:$K$13458)/E65,"-")</f>
        <v>-</v>
      </c>
      <c r="G65" s="55" t="str" cm="1">
        <f t="array" ref="G65">IFERROR(SUMPRODUCT(--(Loads!$A$1:$A$13458=Monthly!C65&amp;$C$45),Loads!$M$1:$M$13458,Loads!$K$1:$K$13458)/E65,"-")</f>
        <v>-</v>
      </c>
      <c r="H65" s="45"/>
      <c r="I65" s="71">
        <f t="shared" si="5"/>
        <v>44274</v>
      </c>
      <c r="J65" s="20">
        <f>IF(I65="-","-",COUNTIF(Loads!$A$1:$A$13458,Monthly!I65&amp;Monthly!$I$45))</f>
        <v>0</v>
      </c>
      <c r="K65" s="20" t="str">
        <f>IF(I65="-","-",IF(SUMIF(Loads!$A$1:$A$13458,Monthly!I65&amp;Monthly!$I$45,Loads!$K:$K)=0,"-",SUMIF(Loads!$A$1:$A$13458,Monthly!I65&amp;Monthly!$I$45,Loads!$K:$K)))</f>
        <v>-</v>
      </c>
      <c r="L65" s="21" t="str" cm="1">
        <f t="array" ref="L65">IFERROR(SUMPRODUCT(--(Loads!$A$1:$A$13458=Monthly!I65&amp;$I$45),Loads!$L$1:$L$13458,Loads!$K$1:$K$13458)/K65,"-")</f>
        <v>-</v>
      </c>
      <c r="M65" s="21" t="str" cm="1">
        <f t="array" ref="M65">IFERROR(SUMPRODUCT(--(Loads!$A$1:$A$13458=Monthly!I65&amp;$I$45),Loads!$N$1:$N$13458,Loads!$K$1:$K$13458)/K65,"-")</f>
        <v>-</v>
      </c>
      <c r="N65" s="45"/>
      <c r="O65" s="72">
        <f t="shared" si="6"/>
        <v>44274</v>
      </c>
      <c r="P65" s="23">
        <f>IF(O65="-","-",COUNTIF(Loads!$A$1:$A$13458,Monthly!O65&amp;Monthly!$O$45))</f>
        <v>1</v>
      </c>
      <c r="Q65" s="23">
        <f>IF(O65="-","-",IF(SUMIF(Loads!$A$1:$A$13458,Monthly!O65&amp;Monthly!$O$45,Loads!$K:$K)=0,"-",SUMIF(Loads!$A$1:$A$13458,Monthly!O65&amp;Monthly!$O$45,Loads!$K:$K)))</f>
        <v>28940</v>
      </c>
      <c r="R65" s="24" cm="1">
        <f t="array" ref="R65">IFERROR(SUMPRODUCT(--(Loads!$A$1:$A$13458=Monthly!O65&amp;$O$45),Loads!$M$1:$M$13458,Loads!$K$1:$K$13458)/Q65,"-")</f>
        <v>24</v>
      </c>
      <c r="S65" s="24" cm="1">
        <f t="array" ref="S65">IFERROR(SUMPRODUCT(--(Loads!$A$1:$A$13458=Monthly!O65&amp;$O$45),Loads!$O$1:$O$13458,Loads!$K$1:$K$13458)/Q65,"-")</f>
        <v>41</v>
      </c>
      <c r="T65" s="45"/>
      <c r="U65" s="73">
        <f t="shared" si="7"/>
        <v>44274</v>
      </c>
      <c r="V65" s="59">
        <f>IF(U65="-","-",COUNTIF(Loads!$A$1:$A$13458,Monthly!U65&amp;Monthly!$U$45))</f>
        <v>1</v>
      </c>
      <c r="W65" s="59">
        <f>IF(U65="-","-",IF(SUMIF(Loads!$A$1:$A$13458,Monthly!U65&amp;Monthly!$U$45,Loads!$K:$K)=0,"-",SUMIF(Loads!$A$1:$A$13458,Monthly!U65&amp;Monthly!$U$45,Loads!$K:$K)))</f>
        <v>18700</v>
      </c>
      <c r="X65" s="60" cm="1">
        <f t="array" ref="X65">IFERROR(SUMPRODUCT(--(Loads!$A$1:$A$13458=Monthly!U65&amp;$U$45),Loads!$L$1:$L$13458,Loads!$K$1:$K$13458)/W65,"-")</f>
        <v>12.9</v>
      </c>
      <c r="Y65" s="60" cm="1">
        <f t="array" ref="Y65">IFERROR(SUMPRODUCT(--(Loads!$A$1:$A$13458=Monthly!U65&amp;$U$45),Loads!$M$1:$M$13458,Loads!$K$1:$K$13458)/W65,"-")</f>
        <v>7.02</v>
      </c>
      <c r="Z65" s="79"/>
    </row>
    <row r="66" spans="2:26" x14ac:dyDescent="0.35">
      <c r="B66" s="44"/>
      <c r="C66" s="70">
        <f t="shared" si="4"/>
        <v>44275</v>
      </c>
      <c r="D66" s="54">
        <f>IF(C66="-","-",COUNTIF(Loads!$A$1:$A$13458,Monthly!C66&amp;Monthly!$C$45))</f>
        <v>0</v>
      </c>
      <c r="E66" s="54" t="str">
        <f>IF(C66="-","-",IF(SUMIF(Loads!$A$1:$A$13458,Monthly!C66&amp;Monthly!$C$45,Loads!$K:$K)=0,"-",SUMIF(Loads!$A$1:$A$13458,Monthly!C66&amp;Monthly!$C$45,Loads!$K:$K)))</f>
        <v>-</v>
      </c>
      <c r="F66" s="55" t="str" cm="1">
        <f t="array" ref="F66">IFERROR(SUMPRODUCT(--(Loads!$A$1:$A$13458=Monthly!C66&amp;$C$45),Loads!$L$1:$L$13458,Loads!$K$1:$K$13458)/E66,"-")</f>
        <v>-</v>
      </c>
      <c r="G66" s="55" t="str" cm="1">
        <f t="array" ref="G66">IFERROR(SUMPRODUCT(--(Loads!$A$1:$A$13458=Monthly!C66&amp;$C$45),Loads!$M$1:$M$13458,Loads!$K$1:$K$13458)/E66,"-")</f>
        <v>-</v>
      </c>
      <c r="H66" s="45"/>
      <c r="I66" s="71">
        <f t="shared" si="5"/>
        <v>44275</v>
      </c>
      <c r="J66" s="20">
        <f>IF(I66="-","-",COUNTIF(Loads!$A$1:$A$13458,Monthly!I66&amp;Monthly!$I$45))</f>
        <v>0</v>
      </c>
      <c r="K66" s="20" t="str">
        <f>IF(I66="-","-",IF(SUMIF(Loads!$A$1:$A$13458,Monthly!I66&amp;Monthly!$I$45,Loads!$K:$K)=0,"-",SUMIF(Loads!$A$1:$A$13458,Monthly!I66&amp;Monthly!$I$45,Loads!$K:$K)))</f>
        <v>-</v>
      </c>
      <c r="L66" s="21" t="str" cm="1">
        <f t="array" ref="L66">IFERROR(SUMPRODUCT(--(Loads!$A$1:$A$13458=Monthly!I66&amp;$I$45),Loads!$L$1:$L$13458,Loads!$K$1:$K$13458)/K66,"-")</f>
        <v>-</v>
      </c>
      <c r="M66" s="21" t="str" cm="1">
        <f t="array" ref="M66">IFERROR(SUMPRODUCT(--(Loads!$A$1:$A$13458=Monthly!I66&amp;$I$45),Loads!$N$1:$N$13458,Loads!$K$1:$K$13458)/K66,"-")</f>
        <v>-</v>
      </c>
      <c r="N66" s="45"/>
      <c r="O66" s="72">
        <f t="shared" si="6"/>
        <v>44275</v>
      </c>
      <c r="P66" s="23">
        <f>IF(O66="-","-",COUNTIF(Loads!$A$1:$A$13458,Monthly!O66&amp;Monthly!$O$45))</f>
        <v>0</v>
      </c>
      <c r="Q66" s="23" t="str">
        <f>IF(O66="-","-",IF(SUMIF(Loads!$A$1:$A$13458,Monthly!O66&amp;Monthly!$O$45,Loads!$K:$K)=0,"-",SUMIF(Loads!$A$1:$A$13458,Monthly!O66&amp;Monthly!$O$45,Loads!$K:$K)))</f>
        <v>-</v>
      </c>
      <c r="R66" s="24" t="str" cm="1">
        <f t="array" ref="R66">IFERROR(SUMPRODUCT(--(Loads!$A$1:$A$13458=Monthly!O66&amp;$O$45),Loads!$M$1:$M$13458,Loads!$K$1:$K$13458)/Q66,"-")</f>
        <v>-</v>
      </c>
      <c r="S66" s="24" t="str" cm="1">
        <f t="array" ref="S66">IFERROR(SUMPRODUCT(--(Loads!$A$1:$A$13458=Monthly!O66&amp;$O$45),Loads!$O$1:$O$13458,Loads!$K$1:$K$13458)/Q66,"-")</f>
        <v>-</v>
      </c>
      <c r="T66" s="45"/>
      <c r="U66" s="73">
        <f t="shared" si="7"/>
        <v>44275</v>
      </c>
      <c r="V66" s="59">
        <f>IF(U66="-","-",COUNTIF(Loads!$A$1:$A$13458,Monthly!U66&amp;Monthly!$U$45))</f>
        <v>1</v>
      </c>
      <c r="W66" s="59">
        <f>IF(U66="-","-",IF(SUMIF(Loads!$A$1:$A$13458,Monthly!U66&amp;Monthly!$U$45,Loads!$K:$K)=0,"-",SUMIF(Loads!$A$1:$A$13458,Monthly!U66&amp;Monthly!$U$45,Loads!$K:$K)))</f>
        <v>11460</v>
      </c>
      <c r="X66" s="60" cm="1">
        <f t="array" ref="X66">IFERROR(SUMPRODUCT(--(Loads!$A$1:$A$13458=Monthly!U66&amp;$U$45),Loads!$L$1:$L$13458,Loads!$K$1:$K$13458)/W66,"-")</f>
        <v>12.21</v>
      </c>
      <c r="Y66" s="60" cm="1">
        <f t="array" ref="Y66">IFERROR(SUMPRODUCT(--(Loads!$A$1:$A$13458=Monthly!U66&amp;$U$45),Loads!$M$1:$M$13458,Loads!$K$1:$K$13458)/W66,"-")</f>
        <v>7.2</v>
      </c>
      <c r="Z66" s="79"/>
    </row>
    <row r="67" spans="2:26" x14ac:dyDescent="0.35">
      <c r="B67" s="44"/>
      <c r="C67" s="70">
        <f t="shared" si="4"/>
        <v>44276</v>
      </c>
      <c r="D67" s="54">
        <f>IF(C67="-","-",COUNTIF(Loads!$A$1:$A$13458,Monthly!C67&amp;Monthly!$C$45))</f>
        <v>0</v>
      </c>
      <c r="E67" s="54" t="str">
        <f>IF(C67="-","-",IF(SUMIF(Loads!$A$1:$A$13458,Monthly!C67&amp;Monthly!$C$45,Loads!$K:$K)=0,"-",SUMIF(Loads!$A$1:$A$13458,Monthly!C67&amp;Monthly!$C$45,Loads!$K:$K)))</f>
        <v>-</v>
      </c>
      <c r="F67" s="55" t="str" cm="1">
        <f t="array" ref="F67">IFERROR(SUMPRODUCT(--(Loads!$A$1:$A$13458=Monthly!C67&amp;$C$45),Loads!$L$1:$L$13458,Loads!$K$1:$K$13458)/E67,"-")</f>
        <v>-</v>
      </c>
      <c r="G67" s="55" t="str" cm="1">
        <f t="array" ref="G67">IFERROR(SUMPRODUCT(--(Loads!$A$1:$A$13458=Monthly!C67&amp;$C$45),Loads!$M$1:$M$13458,Loads!$K$1:$K$13458)/E67,"-")</f>
        <v>-</v>
      </c>
      <c r="H67" s="45"/>
      <c r="I67" s="71">
        <f t="shared" si="5"/>
        <v>44276</v>
      </c>
      <c r="J67" s="20">
        <f>IF(I67="-","-",COUNTIF(Loads!$A$1:$A$13458,Monthly!I67&amp;Monthly!$I$45))</f>
        <v>2</v>
      </c>
      <c r="K67" s="20">
        <f>IF(I67="-","-",IF(SUMIF(Loads!$A$1:$A$13458,Monthly!I67&amp;Monthly!$I$45,Loads!$K:$K)=0,"-",SUMIF(Loads!$A$1:$A$13458,Monthly!I67&amp;Monthly!$I$45,Loads!$K:$K)))</f>
        <v>70000</v>
      </c>
      <c r="L67" s="21" cm="1">
        <f t="array" ref="L67">IFERROR(SUMPRODUCT(--(Loads!$A$1:$A$13458=Monthly!I67&amp;$I$45),Loads!$L$1:$L$13458,Loads!$K$1:$K$13458)/K67,"-")</f>
        <v>0.08</v>
      </c>
      <c r="M67" s="21" cm="1">
        <f t="array" ref="M67">IFERROR(SUMPRODUCT(--(Loads!$A$1:$A$13458=Monthly!I67&amp;$I$45),Loads!$N$1:$N$13458,Loads!$K$1:$K$13458)/K67,"-")</f>
        <v>1.88</v>
      </c>
      <c r="N67" s="45"/>
      <c r="O67" s="72">
        <f t="shared" si="6"/>
        <v>44276</v>
      </c>
      <c r="P67" s="23">
        <f>IF(O67="-","-",COUNTIF(Loads!$A$1:$A$13458,Monthly!O67&amp;Monthly!$O$45))</f>
        <v>0</v>
      </c>
      <c r="Q67" s="23" t="str">
        <f>IF(O67="-","-",IF(SUMIF(Loads!$A$1:$A$13458,Monthly!O67&amp;Monthly!$O$45,Loads!$K:$K)=0,"-",SUMIF(Loads!$A$1:$A$13458,Monthly!O67&amp;Monthly!$O$45,Loads!$K:$K)))</f>
        <v>-</v>
      </c>
      <c r="R67" s="24" t="str" cm="1">
        <f t="array" ref="R67">IFERROR(SUMPRODUCT(--(Loads!$A$1:$A$13458=Monthly!O67&amp;$O$45),Loads!$M$1:$M$13458,Loads!$K$1:$K$13458)/Q67,"-")</f>
        <v>-</v>
      </c>
      <c r="S67" s="24" t="str" cm="1">
        <f t="array" ref="S67">IFERROR(SUMPRODUCT(--(Loads!$A$1:$A$13458=Monthly!O67&amp;$O$45),Loads!$O$1:$O$13458,Loads!$K$1:$K$13458)/Q67,"-")</f>
        <v>-</v>
      </c>
      <c r="T67" s="45"/>
      <c r="U67" s="73">
        <f t="shared" si="7"/>
        <v>44276</v>
      </c>
      <c r="V67" s="59">
        <f>IF(U67="-","-",COUNTIF(Loads!$A$1:$A$13458,Monthly!U67&amp;Monthly!$U$45))</f>
        <v>0</v>
      </c>
      <c r="W67" s="59" t="str">
        <f>IF(U67="-","-",IF(SUMIF(Loads!$A$1:$A$13458,Monthly!U67&amp;Monthly!$U$45,Loads!$K:$K)=0,"-",SUMIF(Loads!$A$1:$A$13458,Monthly!U67&amp;Monthly!$U$45,Loads!$K:$K)))</f>
        <v>-</v>
      </c>
      <c r="X67" s="60" t="str" cm="1">
        <f t="array" ref="X67">IFERROR(SUMPRODUCT(--(Loads!$A$1:$A$13458=Monthly!U67&amp;$U$45),Loads!$L$1:$L$13458,Loads!$K$1:$K$13458)/W67,"-")</f>
        <v>-</v>
      </c>
      <c r="Y67" s="60" t="str" cm="1">
        <f t="array" ref="Y67">IFERROR(SUMPRODUCT(--(Loads!$A$1:$A$13458=Monthly!U67&amp;$U$45),Loads!$M$1:$M$13458,Loads!$K$1:$K$13458)/W67,"-")</f>
        <v>-</v>
      </c>
      <c r="Z67" s="79"/>
    </row>
    <row r="68" spans="2:26" x14ac:dyDescent="0.35">
      <c r="B68" s="44"/>
      <c r="C68" s="70">
        <f t="shared" si="4"/>
        <v>44277</v>
      </c>
      <c r="D68" s="54">
        <f>IF(C68="-","-",COUNTIF(Loads!$A$1:$A$13458,Monthly!C68&amp;Monthly!$C$45))</f>
        <v>0</v>
      </c>
      <c r="E68" s="54" t="str">
        <f>IF(C68="-","-",IF(SUMIF(Loads!$A$1:$A$13458,Monthly!C68&amp;Monthly!$C$45,Loads!$K:$K)=0,"-",SUMIF(Loads!$A$1:$A$13458,Monthly!C68&amp;Monthly!$C$45,Loads!$K:$K)))</f>
        <v>-</v>
      </c>
      <c r="F68" s="55" t="str" cm="1">
        <f t="array" ref="F68">IFERROR(SUMPRODUCT(--(Loads!$A$1:$A$13458=Monthly!C68&amp;$C$45),Loads!$L$1:$L$13458,Loads!$K$1:$K$13458)/E68,"-")</f>
        <v>-</v>
      </c>
      <c r="G68" s="55" t="str" cm="1">
        <f t="array" ref="G68">IFERROR(SUMPRODUCT(--(Loads!$A$1:$A$13458=Monthly!C68&amp;$C$45),Loads!$M$1:$M$13458,Loads!$K$1:$K$13458)/E68,"-")</f>
        <v>-</v>
      </c>
      <c r="H68" s="45"/>
      <c r="I68" s="71">
        <f t="shared" si="5"/>
        <v>44277</v>
      </c>
      <c r="J68" s="20">
        <f>IF(I68="-","-",COUNTIF(Loads!$A$1:$A$13458,Monthly!I68&amp;Monthly!$I$45))</f>
        <v>1</v>
      </c>
      <c r="K68" s="20">
        <f>IF(I68="-","-",IF(SUMIF(Loads!$A$1:$A$13458,Monthly!I68&amp;Monthly!$I$45,Loads!$K:$K)=0,"-",SUMIF(Loads!$A$1:$A$13458,Monthly!I68&amp;Monthly!$I$45,Loads!$K:$K)))</f>
        <v>36260</v>
      </c>
      <c r="L68" s="21" cm="1">
        <f t="array" ref="L68">IFERROR(SUMPRODUCT(--(Loads!$A$1:$A$13458=Monthly!I68&amp;$I$45),Loads!$L$1:$L$13458,Loads!$K$1:$K$13458)/K68,"-")</f>
        <v>7.0000000000000007E-2</v>
      </c>
      <c r="M68" s="21" cm="1">
        <f t="array" ref="M68">IFERROR(SUMPRODUCT(--(Loads!$A$1:$A$13458=Monthly!I68&amp;$I$45),Loads!$N$1:$N$13458,Loads!$K$1:$K$13458)/K68,"-")</f>
        <v>1.8800000000000001</v>
      </c>
      <c r="N68" s="45"/>
      <c r="O68" s="72">
        <f t="shared" si="6"/>
        <v>44277</v>
      </c>
      <c r="P68" s="23">
        <f>IF(O68="-","-",COUNTIF(Loads!$A$1:$A$13458,Monthly!O68&amp;Monthly!$O$45))</f>
        <v>1</v>
      </c>
      <c r="Q68" s="23">
        <f>IF(O68="-","-",IF(SUMIF(Loads!$A$1:$A$13458,Monthly!O68&amp;Monthly!$O$45,Loads!$K:$K)=0,"-",SUMIF(Loads!$A$1:$A$13458,Monthly!O68&amp;Monthly!$O$45,Loads!$K:$K)))</f>
        <v>28120</v>
      </c>
      <c r="R68" s="24" cm="1">
        <f t="array" ref="R68">IFERROR(SUMPRODUCT(--(Loads!$A$1:$A$13458=Monthly!O68&amp;$O$45),Loads!$M$1:$M$13458,Loads!$K$1:$K$13458)/Q68,"-")</f>
        <v>21.49</v>
      </c>
      <c r="S68" s="24" cm="1">
        <f t="array" ref="S68">IFERROR(SUMPRODUCT(--(Loads!$A$1:$A$13458=Monthly!O68&amp;$O$45),Loads!$O$1:$O$13458,Loads!$K$1:$K$13458)/Q68,"-")</f>
        <v>40.85</v>
      </c>
      <c r="T68" s="45"/>
      <c r="U68" s="73">
        <f t="shared" si="7"/>
        <v>44277</v>
      </c>
      <c r="V68" s="59">
        <f>IF(U68="-","-",COUNTIF(Loads!$A$1:$A$13458,Monthly!U68&amp;Monthly!$U$45))</f>
        <v>1</v>
      </c>
      <c r="W68" s="59">
        <f>IF(U68="-","-",IF(SUMIF(Loads!$A$1:$A$13458,Monthly!U68&amp;Monthly!$U$45,Loads!$K:$K)=0,"-",SUMIF(Loads!$A$1:$A$13458,Monthly!U68&amp;Monthly!$U$45,Loads!$K:$K)))</f>
        <v>22480</v>
      </c>
      <c r="X68" s="60" cm="1">
        <f t="array" ref="X68">IFERROR(SUMPRODUCT(--(Loads!$A$1:$A$13458=Monthly!U68&amp;$U$45),Loads!$L$1:$L$13458,Loads!$K$1:$K$13458)/W68,"-")</f>
        <v>10.89</v>
      </c>
      <c r="Y68" s="60" cm="1">
        <f t="array" ref="Y68">IFERROR(SUMPRODUCT(--(Loads!$A$1:$A$13458=Monthly!U68&amp;$U$45),Loads!$M$1:$M$13458,Loads!$K$1:$K$13458)/W68,"-")</f>
        <v>7.0199999999999987</v>
      </c>
      <c r="Z68" s="79"/>
    </row>
    <row r="69" spans="2:26" x14ac:dyDescent="0.35">
      <c r="B69" s="44"/>
      <c r="C69" s="70">
        <f t="shared" si="4"/>
        <v>44278</v>
      </c>
      <c r="D69" s="54">
        <f>IF(C69="-","-",COUNTIF(Loads!$A$1:$A$13458,Monthly!C69&amp;Monthly!$C$45))</f>
        <v>1</v>
      </c>
      <c r="E69" s="54">
        <f>IF(C69="-","-",IF(SUMIF(Loads!$A$1:$A$13458,Monthly!C69&amp;Monthly!$C$45,Loads!$K:$K)=0,"-",SUMIF(Loads!$A$1:$A$13458,Monthly!C69&amp;Monthly!$C$45,Loads!$K:$K)))</f>
        <v>14560</v>
      </c>
      <c r="F69" s="55" cm="1">
        <f t="array" ref="F69">IFERROR(SUMPRODUCT(--(Loads!$A$1:$A$13458=Monthly!C69&amp;$C$45),Loads!$L$1:$L$13458,Loads!$K$1:$K$13458)/E69,"-")</f>
        <v>11.48</v>
      </c>
      <c r="G69" s="55" cm="1">
        <f t="array" ref="G69">IFERROR(SUMPRODUCT(--(Loads!$A$1:$A$13458=Monthly!C69&amp;$C$45),Loads!$M$1:$M$13458,Loads!$K$1:$K$13458)/E69,"-")</f>
        <v>0</v>
      </c>
      <c r="H69" s="45"/>
      <c r="I69" s="71">
        <f t="shared" si="5"/>
        <v>44278</v>
      </c>
      <c r="J69" s="20">
        <f>IF(I69="-","-",COUNTIF(Loads!$A$1:$A$13458,Monthly!I69&amp;Monthly!$I$45))</f>
        <v>1</v>
      </c>
      <c r="K69" s="20">
        <f>IF(I69="-","-",IF(SUMIF(Loads!$A$1:$A$13458,Monthly!I69&amp;Monthly!$I$45,Loads!$K:$K)=0,"-",SUMIF(Loads!$A$1:$A$13458,Monthly!I69&amp;Monthly!$I$45,Loads!$K:$K)))</f>
        <v>31580</v>
      </c>
      <c r="L69" s="21" cm="1">
        <f t="array" ref="L69">IFERROR(SUMPRODUCT(--(Loads!$A$1:$A$13458=Monthly!I69&amp;$I$45),Loads!$L$1:$L$13458,Loads!$K$1:$K$13458)/K69,"-")</f>
        <v>0.7</v>
      </c>
      <c r="M69" s="21" cm="1">
        <f t="array" ref="M69">IFERROR(SUMPRODUCT(--(Loads!$A$1:$A$13458=Monthly!I69&amp;$I$45),Loads!$N$1:$N$13458,Loads!$K$1:$K$13458)/K69,"-")</f>
        <v>1.88</v>
      </c>
      <c r="N69" s="45"/>
      <c r="O69" s="72">
        <f t="shared" si="6"/>
        <v>44278</v>
      </c>
      <c r="P69" s="23">
        <f>IF(O69="-","-",COUNTIF(Loads!$A$1:$A$13458,Monthly!O69&amp;Monthly!$O$45))</f>
        <v>1</v>
      </c>
      <c r="Q69" s="23">
        <f>IF(O69="-","-",IF(SUMIF(Loads!$A$1:$A$13458,Monthly!O69&amp;Monthly!$O$45,Loads!$K:$K)=0,"-",SUMIF(Loads!$A$1:$A$13458,Monthly!O69&amp;Monthly!$O$45,Loads!$K:$K)))</f>
        <v>28360</v>
      </c>
      <c r="R69" s="24" cm="1">
        <f t="array" ref="R69">IFERROR(SUMPRODUCT(--(Loads!$A$1:$A$13458=Monthly!O69&amp;$O$45),Loads!$M$1:$M$13458,Loads!$K$1:$K$13458)/Q69,"-")</f>
        <v>21.98</v>
      </c>
      <c r="S69" s="24" cm="1">
        <f t="array" ref="S69">IFERROR(SUMPRODUCT(--(Loads!$A$1:$A$13458=Monthly!O69&amp;$O$45),Loads!$O$1:$O$13458,Loads!$K$1:$K$13458)/Q69,"-")</f>
        <v>44.4</v>
      </c>
      <c r="T69" s="45"/>
      <c r="U69" s="73">
        <f t="shared" si="7"/>
        <v>44278</v>
      </c>
      <c r="V69" s="59">
        <f>IF(U69="-","-",COUNTIF(Loads!$A$1:$A$13458,Monthly!U69&amp;Monthly!$U$45))</f>
        <v>1</v>
      </c>
      <c r="W69" s="59">
        <f>IF(U69="-","-",IF(SUMIF(Loads!$A$1:$A$13458,Monthly!U69&amp;Monthly!$U$45,Loads!$K:$K)=0,"-",SUMIF(Loads!$A$1:$A$13458,Monthly!U69&amp;Monthly!$U$45,Loads!$K:$K)))</f>
        <v>17920</v>
      </c>
      <c r="X69" s="60" cm="1">
        <f t="array" ref="X69">IFERROR(SUMPRODUCT(--(Loads!$A$1:$A$13458=Monthly!U69&amp;$U$45),Loads!$L$1:$L$13458,Loads!$K$1:$K$13458)/W69,"-")</f>
        <v>12.03</v>
      </c>
      <c r="Y69" s="60" cm="1">
        <f t="array" ref="Y69">IFERROR(SUMPRODUCT(--(Loads!$A$1:$A$13458=Monthly!U69&amp;$U$45),Loads!$M$1:$M$13458,Loads!$K$1:$K$13458)/W69,"-")</f>
        <v>7.2</v>
      </c>
      <c r="Z69" s="79"/>
    </row>
    <row r="70" spans="2:26" x14ac:dyDescent="0.35">
      <c r="B70" s="44"/>
      <c r="C70" s="70">
        <f t="shared" si="4"/>
        <v>44279</v>
      </c>
      <c r="D70" s="54">
        <f>IF(C70="-","-",COUNTIF(Loads!$A$1:$A$13458,Monthly!C70&amp;Monthly!$C$45))</f>
        <v>0</v>
      </c>
      <c r="E70" s="54" t="str">
        <f>IF(C70="-","-",IF(SUMIF(Loads!$A$1:$A$13458,Monthly!C70&amp;Monthly!$C$45,Loads!$K:$K)=0,"-",SUMIF(Loads!$A$1:$A$13458,Monthly!C70&amp;Monthly!$C$45,Loads!$K:$K)))</f>
        <v>-</v>
      </c>
      <c r="F70" s="55" t="str" cm="1">
        <f t="array" ref="F70">IFERROR(SUMPRODUCT(--(Loads!$A$1:$A$13458=Monthly!C70&amp;$C$45),Loads!$L$1:$L$13458,Loads!$K$1:$K$13458)/E70,"-")</f>
        <v>-</v>
      </c>
      <c r="G70" s="55" t="str" cm="1">
        <f t="array" ref="G70">IFERROR(SUMPRODUCT(--(Loads!$A$1:$A$13458=Monthly!C70&amp;$C$45),Loads!$M$1:$M$13458,Loads!$K$1:$K$13458)/E70,"-")</f>
        <v>-</v>
      </c>
      <c r="H70" s="45"/>
      <c r="I70" s="71">
        <f t="shared" si="5"/>
        <v>44279</v>
      </c>
      <c r="J70" s="20">
        <f>IF(I70="-","-",COUNTIF(Loads!$A$1:$A$13458,Monthly!I70&amp;Monthly!$I$45))</f>
        <v>2</v>
      </c>
      <c r="K70" s="20">
        <f>IF(I70="-","-",IF(SUMIF(Loads!$A$1:$A$13458,Monthly!I70&amp;Monthly!$I$45,Loads!$K:$K)=0,"-",SUMIF(Loads!$A$1:$A$13458,Monthly!I70&amp;Monthly!$I$45,Loads!$K:$K)))</f>
        <v>69060</v>
      </c>
      <c r="L70" s="21" cm="1">
        <f t="array" ref="L70">IFERROR(SUMPRODUCT(--(Loads!$A$1:$A$13458=Monthly!I70&amp;$I$45),Loads!$L$1:$L$13458,Loads!$K$1:$K$13458)/K70,"-")</f>
        <v>7.0000000000000007E-2</v>
      </c>
      <c r="M70" s="21" cm="1">
        <f t="array" ref="M70">IFERROR(SUMPRODUCT(--(Loads!$A$1:$A$13458=Monthly!I70&amp;$I$45),Loads!$N$1:$N$13458,Loads!$K$1:$K$13458)/K70,"-")</f>
        <v>1.94</v>
      </c>
      <c r="N70" s="45"/>
      <c r="O70" s="72">
        <f t="shared" si="6"/>
        <v>44279</v>
      </c>
      <c r="P70" s="23">
        <f>IF(O70="-","-",COUNTIF(Loads!$A$1:$A$13458,Monthly!O70&amp;Monthly!$O$45))</f>
        <v>1</v>
      </c>
      <c r="Q70" s="23">
        <f>IF(O70="-","-",IF(SUMIF(Loads!$A$1:$A$13458,Monthly!O70&amp;Monthly!$O$45,Loads!$K:$K)=0,"-",SUMIF(Loads!$A$1:$A$13458,Monthly!O70&amp;Monthly!$O$45,Loads!$K:$K)))</f>
        <v>23380</v>
      </c>
      <c r="R70" s="24" cm="1">
        <f t="array" ref="R70">IFERROR(SUMPRODUCT(--(Loads!$A$1:$A$13458=Monthly!O70&amp;$O$45),Loads!$M$1:$M$13458,Loads!$K$1:$K$13458)/Q70,"-")</f>
        <v>24</v>
      </c>
      <c r="S70" s="24" cm="1">
        <f t="array" ref="S70">IFERROR(SUMPRODUCT(--(Loads!$A$1:$A$13458=Monthly!O70&amp;$O$45),Loads!$O$1:$O$13458,Loads!$K$1:$K$13458)/Q70,"-")</f>
        <v>45.62</v>
      </c>
      <c r="T70" s="45"/>
      <c r="U70" s="73">
        <f t="shared" si="7"/>
        <v>44279</v>
      </c>
      <c r="V70" s="59">
        <f>IF(U70="-","-",COUNTIF(Loads!$A$1:$A$13458,Monthly!U70&amp;Monthly!$U$45))</f>
        <v>2</v>
      </c>
      <c r="W70" s="59">
        <f>IF(U70="-","-",IF(SUMIF(Loads!$A$1:$A$13458,Monthly!U70&amp;Monthly!$U$45,Loads!$K:$K)=0,"-",SUMIF(Loads!$A$1:$A$13458,Monthly!U70&amp;Monthly!$U$45,Loads!$K:$K)))</f>
        <v>24840</v>
      </c>
      <c r="X70" s="60" cm="1">
        <f t="array" ref="X70">IFERROR(SUMPRODUCT(--(Loads!$A$1:$A$13458=Monthly!U70&amp;$U$45),Loads!$L$1:$L$13458,Loads!$K$1:$K$13458)/W70,"-")</f>
        <v>11.348985507246379</v>
      </c>
      <c r="Y70" s="60" cm="1">
        <f t="array" ref="Y70">IFERROR(SUMPRODUCT(--(Loads!$A$1:$A$13458=Monthly!U70&amp;$U$45),Loads!$M$1:$M$13458,Loads!$K$1:$K$13458)/W70,"-")</f>
        <v>7.02</v>
      </c>
      <c r="Z70" s="79"/>
    </row>
    <row r="71" spans="2:26" x14ac:dyDescent="0.35">
      <c r="B71" s="44"/>
      <c r="C71" s="70">
        <f t="shared" si="4"/>
        <v>44280</v>
      </c>
      <c r="D71" s="54">
        <f>IF(C71="-","-",COUNTIF(Loads!$A$1:$A$13458,Monthly!C71&amp;Monthly!$C$45))</f>
        <v>0</v>
      </c>
      <c r="E71" s="54" t="str">
        <f>IF(C71="-","-",IF(SUMIF(Loads!$A$1:$A$13458,Monthly!C71&amp;Monthly!$C$45,Loads!$K:$K)=0,"-",SUMIF(Loads!$A$1:$A$13458,Monthly!C71&amp;Monthly!$C$45,Loads!$K:$K)))</f>
        <v>-</v>
      </c>
      <c r="F71" s="55" t="str" cm="1">
        <f t="array" ref="F71">IFERROR(SUMPRODUCT(--(Loads!$A$1:$A$13458=Monthly!C71&amp;$C$45),Loads!$L$1:$L$13458,Loads!$K$1:$K$13458)/E71,"-")</f>
        <v>-</v>
      </c>
      <c r="G71" s="55" t="str" cm="1">
        <f t="array" ref="G71">IFERROR(SUMPRODUCT(--(Loads!$A$1:$A$13458=Monthly!C71&amp;$C$45),Loads!$M$1:$M$13458,Loads!$K$1:$K$13458)/E71,"-")</f>
        <v>-</v>
      </c>
      <c r="H71" s="45"/>
      <c r="I71" s="71">
        <f t="shared" si="5"/>
        <v>44280</v>
      </c>
      <c r="J71" s="20">
        <f>IF(I71="-","-",COUNTIF(Loads!$A$1:$A$13458,Monthly!I71&amp;Monthly!$I$45))</f>
        <v>1</v>
      </c>
      <c r="K71" s="20">
        <f>IF(I71="-","-",IF(SUMIF(Loads!$A$1:$A$13458,Monthly!I71&amp;Monthly!$I$45,Loads!$K:$K)=0,"-",SUMIF(Loads!$A$1:$A$13458,Monthly!I71&amp;Monthly!$I$45,Loads!$K:$K)))</f>
        <v>33240</v>
      </c>
      <c r="L71" s="21" cm="1">
        <f t="array" ref="L71">IFERROR(SUMPRODUCT(--(Loads!$A$1:$A$13458=Monthly!I71&amp;$I$45),Loads!$L$1:$L$13458,Loads!$K$1:$K$13458)/K71,"-")</f>
        <v>0.08</v>
      </c>
      <c r="M71" s="21" cm="1">
        <f t="array" ref="M71">IFERROR(SUMPRODUCT(--(Loads!$A$1:$A$13458=Monthly!I71&amp;$I$45),Loads!$N$1:$N$13458,Loads!$K$1:$K$13458)/K71,"-")</f>
        <v>2.56</v>
      </c>
      <c r="N71" s="45"/>
      <c r="O71" s="72">
        <f t="shared" si="6"/>
        <v>44280</v>
      </c>
      <c r="P71" s="23">
        <f>IF(O71="-","-",COUNTIF(Loads!$A$1:$A$13458,Monthly!O71&amp;Monthly!$O$45))</f>
        <v>0</v>
      </c>
      <c r="Q71" s="23" t="str">
        <f>IF(O71="-","-",IF(SUMIF(Loads!$A$1:$A$13458,Monthly!O71&amp;Monthly!$O$45,Loads!$K:$K)=0,"-",SUMIF(Loads!$A$1:$A$13458,Monthly!O71&amp;Monthly!$O$45,Loads!$K:$K)))</f>
        <v>-</v>
      </c>
      <c r="R71" s="24" t="str" cm="1">
        <f t="array" ref="R71">IFERROR(SUMPRODUCT(--(Loads!$A$1:$A$13458=Monthly!O71&amp;$O$45),Loads!$M$1:$M$13458,Loads!$K$1:$K$13458)/Q71,"-")</f>
        <v>-</v>
      </c>
      <c r="S71" s="24" t="str" cm="1">
        <f t="array" ref="S71">IFERROR(SUMPRODUCT(--(Loads!$A$1:$A$13458=Monthly!O71&amp;$O$45),Loads!$O$1:$O$13458,Loads!$K$1:$K$13458)/Q71,"-")</f>
        <v>-</v>
      </c>
      <c r="T71" s="45"/>
      <c r="U71" s="73">
        <f t="shared" si="7"/>
        <v>44280</v>
      </c>
      <c r="V71" s="59">
        <f>IF(U71="-","-",COUNTIF(Loads!$A$1:$A$13458,Monthly!U71&amp;Monthly!$U$45))</f>
        <v>1</v>
      </c>
      <c r="W71" s="59">
        <f>IF(U71="-","-",IF(SUMIF(Loads!$A$1:$A$13458,Monthly!U71&amp;Monthly!$U$45,Loads!$K:$K)=0,"-",SUMIF(Loads!$A$1:$A$13458,Monthly!U71&amp;Monthly!$U$45,Loads!$K:$K)))</f>
        <v>12000</v>
      </c>
      <c r="X71" s="60" cm="1">
        <f t="array" ref="X71">IFERROR(SUMPRODUCT(--(Loads!$A$1:$A$13458=Monthly!U71&amp;$U$45),Loads!$L$1:$L$13458,Loads!$K$1:$K$13458)/W71,"-")</f>
        <v>12.11</v>
      </c>
      <c r="Y71" s="60" cm="1">
        <f t="array" ref="Y71">IFERROR(SUMPRODUCT(--(Loads!$A$1:$A$13458=Monthly!U71&amp;$U$45),Loads!$M$1:$M$13458,Loads!$K$1:$K$13458)/W71,"-")</f>
        <v>7.2</v>
      </c>
      <c r="Z71" s="79"/>
    </row>
    <row r="72" spans="2:26" x14ac:dyDescent="0.35">
      <c r="B72" s="44"/>
      <c r="C72" s="70">
        <f t="shared" si="4"/>
        <v>44281</v>
      </c>
      <c r="D72" s="54">
        <f>IF(C72="-","-",COUNTIF(Loads!$A$1:$A$13458,Monthly!C72&amp;Monthly!$C$45))</f>
        <v>1</v>
      </c>
      <c r="E72" s="54">
        <f>IF(C72="-","-",IF(SUMIF(Loads!$A$1:$A$13458,Monthly!C72&amp;Monthly!$C$45,Loads!$K:$K)=0,"-",SUMIF(Loads!$A$1:$A$13458,Monthly!C72&amp;Monthly!$C$45,Loads!$K:$K)))</f>
        <v>16180</v>
      </c>
      <c r="F72" s="55" cm="1">
        <f t="array" ref="F72">IFERROR(SUMPRODUCT(--(Loads!$A$1:$A$13458=Monthly!C72&amp;$C$45),Loads!$L$1:$L$13458,Loads!$K$1:$K$13458)/E72,"-")</f>
        <v>11.88</v>
      </c>
      <c r="G72" s="55" cm="1">
        <f t="array" ref="G72">IFERROR(SUMPRODUCT(--(Loads!$A$1:$A$13458=Monthly!C72&amp;$C$45),Loads!$M$1:$M$13458,Loads!$K$1:$K$13458)/E72,"-")</f>
        <v>0</v>
      </c>
      <c r="H72" s="45"/>
      <c r="I72" s="71">
        <f t="shared" si="5"/>
        <v>44281</v>
      </c>
      <c r="J72" s="20">
        <f>IF(I72="-","-",COUNTIF(Loads!$A$1:$A$13458,Monthly!I72&amp;Monthly!$I$45))</f>
        <v>2</v>
      </c>
      <c r="K72" s="20">
        <f>IF(I72="-","-",IF(SUMIF(Loads!$A$1:$A$13458,Monthly!I72&amp;Monthly!$I$45,Loads!$K:$K)=0,"-",SUMIF(Loads!$A$1:$A$13458,Monthly!I72&amp;Monthly!$I$45,Loads!$K:$K)))</f>
        <v>57180</v>
      </c>
      <c r="L72" s="21" cm="1">
        <f t="array" ref="L72">IFERROR(SUMPRODUCT(--(Loads!$A$1:$A$13458=Monthly!I72&amp;$I$45),Loads!$L$1:$L$13458,Loads!$K$1:$K$13458)/K72,"-")</f>
        <v>7.9999999999999988E-2</v>
      </c>
      <c r="M72" s="21" cm="1">
        <f t="array" ref="M72">IFERROR(SUMPRODUCT(--(Loads!$A$1:$A$13458=Monthly!I72&amp;$I$45),Loads!$N$1:$N$13458,Loads!$K$1:$K$13458)/K72,"-")</f>
        <v>2.0951521511017837</v>
      </c>
      <c r="N72" s="45"/>
      <c r="O72" s="72">
        <f t="shared" si="6"/>
        <v>44281</v>
      </c>
      <c r="P72" s="23">
        <f>IF(O72="-","-",COUNTIF(Loads!$A$1:$A$13458,Monthly!O72&amp;Monthly!$O$45))</f>
        <v>1</v>
      </c>
      <c r="Q72" s="23">
        <f>IF(O72="-","-",IF(SUMIF(Loads!$A$1:$A$13458,Monthly!O72&amp;Monthly!$O$45,Loads!$K:$K)=0,"-",SUMIF(Loads!$A$1:$A$13458,Monthly!O72&amp;Monthly!$O$45,Loads!$K:$K)))</f>
        <v>24520</v>
      </c>
      <c r="R72" s="24" cm="1">
        <f t="array" ref="R72">IFERROR(SUMPRODUCT(--(Loads!$A$1:$A$13458=Monthly!O72&amp;$O$45),Loads!$M$1:$M$13458,Loads!$K$1:$K$13458)/Q72,"-")</f>
        <v>22</v>
      </c>
      <c r="S72" s="24" cm="1">
        <f t="array" ref="S72">IFERROR(SUMPRODUCT(--(Loads!$A$1:$A$13458=Monthly!O72&amp;$O$45),Loads!$O$1:$O$13458,Loads!$K$1:$K$13458)/Q72,"-")</f>
        <v>40.56</v>
      </c>
      <c r="T72" s="45"/>
      <c r="U72" s="73">
        <f t="shared" si="7"/>
        <v>44281</v>
      </c>
      <c r="V72" s="59">
        <f>IF(U72="-","-",COUNTIF(Loads!$A$1:$A$13458,Monthly!U72&amp;Monthly!$U$45))</f>
        <v>2</v>
      </c>
      <c r="W72" s="59">
        <f>IF(U72="-","-",IF(SUMIF(Loads!$A$1:$A$13458,Monthly!U72&amp;Monthly!$U$45,Loads!$K:$K)=0,"-",SUMIF(Loads!$A$1:$A$13458,Monthly!U72&amp;Monthly!$U$45,Loads!$K:$K)))</f>
        <v>22800</v>
      </c>
      <c r="X72" s="60" cm="1">
        <f t="array" ref="X72">IFERROR(SUMPRODUCT(--(Loads!$A$1:$A$13458=Monthly!U72&amp;$U$45),Loads!$L$1:$L$13458,Loads!$K$1:$K$13458)/W72,"-")</f>
        <v>12.89201754385965</v>
      </c>
      <c r="Y72" s="60" cm="1">
        <f t="array" ref="Y72">IFERROR(SUMPRODUCT(--(Loads!$A$1:$A$13458=Monthly!U72&amp;$U$45),Loads!$M$1:$M$13458,Loads!$K$1:$K$13458)/W72,"-")</f>
        <v>7.2</v>
      </c>
      <c r="Z72" s="79"/>
    </row>
    <row r="73" spans="2:26" x14ac:dyDescent="0.35">
      <c r="B73" s="44"/>
      <c r="C73" s="70">
        <f t="shared" si="4"/>
        <v>44282</v>
      </c>
      <c r="D73" s="54">
        <f>IF(C73="-","-",COUNTIF(Loads!$A$1:$A$13458,Monthly!C73&amp;Monthly!$C$45))</f>
        <v>0</v>
      </c>
      <c r="E73" s="54" t="str">
        <f>IF(C73="-","-",IF(SUMIF(Loads!$A$1:$A$13458,Monthly!C73&amp;Monthly!$C$45,Loads!$K:$K)=0,"-",SUMIF(Loads!$A$1:$A$13458,Monthly!C73&amp;Monthly!$C$45,Loads!$K:$K)))</f>
        <v>-</v>
      </c>
      <c r="F73" s="55" t="str" cm="1">
        <f t="array" ref="F73">IFERROR(SUMPRODUCT(--(Loads!$A$1:$A$13458=Monthly!C73&amp;$C$45),Loads!$L$1:$L$13458,Loads!$K$1:$K$13458)/E73,"-")</f>
        <v>-</v>
      </c>
      <c r="G73" s="55" t="str" cm="1">
        <f t="array" ref="G73">IFERROR(SUMPRODUCT(--(Loads!$A$1:$A$13458=Monthly!C73&amp;$C$45),Loads!$M$1:$M$13458,Loads!$K$1:$K$13458)/E73,"-")</f>
        <v>-</v>
      </c>
      <c r="H73" s="45"/>
      <c r="I73" s="71">
        <f t="shared" si="5"/>
        <v>44282</v>
      </c>
      <c r="J73" s="20">
        <f>IF(I73="-","-",COUNTIF(Loads!$A$1:$A$13458,Monthly!I73&amp;Monthly!$I$45))</f>
        <v>2</v>
      </c>
      <c r="K73" s="20">
        <f>IF(I73="-","-",IF(SUMIF(Loads!$A$1:$A$13458,Monthly!I73&amp;Monthly!$I$45,Loads!$K:$K)=0,"-",SUMIF(Loads!$A$1:$A$13458,Monthly!I73&amp;Monthly!$I$45,Loads!$K:$K)))</f>
        <v>70580</v>
      </c>
      <c r="L73" s="21" cm="1">
        <f t="array" ref="L73">IFERROR(SUMPRODUCT(--(Loads!$A$1:$A$13458=Monthly!I73&amp;$I$45),Loads!$L$1:$L$13458,Loads!$K$1:$K$13458)/K73,"-")</f>
        <v>0.1</v>
      </c>
      <c r="M73" s="21" cm="1">
        <f t="array" ref="M73">IFERROR(SUMPRODUCT(--(Loads!$A$1:$A$13458=Monthly!I73&amp;$I$45),Loads!$N$1:$N$13458,Loads!$K$1:$K$13458)/K73,"-")</f>
        <v>2.12</v>
      </c>
      <c r="N73" s="45"/>
      <c r="O73" s="72">
        <f t="shared" si="6"/>
        <v>44282</v>
      </c>
      <c r="P73" s="23">
        <f>IF(O73="-","-",COUNTIF(Loads!$A$1:$A$13458,Monthly!O73&amp;Monthly!$O$45))</f>
        <v>0</v>
      </c>
      <c r="Q73" s="23" t="str">
        <f>IF(O73="-","-",IF(SUMIF(Loads!$A$1:$A$13458,Monthly!O73&amp;Monthly!$O$45,Loads!$K:$K)=0,"-",SUMIF(Loads!$A$1:$A$13458,Monthly!O73&amp;Monthly!$O$45,Loads!$K:$K)))</f>
        <v>-</v>
      </c>
      <c r="R73" s="24" t="str" cm="1">
        <f t="array" ref="R73">IFERROR(SUMPRODUCT(--(Loads!$A$1:$A$13458=Monthly!O73&amp;$O$45),Loads!$M$1:$M$13458,Loads!$K$1:$K$13458)/Q73,"-")</f>
        <v>-</v>
      </c>
      <c r="S73" s="24" t="str" cm="1">
        <f t="array" ref="S73">IFERROR(SUMPRODUCT(--(Loads!$A$1:$A$13458=Monthly!O73&amp;$O$45),Loads!$O$1:$O$13458,Loads!$K$1:$K$13458)/Q73,"-")</f>
        <v>-</v>
      </c>
      <c r="T73" s="45"/>
      <c r="U73" s="73">
        <f t="shared" si="7"/>
        <v>44282</v>
      </c>
      <c r="V73" s="59">
        <f>IF(U73="-","-",COUNTIF(Loads!$A$1:$A$13458,Monthly!U73&amp;Monthly!$U$45))</f>
        <v>2</v>
      </c>
      <c r="W73" s="59">
        <f>IF(U73="-","-",IF(SUMIF(Loads!$A$1:$A$13458,Monthly!U73&amp;Monthly!$U$45,Loads!$K:$K)=0,"-",SUMIF(Loads!$A$1:$A$13458,Monthly!U73&amp;Monthly!$U$45,Loads!$K:$K)))</f>
        <v>25360</v>
      </c>
      <c r="X73" s="60" cm="1">
        <f t="array" ref="X73">IFERROR(SUMPRODUCT(--(Loads!$A$1:$A$13458=Monthly!U73&amp;$U$45),Loads!$L$1:$L$13458,Loads!$K$1:$K$13458)/W73,"-")</f>
        <v>9.8110094637223977</v>
      </c>
      <c r="Y73" s="60" cm="1">
        <f t="array" ref="Y73">IFERROR(SUMPRODUCT(--(Loads!$A$1:$A$13458=Monthly!U73&amp;$U$45),Loads!$M$1:$M$13458,Loads!$K$1:$K$13458)/W73,"-")</f>
        <v>7.2</v>
      </c>
      <c r="Z73" s="79"/>
    </row>
    <row r="74" spans="2:26" x14ac:dyDescent="0.35">
      <c r="B74" s="44"/>
      <c r="C74" s="70">
        <f t="shared" si="4"/>
        <v>44283</v>
      </c>
      <c r="D74" s="54">
        <f>IF(C74="-","-",COUNTIF(Loads!$A$1:$A$13458,Monthly!C74&amp;Monthly!$C$45))</f>
        <v>0</v>
      </c>
      <c r="E74" s="54" t="str">
        <f>IF(C74="-","-",IF(SUMIF(Loads!$A$1:$A$13458,Monthly!C74&amp;Monthly!$C$45,Loads!$K:$K)=0,"-",SUMIF(Loads!$A$1:$A$13458,Monthly!C74&amp;Monthly!$C$45,Loads!$K:$K)))</f>
        <v>-</v>
      </c>
      <c r="F74" s="55" t="str" cm="1">
        <f t="array" ref="F74">IFERROR(SUMPRODUCT(--(Loads!$A$1:$A$13458=Monthly!C74&amp;$C$45),Loads!$L$1:$L$13458,Loads!$K$1:$K$13458)/E74,"-")</f>
        <v>-</v>
      </c>
      <c r="G74" s="55" t="str" cm="1">
        <f t="array" ref="G74">IFERROR(SUMPRODUCT(--(Loads!$A$1:$A$13458=Monthly!C74&amp;$C$45),Loads!$M$1:$M$13458,Loads!$K$1:$K$13458)/E74,"-")</f>
        <v>-</v>
      </c>
      <c r="H74" s="45"/>
      <c r="I74" s="71">
        <f t="shared" si="5"/>
        <v>44283</v>
      </c>
      <c r="J74" s="20">
        <f>IF(I74="-","-",COUNTIF(Loads!$A$1:$A$13458,Monthly!I74&amp;Monthly!$I$45))</f>
        <v>0</v>
      </c>
      <c r="K74" s="20" t="str">
        <f>IF(I74="-","-",IF(SUMIF(Loads!$A$1:$A$13458,Monthly!I74&amp;Monthly!$I$45,Loads!$K:$K)=0,"-",SUMIF(Loads!$A$1:$A$13458,Monthly!I74&amp;Monthly!$I$45,Loads!$K:$K)))</f>
        <v>-</v>
      </c>
      <c r="L74" s="21" t="str" cm="1">
        <f t="array" ref="L74">IFERROR(SUMPRODUCT(--(Loads!$A$1:$A$13458=Monthly!I74&amp;$I$45),Loads!$L$1:$L$13458,Loads!$K$1:$K$13458)/K74,"-")</f>
        <v>-</v>
      </c>
      <c r="M74" s="21" t="str" cm="1">
        <f t="array" ref="M74">IFERROR(SUMPRODUCT(--(Loads!$A$1:$A$13458=Monthly!I74&amp;$I$45),Loads!$N$1:$N$13458,Loads!$K$1:$K$13458)/K74,"-")</f>
        <v>-</v>
      </c>
      <c r="N74" s="45"/>
      <c r="O74" s="72">
        <f t="shared" si="6"/>
        <v>44283</v>
      </c>
      <c r="P74" s="23">
        <f>IF(O74="-","-",COUNTIF(Loads!$A$1:$A$13458,Monthly!O74&amp;Monthly!$O$45))</f>
        <v>1</v>
      </c>
      <c r="Q74" s="23">
        <f>IF(O74="-","-",IF(SUMIF(Loads!$A$1:$A$13458,Monthly!O74&amp;Monthly!$O$45,Loads!$K:$K)=0,"-",SUMIF(Loads!$A$1:$A$13458,Monthly!O74&amp;Monthly!$O$45,Loads!$K:$K)))</f>
        <v>13700</v>
      </c>
      <c r="R74" s="24" cm="1">
        <f t="array" ref="R74">IFERROR(SUMPRODUCT(--(Loads!$A$1:$A$13458=Monthly!O74&amp;$O$45),Loads!$M$1:$M$13458,Loads!$K$1:$K$13458)/Q74,"-")</f>
        <v>22.12</v>
      </c>
      <c r="S74" s="24" cm="1">
        <f t="array" ref="S74">IFERROR(SUMPRODUCT(--(Loads!$A$1:$A$13458=Monthly!O74&amp;$O$45),Loads!$O$1:$O$13458,Loads!$K$1:$K$13458)/Q74,"-")</f>
        <v>40.21</v>
      </c>
      <c r="T74" s="45"/>
      <c r="U74" s="73">
        <f t="shared" si="7"/>
        <v>44283</v>
      </c>
      <c r="V74" s="59">
        <f>IF(U74="-","-",COUNTIF(Loads!$A$1:$A$13458,Monthly!U74&amp;Monthly!$U$45))</f>
        <v>0</v>
      </c>
      <c r="W74" s="59" t="str">
        <f>IF(U74="-","-",IF(SUMIF(Loads!$A$1:$A$13458,Monthly!U74&amp;Monthly!$U$45,Loads!$K:$K)=0,"-",SUMIF(Loads!$A$1:$A$13458,Monthly!U74&amp;Monthly!$U$45,Loads!$K:$K)))</f>
        <v>-</v>
      </c>
      <c r="X74" s="60" t="str" cm="1">
        <f t="array" ref="X74">IFERROR(SUMPRODUCT(--(Loads!$A$1:$A$13458=Monthly!U74&amp;$U$45),Loads!$L$1:$L$13458,Loads!$K$1:$K$13458)/W74,"-")</f>
        <v>-</v>
      </c>
      <c r="Y74" s="60" t="str" cm="1">
        <f t="array" ref="Y74">IFERROR(SUMPRODUCT(--(Loads!$A$1:$A$13458=Monthly!U74&amp;$U$45),Loads!$M$1:$M$13458,Loads!$K$1:$K$13458)/W74,"-")</f>
        <v>-</v>
      </c>
      <c r="Z74" s="79"/>
    </row>
    <row r="75" spans="2:26" x14ac:dyDescent="0.35">
      <c r="B75" s="44"/>
      <c r="C75" s="70">
        <f>IFERROR(IF(C74=$X$6,"-",C74+1),"-")</f>
        <v>44284</v>
      </c>
      <c r="D75" s="54">
        <f>IF(C75="-","-",COUNTIF(Loads!$A$1:$A$13458,Monthly!C75&amp;Monthly!$C$45))</f>
        <v>0</v>
      </c>
      <c r="E75" s="54" t="str">
        <f>IF(C75="-","-",IF(SUMIF(Loads!$A$1:$A$13458,Monthly!C75&amp;Monthly!$C$45,Loads!$K:$K)=0,"-",SUMIF(Loads!$A$1:$A$13458,Monthly!C75&amp;Monthly!$C$45,Loads!$K:$K)))</f>
        <v>-</v>
      </c>
      <c r="F75" s="55" t="str" cm="1">
        <f t="array" ref="F75">IFERROR(SUMPRODUCT(--(Loads!$A$1:$A$13458=Monthly!C75&amp;$C$45),Loads!$L$1:$L$13458,Loads!$K$1:$K$13458)/E75,"-")</f>
        <v>-</v>
      </c>
      <c r="G75" s="55" t="str" cm="1">
        <f t="array" ref="G75">IFERROR(SUMPRODUCT(--(Loads!$A$1:$A$13458=Monthly!C75&amp;$C$45),Loads!$M$1:$M$13458,Loads!$K$1:$K$13458)/E75,"-")</f>
        <v>-</v>
      </c>
      <c r="H75" s="45"/>
      <c r="I75" s="71">
        <f>IFERROR(IF(I74=$X$6,"-",I74+1),"-")</f>
        <v>44284</v>
      </c>
      <c r="J75" s="20">
        <f>IF(I75="-","-",COUNTIF(Loads!$A$1:$A$13458,Monthly!I75&amp;Monthly!$I$45))</f>
        <v>1</v>
      </c>
      <c r="K75" s="20">
        <f>IF(I75="-","-",IF(SUMIF(Loads!$A$1:$A$13458,Monthly!I75&amp;Monthly!$I$45,Loads!$K:$K)=0,"-",SUMIF(Loads!$A$1:$A$13458,Monthly!I75&amp;Monthly!$I$45,Loads!$K:$K)))</f>
        <v>34020</v>
      </c>
      <c r="L75" s="21" cm="1">
        <f t="array" ref="L75">IFERROR(SUMPRODUCT(--(Loads!$A$1:$A$13458=Monthly!I75&amp;$I$45),Loads!$L$1:$L$13458,Loads!$K$1:$K$13458)/K75,"-")</f>
        <v>2.4</v>
      </c>
      <c r="M75" s="21" cm="1">
        <f t="array" ref="M75">IFERROR(SUMPRODUCT(--(Loads!$A$1:$A$13458=Monthly!I75&amp;$I$45),Loads!$N$1:$N$13458,Loads!$K$1:$K$13458)/K75,"-")</f>
        <v>0.08</v>
      </c>
      <c r="N75" s="45"/>
      <c r="O75" s="72">
        <f>IFERROR(IF(O74=$X$6,"-",O74+1),"-")</f>
        <v>44284</v>
      </c>
      <c r="P75" s="23">
        <f>IF(O75="-","-",COUNTIF(Loads!$A$1:$A$13458,Monthly!O75&amp;Monthly!$O$45))</f>
        <v>1</v>
      </c>
      <c r="Q75" s="23">
        <f>IF(O75="-","-",IF(SUMIF(Loads!$A$1:$A$13458,Monthly!O75&amp;Monthly!$O$45,Loads!$K:$K)=0,"-",SUMIF(Loads!$A$1:$A$13458,Monthly!O75&amp;Monthly!$O$45,Loads!$K:$K)))</f>
        <v>26200</v>
      </c>
      <c r="R75" s="24" cm="1">
        <f t="array" ref="R75">IFERROR(SUMPRODUCT(--(Loads!$A$1:$A$13458=Monthly!O75&amp;$O$45),Loads!$M$1:$M$13458,Loads!$K$1:$K$13458)/Q75,"-")</f>
        <v>24.7</v>
      </c>
      <c r="S75" s="24" cm="1">
        <f t="array" ref="S75">IFERROR(SUMPRODUCT(--(Loads!$A$1:$A$13458=Monthly!O75&amp;$O$45),Loads!$O$1:$O$13458,Loads!$K$1:$K$13458)/Q75,"-")</f>
        <v>42.84</v>
      </c>
      <c r="T75" s="45"/>
      <c r="U75" s="73">
        <f>IFERROR(IF(U74=$X$6,"-",U74+1),"-")</f>
        <v>44284</v>
      </c>
      <c r="V75" s="59">
        <f>IF(U75="-","-",COUNTIF(Loads!$A$1:$A$13458,Monthly!U75&amp;Monthly!$U$45))</f>
        <v>3</v>
      </c>
      <c r="W75" s="59">
        <f>IF(U75="-","-",IF(SUMIF(Loads!$A$1:$A$13458,Monthly!U75&amp;Monthly!$U$45,Loads!$K:$K)=0,"-",SUMIF(Loads!$A$1:$A$13458,Monthly!U75&amp;Monthly!$U$45,Loads!$K:$K)))</f>
        <v>35280</v>
      </c>
      <c r="X75" s="60" cm="1">
        <f t="array" ref="X75">IFERROR(SUMPRODUCT(--(Loads!$A$1:$A$13458=Monthly!U75&amp;$U$45),Loads!$L$1:$L$13458,Loads!$K$1:$K$13458)/W75,"-")</f>
        <v>12.194999999999999</v>
      </c>
      <c r="Y75" s="60" cm="1">
        <f t="array" ref="Y75">IFERROR(SUMPRODUCT(--(Loads!$A$1:$A$13458=Monthly!U75&amp;$U$45),Loads!$M$1:$M$13458,Loads!$K$1:$K$13458)/W75,"-")</f>
        <v>7.1505102040816331</v>
      </c>
      <c r="Z75" s="79"/>
    </row>
    <row r="76" spans="2:26" x14ac:dyDescent="0.35">
      <c r="B76" s="44"/>
      <c r="C76" s="70">
        <f>IFERROR(IF(C75=$X$6,"-",C75+1),"-")</f>
        <v>44285</v>
      </c>
      <c r="D76" s="54">
        <f>IF(C76="-","-",COUNTIF(Loads!$A$1:$A$13458,Monthly!C76&amp;Monthly!$C$45))</f>
        <v>1</v>
      </c>
      <c r="E76" s="54">
        <f>IF(C76="-","-",IF(SUMIF(Loads!$A$1:$A$13458,Monthly!C76&amp;Monthly!$C$45,Loads!$K:$K)=0,"-",SUMIF(Loads!$A$1:$A$13458,Monthly!C76&amp;Monthly!$C$45,Loads!$K:$K)))</f>
        <v>13400</v>
      </c>
      <c r="F76" s="55" cm="1">
        <f t="array" ref="F76">IFERROR(SUMPRODUCT(--(Loads!$A$1:$A$13458=Monthly!C76&amp;$C$45),Loads!$L$1:$L$13458,Loads!$K$1:$K$13458)/E76,"-")</f>
        <v>13.34</v>
      </c>
      <c r="G76" s="55" cm="1">
        <f t="array" ref="G76">IFERROR(SUMPRODUCT(--(Loads!$A$1:$A$13458=Monthly!C76&amp;$C$45),Loads!$M$1:$M$13458,Loads!$K$1:$K$13458)/E76,"-")</f>
        <v>0</v>
      </c>
      <c r="H76" s="45"/>
      <c r="I76" s="71">
        <f>IFERROR(IF(I75=$X$6,"-",I75+1),"-")</f>
        <v>44285</v>
      </c>
      <c r="J76" s="20">
        <f>IF(I76="-","-",COUNTIF(Loads!$A$1:$A$13458,Monthly!I76&amp;Monthly!$I$45))</f>
        <v>2</v>
      </c>
      <c r="K76" s="20">
        <f>IF(I76="-","-",IF(SUMIF(Loads!$A$1:$A$13458,Monthly!I76&amp;Monthly!$I$45,Loads!$K:$K)=0,"-",SUMIF(Loads!$A$1:$A$13458,Monthly!I76&amp;Monthly!$I$45,Loads!$K:$K)))</f>
        <v>70300</v>
      </c>
      <c r="L76" s="21" cm="1">
        <f t="array" ref="L76">IFERROR(SUMPRODUCT(--(Loads!$A$1:$A$13458=Monthly!I76&amp;$I$45),Loads!$L$1:$L$13458,Loads!$K$1:$K$13458)/K76,"-")</f>
        <v>2.3490469416785205</v>
      </c>
      <c r="M76" s="21" cm="1">
        <f t="array" ref="M76">IFERROR(SUMPRODUCT(--(Loads!$A$1:$A$13458=Monthly!I76&amp;$I$45),Loads!$N$1:$N$13458,Loads!$K$1:$K$13458)/K76,"-")</f>
        <v>0.08</v>
      </c>
      <c r="N76" s="45"/>
      <c r="O76" s="72">
        <f>IFERROR(IF(O75=$X$6,"-",O75+1),"-")</f>
        <v>44285</v>
      </c>
      <c r="P76" s="23">
        <f>IF(O76="-","-",COUNTIF(Loads!$A$1:$A$13458,Monthly!O76&amp;Monthly!$O$45))</f>
        <v>0</v>
      </c>
      <c r="Q76" s="23" t="str">
        <f>IF(O76="-","-",IF(SUMIF(Loads!$A$1:$A$13458,Monthly!O76&amp;Monthly!$O$45,Loads!$K:$K)=0,"-",SUMIF(Loads!$A$1:$A$13458,Monthly!O76&amp;Monthly!$O$45,Loads!$K:$K)))</f>
        <v>-</v>
      </c>
      <c r="R76" s="24" t="str" cm="1">
        <f t="array" ref="R76">IFERROR(SUMPRODUCT(--(Loads!$A$1:$A$13458=Monthly!O76&amp;$O$45),Loads!$M$1:$M$13458,Loads!$K$1:$K$13458)/Q76,"-")</f>
        <v>-</v>
      </c>
      <c r="S76" s="24" t="str" cm="1">
        <f t="array" ref="S76">IFERROR(SUMPRODUCT(--(Loads!$A$1:$A$13458=Monthly!O76&amp;$O$45),Loads!$O$1:$O$13458,Loads!$K$1:$K$13458)/Q76,"-")</f>
        <v>-</v>
      </c>
      <c r="T76" s="45"/>
      <c r="U76" s="73">
        <f>IFERROR(IF(U75=$X$6,"-",U75+1),"-")</f>
        <v>44285</v>
      </c>
      <c r="V76" s="59">
        <f>IF(U76="-","-",COUNTIF(Loads!$A$1:$A$13458,Monthly!U76&amp;Monthly!$U$45))</f>
        <v>0</v>
      </c>
      <c r="W76" s="59" t="str">
        <f>IF(U76="-","-",IF(SUMIF(Loads!$A$1:$A$13458,Monthly!U76&amp;Monthly!$U$45,Loads!$K:$K)=0,"-",SUMIF(Loads!$A$1:$A$13458,Monthly!U76&amp;Monthly!$U$45,Loads!$K:$K)))</f>
        <v>-</v>
      </c>
      <c r="X76" s="60" t="str" cm="1">
        <f t="array" ref="X76">IFERROR(SUMPRODUCT(--(Loads!$A$1:$A$13458=Monthly!U76&amp;$U$45),Loads!$L$1:$L$13458,Loads!$K$1:$K$13458)/W76,"-")</f>
        <v>-</v>
      </c>
      <c r="Y76" s="60" t="str" cm="1">
        <f t="array" ref="Y76">IFERROR(SUMPRODUCT(--(Loads!$A$1:$A$13458=Monthly!U76&amp;$U$45),Loads!$M$1:$M$13458,Loads!$K$1:$K$13458)/W76,"-")</f>
        <v>-</v>
      </c>
      <c r="Z76" s="79"/>
    </row>
    <row r="77" spans="2:26" ht="12.5" thickBot="1" x14ac:dyDescent="0.4">
      <c r="B77" s="44"/>
      <c r="C77" s="70">
        <f>IFERROR(IF(C76=$X$6,"-",C76+1),"-")</f>
        <v>44286</v>
      </c>
      <c r="D77" s="54">
        <f>IF(C77="-","-",COUNTIF(Loads!$A$1:$A$13458,Monthly!C77&amp;Monthly!$C$45))</f>
        <v>0</v>
      </c>
      <c r="E77" s="54" t="str">
        <f>IF(C77="-","-",IF(SUMIF(Loads!$A$1:$A$13458,Monthly!C77&amp;Monthly!$C$45,Loads!$K:$K)=0,"-",SUMIF(Loads!$A$1:$A$13458,Monthly!C77&amp;Monthly!$C$45,Loads!$K:$K)))</f>
        <v>-</v>
      </c>
      <c r="F77" s="55" t="str" cm="1">
        <f t="array" ref="F77">IFERROR(SUMPRODUCT(--(Loads!$A$1:$A$13458=Monthly!C77&amp;$C$45),Loads!$L$1:$L$13458,Loads!$K$1:$K$13458)/E77,"-")</f>
        <v>-</v>
      </c>
      <c r="G77" s="55" t="str" cm="1">
        <f t="array" ref="G77">IFERROR(SUMPRODUCT(--(Loads!$A$1:$A$13458=Monthly!C77&amp;$C$45),Loads!$M$1:$M$13458,Loads!$K$1:$K$13458)/E77,"-")</f>
        <v>-</v>
      </c>
      <c r="H77" s="45"/>
      <c r="I77" s="71">
        <f>IFERROR(IF(I76=$X$6,"-",I76+1),"-")</f>
        <v>44286</v>
      </c>
      <c r="J77" s="20">
        <f>IF(I77="-","-",COUNTIF(Loads!$A$1:$A$13458,Monthly!I77&amp;Monthly!$I$45))</f>
        <v>0</v>
      </c>
      <c r="K77" s="20" t="str">
        <f>IF(I77="-","-",IF(SUMIF(Loads!$A$1:$A$13458,Monthly!I77&amp;Monthly!$I$45,Loads!$K:$K)=0,"-",SUMIF(Loads!$A$1:$A$13458,Monthly!I77&amp;Monthly!$I$45,Loads!$K:$K)))</f>
        <v>-</v>
      </c>
      <c r="L77" s="21" t="str" cm="1">
        <f t="array" ref="L77">IFERROR(SUMPRODUCT(--(Loads!$A$1:$A$13458=Monthly!I77&amp;$I$45),Loads!$L$1:$L$13458,Loads!$K$1:$K$13458)/K77,"-")</f>
        <v>-</v>
      </c>
      <c r="M77" s="21" t="str" cm="1">
        <f t="array" ref="M77">IFERROR(SUMPRODUCT(--(Loads!$A$1:$A$13458=Monthly!I77&amp;$I$45),Loads!$N$1:$N$13458,Loads!$K$1:$K$13458)/K77,"-")</f>
        <v>-</v>
      </c>
      <c r="N77" s="45"/>
      <c r="O77" s="72">
        <f>IFERROR(IF(O76=$X$6,"-",O76+1),"-")</f>
        <v>44286</v>
      </c>
      <c r="P77" s="23">
        <f>IF(O77="-","-",COUNTIF(Loads!$A$1:$A$13458,Monthly!O77&amp;Monthly!$O$45))</f>
        <v>0</v>
      </c>
      <c r="Q77" s="23" t="str">
        <f>IF(O77="-","-",IF(SUMIF(Loads!$A$1:$A$13458,Monthly!O77&amp;Monthly!$O$45,Loads!$K:$K)=0,"-",SUMIF(Loads!$A$1:$A$13458,Monthly!O77&amp;Monthly!$O$45,Loads!$K:$K)))</f>
        <v>-</v>
      </c>
      <c r="R77" s="24" t="str" cm="1">
        <f t="array" ref="R77">IFERROR(SUMPRODUCT(--(Loads!$A$1:$A$13458=Monthly!O77&amp;$O$45),Loads!$M$1:$M$13458,Loads!$K$1:$K$13458)/Q77,"-")</f>
        <v>-</v>
      </c>
      <c r="S77" s="24" t="str" cm="1">
        <f t="array" ref="S77">IFERROR(SUMPRODUCT(--(Loads!$A$1:$A$13458=Monthly!O77&amp;$O$45),Loads!$O$1:$O$13458,Loads!$K$1:$K$13458)/Q77,"-")</f>
        <v>-</v>
      </c>
      <c r="T77" s="45"/>
      <c r="U77" s="73">
        <f>IFERROR(IF(U76=$X$6,"-",U76+1),"-")</f>
        <v>44286</v>
      </c>
      <c r="V77" s="59">
        <f>IF(U77="-","-",COUNTIF(Loads!$A$1:$A$13458,Monthly!U77&amp;Monthly!$U$45))</f>
        <v>0</v>
      </c>
      <c r="W77" s="59" t="str">
        <f>IF(U77="-","-",IF(SUMIF(Loads!$A$1:$A$13458,Monthly!U77&amp;Monthly!$U$45,Loads!$K:$K)=0,"-",SUMIF(Loads!$A$1:$A$13458,Monthly!U77&amp;Monthly!$U$45,Loads!$K:$K)))</f>
        <v>-</v>
      </c>
      <c r="X77" s="60" t="str" cm="1">
        <f t="array" ref="X77">IFERROR(SUMPRODUCT(--(Loads!$A$1:$A$13458=Monthly!U77&amp;$U$45),Loads!$L$1:$L$13458,Loads!$K$1:$K$13458)/W77,"-")</f>
        <v>-</v>
      </c>
      <c r="Y77" s="60" t="str" cm="1">
        <f t="array" ref="Y77">IFERROR(SUMPRODUCT(--(Loads!$A$1:$A$13458=Monthly!U77&amp;$U$45),Loads!$M$1:$M$13458,Loads!$K$1:$K$13458)/W77,"-")</f>
        <v>-</v>
      </c>
      <c r="Z77" s="79"/>
    </row>
    <row r="78" spans="2:26" s="8" customFormat="1" ht="13.5" thickBot="1" x14ac:dyDescent="0.4">
      <c r="B78" s="44"/>
      <c r="C78" s="56" t="s">
        <v>3</v>
      </c>
      <c r="D78" s="56">
        <f>IF(SUM(D47:D77)=0,"-",SUM(D47:D77))</f>
        <v>7</v>
      </c>
      <c r="E78" s="56">
        <f>IF(SUM(E47:E77)=0,"-",SUM(E47:E77))</f>
        <v>91640</v>
      </c>
      <c r="F78" s="57">
        <f>IFERROR(SUMPRODUCT(F47:F77,E47:E77)/E78,"-")</f>
        <v>11.932584024443475</v>
      </c>
      <c r="G78" s="63">
        <f>IFERROR(SUMPRODUCT(G47:G77,E47:E77)/E78,"-")</f>
        <v>0</v>
      </c>
      <c r="H78" s="50"/>
      <c r="I78" s="31" t="s">
        <v>3</v>
      </c>
      <c r="J78" s="31">
        <f>IF(SUM(J47:J77)=0,"-",SUM(J47:J77))</f>
        <v>32</v>
      </c>
      <c r="K78" s="31">
        <f>IF(SUM(K47:K77)=0,"-",SUM(K47:K77))</f>
        <v>1103140</v>
      </c>
      <c r="L78" s="32">
        <f>IFERROR(SUMPRODUCT(L47:L77,K47:K77)/K78,"-")</f>
        <v>0.6800270137969795</v>
      </c>
      <c r="M78" s="32">
        <f>IFERROR(SUMPRODUCT(M47:M77,K47:K77)/K78,"-")</f>
        <v>1.5577159744003481</v>
      </c>
      <c r="N78" s="50"/>
      <c r="O78" s="33" t="s">
        <v>3</v>
      </c>
      <c r="P78" s="33">
        <f>IF(SUM(P47:P77)=0,"-",SUM(P47:P77))</f>
        <v>20</v>
      </c>
      <c r="Q78" s="33">
        <f>IF(SUM(Q47:Q77)=0,"-",SUM(Q47:Q77))</f>
        <v>491180</v>
      </c>
      <c r="R78" s="34">
        <f>IFERROR(SUMPRODUCT(R47:R77,Q47:Q77)/Q78,"-")</f>
        <v>22.51008062217517</v>
      </c>
      <c r="S78" s="34">
        <f>IFERROR(SUMPRODUCT(S47:S77,Q47:Q77)/Q78,"-")</f>
        <v>42.881495174884975</v>
      </c>
      <c r="T78" s="50"/>
      <c r="U78" s="61" t="s">
        <v>3</v>
      </c>
      <c r="V78" s="61">
        <f>IF(SUM(V47:V77)=0,"-",SUM(V47:V77))</f>
        <v>29</v>
      </c>
      <c r="W78" s="61">
        <f>IF(SUM(W47:W77)=0,"-",SUM(W47:W77))</f>
        <v>433200</v>
      </c>
      <c r="X78" s="62">
        <f>IFERROR(SUMPRODUCT(X47:X77,W47:W77)/W78,"-")</f>
        <v>11.976905355493999</v>
      </c>
      <c r="Y78" s="62">
        <f>IFERROR(SUMPRODUCT(Y47:Y77,W47:W77)/W78,"-")</f>
        <v>7.1413707294552164</v>
      </c>
      <c r="Z78" s="81"/>
    </row>
    <row r="79" spans="2:26" ht="5.15" customHeight="1" thickBot="1" x14ac:dyDescent="0.4">
      <c r="B79" s="51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82"/>
    </row>
    <row r="80" spans="2:26" hidden="1" x14ac:dyDescent="0.35">
      <c r="E80" s="7" t="s">
        <v>32</v>
      </c>
      <c r="F80" s="7">
        <v>0</v>
      </c>
      <c r="G80" s="7">
        <v>21</v>
      </c>
      <c r="L80" s="7">
        <v>0</v>
      </c>
      <c r="M80" s="7">
        <v>9.5</v>
      </c>
      <c r="R80" s="7">
        <v>0</v>
      </c>
      <c r="S80" s="7">
        <v>9.5</v>
      </c>
      <c r="X80" s="7">
        <v>0</v>
      </c>
      <c r="Y80" s="7">
        <v>60</v>
      </c>
    </row>
    <row r="81" spans="5:25" hidden="1" x14ac:dyDescent="0.35">
      <c r="E81" s="7" t="s">
        <v>33</v>
      </c>
      <c r="F81" s="7">
        <v>12</v>
      </c>
      <c r="G81" s="7">
        <v>100</v>
      </c>
      <c r="L81" s="7">
        <v>60</v>
      </c>
      <c r="M81" s="7">
        <v>100</v>
      </c>
      <c r="R81" s="7">
        <v>60</v>
      </c>
      <c r="S81" s="7">
        <v>100</v>
      </c>
      <c r="X81" s="7">
        <v>12</v>
      </c>
      <c r="Y81" s="7">
        <v>100</v>
      </c>
    </row>
    <row r="82" spans="5:25" ht="5.15" customHeight="1" x14ac:dyDescent="0.35"/>
  </sheetData>
  <protectedRanges>
    <protectedRange sqref="E6" name="Range1"/>
  </protectedRanges>
  <mergeCells count="11">
    <mergeCell ref="C45:G45"/>
    <mergeCell ref="I45:M45"/>
    <mergeCell ref="O45:S45"/>
    <mergeCell ref="U45:Y45"/>
    <mergeCell ref="B8:Z8"/>
    <mergeCell ref="O10:S10"/>
    <mergeCell ref="U10:Y10"/>
    <mergeCell ref="C10:G10"/>
    <mergeCell ref="I10:M10"/>
    <mergeCell ref="E6:F6"/>
    <mergeCell ref="C2:Y4"/>
  </mergeCells>
  <conditionalFormatting sqref="L12:M43">
    <cfRule type="cellIs" dxfId="8" priority="8" operator="greaterThan">
      <formula>L$81</formula>
    </cfRule>
    <cfRule type="cellIs" dxfId="7" priority="9" operator="lessThan">
      <formula>L$80</formula>
    </cfRule>
  </conditionalFormatting>
  <conditionalFormatting sqref="R12:S43">
    <cfRule type="cellIs" dxfId="6" priority="6" operator="greaterThan">
      <formula>R$81</formula>
    </cfRule>
    <cfRule type="cellIs" dxfId="5" priority="7" operator="lessThan">
      <formula>R$80</formula>
    </cfRule>
  </conditionalFormatting>
  <conditionalFormatting sqref="F12:G43">
    <cfRule type="cellIs" dxfId="4" priority="4" operator="greaterThan">
      <formula>F$81</formula>
    </cfRule>
    <cfRule type="cellIs" dxfId="3" priority="5" operator="lessThan">
      <formula>F$80</formula>
    </cfRule>
  </conditionalFormatting>
  <conditionalFormatting sqref="X12:Y43">
    <cfRule type="cellIs" dxfId="2" priority="2" operator="greaterThan">
      <formula>X$81</formula>
    </cfRule>
    <cfRule type="cellIs" dxfId="1" priority="3" operator="lessThan">
      <formula>X$80</formula>
    </cfRule>
  </conditionalFormatting>
  <conditionalFormatting sqref="F12:G43 L12:M43 R12:S43 X12:Y43">
    <cfRule type="cellIs" dxfId="0" priority="1" operator="equal">
      <formula>"-"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B8874-17E7-4049-9C36-65ED6CB3D633}">
  <sheetPr codeName="Sheet1"/>
  <dimension ref="A1:P2352"/>
  <sheetViews>
    <sheetView topLeftCell="D1" zoomScaleNormal="100" workbookViewId="0">
      <selection activeCell="D2" sqref="D2"/>
    </sheetView>
  </sheetViews>
  <sheetFormatPr defaultRowHeight="14.5" x14ac:dyDescent="0.35"/>
  <cols>
    <col min="1" max="1" width="21.7265625" hidden="1" customWidth="1"/>
    <col min="2" max="2" width="10.453125" style="6" hidden="1" customWidth="1"/>
    <col min="3" max="3" width="22.26953125" hidden="1" customWidth="1"/>
    <col min="4" max="4" width="10.54296875" style="90" bestFit="1" customWidth="1"/>
    <col min="5" max="5" width="9.453125" style="143" bestFit="1" customWidth="1"/>
    <col min="6" max="6" width="9.54296875" style="1" bestFit="1" customWidth="1"/>
    <col min="7" max="7" width="16.54296875" style="2" bestFit="1" customWidth="1"/>
    <col min="8" max="8" width="26.7265625" style="2" customWidth="1"/>
    <col min="9" max="9" width="9" style="1" bestFit="1" customWidth="1"/>
    <col min="10" max="10" width="12.26953125" style="1" bestFit="1" customWidth="1"/>
    <col min="11" max="11" width="7.54296875" style="1" bestFit="1" customWidth="1"/>
    <col min="12" max="12" width="10.54296875" style="3" bestFit="1" customWidth="1"/>
    <col min="13" max="13" width="10.453125" style="3" bestFit="1" customWidth="1"/>
    <col min="14" max="15" width="8.54296875" style="4"/>
  </cols>
  <sheetData>
    <row r="1" spans="1:16" x14ac:dyDescent="0.35">
      <c r="A1" s="1" t="s">
        <v>23</v>
      </c>
      <c r="B1" s="5" t="s">
        <v>43</v>
      </c>
      <c r="C1" s="1" t="s">
        <v>1</v>
      </c>
      <c r="D1" s="90" t="s">
        <v>35</v>
      </c>
      <c r="E1" s="143" t="s">
        <v>36</v>
      </c>
      <c r="F1" s="1" t="s">
        <v>37</v>
      </c>
      <c r="G1" s="1" t="s">
        <v>38</v>
      </c>
      <c r="H1" s="1" t="s">
        <v>39</v>
      </c>
      <c r="I1" s="1" t="s">
        <v>40</v>
      </c>
      <c r="J1" s="1" t="s">
        <v>41</v>
      </c>
      <c r="K1" s="1" t="s">
        <v>25</v>
      </c>
      <c r="L1" s="3" t="s">
        <v>26</v>
      </c>
      <c r="M1" s="3" t="s">
        <v>27</v>
      </c>
      <c r="N1" s="3" t="s">
        <v>28</v>
      </c>
      <c r="O1" s="3" t="s">
        <v>29</v>
      </c>
    </row>
    <row r="2" spans="1:16" x14ac:dyDescent="0.35">
      <c r="A2" s="5" t="str">
        <f>Loads[[#This Row],[Date]]&amp;Loads[[#This Row],[Product]]</f>
        <v>44197Product4</v>
      </c>
      <c r="B2" s="5">
        <f>COUNTIF($A$1:A2,Loads[[#This Row],[Load]])</f>
        <v>1</v>
      </c>
      <c r="C2" s="3" t="str">
        <f>Loads[[#This Row],[Load]]&amp;Loads[[#This Row],[Count]]</f>
        <v>44197Product41</v>
      </c>
      <c r="D2" s="90">
        <v>44197</v>
      </c>
      <c r="E2" s="143">
        <v>7.6388888888888895E-2</v>
      </c>
      <c r="F2" s="1" t="s">
        <v>9</v>
      </c>
      <c r="G2" s="2" t="s">
        <v>15</v>
      </c>
      <c r="H2" s="2" t="s">
        <v>42</v>
      </c>
      <c r="I2" s="1" t="s">
        <v>0</v>
      </c>
      <c r="J2" s="1">
        <v>22</v>
      </c>
      <c r="K2" s="89">
        <v>27040</v>
      </c>
      <c r="L2" s="3">
        <v>9.65</v>
      </c>
      <c r="M2" s="3">
        <v>60.1</v>
      </c>
      <c r="N2" s="3" t="s">
        <v>8</v>
      </c>
      <c r="O2" s="3" t="s">
        <v>8</v>
      </c>
      <c r="P2" s="88"/>
    </row>
    <row r="3" spans="1:16" x14ac:dyDescent="0.35">
      <c r="A3" s="5" t="str">
        <f>Loads[[#This Row],[Date]]&amp;Loads[[#This Row],[Product]]</f>
        <v>44197Product4</v>
      </c>
      <c r="B3" s="5">
        <f>COUNTIF($A$1:A3,Loads[[#This Row],[Load]])</f>
        <v>2</v>
      </c>
      <c r="C3" s="3" t="str">
        <f>Loads[[#This Row],[Load]]&amp;Loads[[#This Row],[Count]]</f>
        <v>44197Product42</v>
      </c>
      <c r="D3" s="90">
        <v>44197</v>
      </c>
      <c r="E3" s="143">
        <v>7.7083333333333337E-2</v>
      </c>
      <c r="F3" s="1" t="s">
        <v>9</v>
      </c>
      <c r="G3" s="2" t="s">
        <v>15</v>
      </c>
      <c r="H3" s="2" t="s">
        <v>42</v>
      </c>
      <c r="I3" s="1" t="s">
        <v>0</v>
      </c>
      <c r="J3" s="1">
        <v>20</v>
      </c>
      <c r="K3" s="89">
        <v>25620</v>
      </c>
      <c r="L3" s="3">
        <v>9.41</v>
      </c>
      <c r="M3" s="3">
        <v>60.67</v>
      </c>
      <c r="N3" s="3" t="s">
        <v>8</v>
      </c>
      <c r="O3" s="3" t="s">
        <v>8</v>
      </c>
    </row>
    <row r="4" spans="1:16" x14ac:dyDescent="0.35">
      <c r="A4" s="5" t="str">
        <f>Loads[[#This Row],[Date]]&amp;Loads[[#This Row],[Product]]</f>
        <v>44197Product4</v>
      </c>
      <c r="B4" s="5">
        <f>COUNTIF($A$1:A4,Loads[[#This Row],[Load]])</f>
        <v>3</v>
      </c>
      <c r="C4" s="3" t="str">
        <f>Loads[[#This Row],[Load]]&amp;Loads[[#This Row],[Count]]</f>
        <v>44197Product43</v>
      </c>
      <c r="D4" s="90">
        <v>44197</v>
      </c>
      <c r="E4" s="143">
        <v>7.8472222222222221E-2</v>
      </c>
      <c r="F4" s="1" t="s">
        <v>9</v>
      </c>
      <c r="G4" s="2" t="s">
        <v>15</v>
      </c>
      <c r="H4" s="2" t="s">
        <v>42</v>
      </c>
      <c r="I4" s="1" t="s">
        <v>11</v>
      </c>
      <c r="J4" s="1" t="s">
        <v>8</v>
      </c>
      <c r="K4" s="89">
        <v>36240</v>
      </c>
      <c r="L4" s="3">
        <v>8.94</v>
      </c>
      <c r="M4" s="3">
        <v>61.25</v>
      </c>
      <c r="N4" s="3" t="s">
        <v>8</v>
      </c>
      <c r="O4" s="3" t="s">
        <v>8</v>
      </c>
    </row>
    <row r="5" spans="1:16" x14ac:dyDescent="0.35">
      <c r="A5" s="5" t="str">
        <f>Loads[[#This Row],[Date]]&amp;Loads[[#This Row],[Product]]</f>
        <v>44198Product4</v>
      </c>
      <c r="B5" s="5">
        <f>COUNTIF($A$1:A5,Loads[[#This Row],[Load]])</f>
        <v>1</v>
      </c>
      <c r="C5" s="3" t="str">
        <f>Loads[[#This Row],[Load]]&amp;Loads[[#This Row],[Count]]</f>
        <v>44198Product41</v>
      </c>
      <c r="D5" s="90">
        <v>44198</v>
      </c>
      <c r="E5" s="143">
        <v>4.9305555555555554E-2</v>
      </c>
      <c r="F5" s="1" t="s">
        <v>9</v>
      </c>
      <c r="G5" s="2" t="s">
        <v>15</v>
      </c>
      <c r="H5" s="2" t="s">
        <v>42</v>
      </c>
      <c r="I5" s="1" t="s">
        <v>11</v>
      </c>
      <c r="J5" s="1" t="s">
        <v>8</v>
      </c>
      <c r="K5" s="89">
        <v>29980</v>
      </c>
      <c r="L5" s="3">
        <v>10.36</v>
      </c>
      <c r="M5" s="3">
        <v>61.26</v>
      </c>
      <c r="N5" s="3" t="s">
        <v>8</v>
      </c>
      <c r="O5" s="3" t="s">
        <v>8</v>
      </c>
    </row>
    <row r="6" spans="1:16" x14ac:dyDescent="0.35">
      <c r="A6" s="5" t="str">
        <f>Loads[[#This Row],[Date]]&amp;Loads[[#This Row],[Product]]</f>
        <v>44199Product4</v>
      </c>
      <c r="B6" s="5">
        <f>COUNTIF($A$1:A6,Loads[[#This Row],[Load]])</f>
        <v>1</v>
      </c>
      <c r="C6" s="3" t="str">
        <f>Loads[[#This Row],[Load]]&amp;Loads[[#This Row],[Count]]</f>
        <v>44199Product41</v>
      </c>
      <c r="D6" s="90">
        <v>44199</v>
      </c>
      <c r="E6" s="143">
        <v>9.1666666666666674E-2</v>
      </c>
      <c r="F6" s="1" t="s">
        <v>9</v>
      </c>
      <c r="G6" s="2" t="s">
        <v>15</v>
      </c>
      <c r="H6" s="2" t="s">
        <v>42</v>
      </c>
      <c r="I6" s="1" t="s">
        <v>11</v>
      </c>
      <c r="J6" s="1" t="s">
        <v>8</v>
      </c>
      <c r="K6" s="89">
        <v>12020</v>
      </c>
      <c r="L6" s="3">
        <v>9.0399999999999991</v>
      </c>
      <c r="M6" s="3">
        <v>62.16</v>
      </c>
      <c r="N6" s="3" t="s">
        <v>8</v>
      </c>
      <c r="O6" s="3" t="s">
        <v>8</v>
      </c>
    </row>
    <row r="7" spans="1:16" x14ac:dyDescent="0.35">
      <c r="A7" s="5" t="str">
        <f>Loads[[#This Row],[Date]]&amp;Loads[[#This Row],[Product]]</f>
        <v>44199Product4</v>
      </c>
      <c r="B7" s="5">
        <f>COUNTIF($A$1:A7,Loads[[#This Row],[Load]])</f>
        <v>2</v>
      </c>
      <c r="C7" s="3" t="str">
        <f>Loads[[#This Row],[Load]]&amp;Loads[[#This Row],[Count]]</f>
        <v>44199Product42</v>
      </c>
      <c r="D7" s="90">
        <v>44199</v>
      </c>
      <c r="E7" s="143">
        <v>9.1666666666666674E-2</v>
      </c>
      <c r="F7" s="1" t="s">
        <v>9</v>
      </c>
      <c r="G7" s="2" t="s">
        <v>15</v>
      </c>
      <c r="H7" s="2" t="s">
        <v>42</v>
      </c>
      <c r="I7" s="1" t="s">
        <v>0</v>
      </c>
      <c r="J7" s="1">
        <v>22</v>
      </c>
      <c r="K7" s="89">
        <v>26760</v>
      </c>
      <c r="L7" s="3">
        <v>9.7100000000000009</v>
      </c>
      <c r="M7" s="3">
        <v>62.07</v>
      </c>
      <c r="N7" s="3" t="s">
        <v>8</v>
      </c>
      <c r="O7" s="3" t="s">
        <v>8</v>
      </c>
    </row>
    <row r="8" spans="1:16" x14ac:dyDescent="0.35">
      <c r="A8" s="5" t="str">
        <f>Loads[[#This Row],[Date]]&amp;Loads[[#This Row],[Product]]</f>
        <v>44199Product4</v>
      </c>
      <c r="B8" s="5">
        <f>COUNTIF($A$1:A8,Loads[[#This Row],[Load]])</f>
        <v>3</v>
      </c>
      <c r="C8" s="3" t="str">
        <f>Loads[[#This Row],[Load]]&amp;Loads[[#This Row],[Count]]</f>
        <v>44199Product43</v>
      </c>
      <c r="D8" s="90">
        <v>44199</v>
      </c>
      <c r="E8" s="143">
        <v>9.2361111111111116E-2</v>
      </c>
      <c r="F8" s="1" t="s">
        <v>9</v>
      </c>
      <c r="G8" s="2" t="s">
        <v>15</v>
      </c>
      <c r="H8" s="2" t="s">
        <v>42</v>
      </c>
      <c r="I8" s="1" t="s">
        <v>11</v>
      </c>
      <c r="J8" s="1" t="s">
        <v>8</v>
      </c>
      <c r="K8" s="89">
        <v>26440</v>
      </c>
      <c r="L8" s="3">
        <v>9.07</v>
      </c>
      <c r="M8" s="3">
        <v>62.16</v>
      </c>
      <c r="N8" s="3" t="s">
        <v>8</v>
      </c>
      <c r="O8" s="3" t="s">
        <v>8</v>
      </c>
    </row>
    <row r="9" spans="1:16" x14ac:dyDescent="0.35">
      <c r="A9" s="5" t="str">
        <f>Loads[[#This Row],[Date]]&amp;Loads[[#This Row],[Product]]</f>
        <v>44200Product4</v>
      </c>
      <c r="B9" s="5">
        <f>COUNTIF($A$1:A9,Loads[[#This Row],[Load]])</f>
        <v>1</v>
      </c>
      <c r="C9" s="3" t="str">
        <f>Loads[[#This Row],[Load]]&amp;Loads[[#This Row],[Count]]</f>
        <v>44200Product41</v>
      </c>
      <c r="D9" s="90">
        <v>44200</v>
      </c>
      <c r="E9" s="143">
        <v>0.77638888888888891</v>
      </c>
      <c r="F9" s="1" t="s">
        <v>9</v>
      </c>
      <c r="G9" s="2" t="s">
        <v>15</v>
      </c>
      <c r="H9" s="2" t="s">
        <v>42</v>
      </c>
      <c r="I9" s="1" t="s">
        <v>0</v>
      </c>
      <c r="J9" s="1">
        <v>22</v>
      </c>
      <c r="K9" s="89">
        <v>27200</v>
      </c>
      <c r="L9" s="3">
        <v>8.27</v>
      </c>
      <c r="M9" s="3">
        <v>63.01</v>
      </c>
      <c r="N9" s="3" t="s">
        <v>8</v>
      </c>
      <c r="O9" s="3" t="s">
        <v>8</v>
      </c>
    </row>
    <row r="10" spans="1:16" x14ac:dyDescent="0.35">
      <c r="A10" s="5" t="str">
        <f>Loads[[#This Row],[Date]]&amp;Loads[[#This Row],[Product]]</f>
        <v>44200Product4</v>
      </c>
      <c r="B10" s="5">
        <f>COUNTIF($A$1:A10,Loads[[#This Row],[Load]])</f>
        <v>2</v>
      </c>
      <c r="C10" s="3" t="str">
        <f>Loads[[#This Row],[Load]]&amp;Loads[[#This Row],[Count]]</f>
        <v>44200Product42</v>
      </c>
      <c r="D10" s="90">
        <v>44200</v>
      </c>
      <c r="E10" s="143">
        <v>0.77708333333333324</v>
      </c>
      <c r="F10" s="1" t="s">
        <v>9</v>
      </c>
      <c r="G10" s="2" t="s">
        <v>15</v>
      </c>
      <c r="H10" s="2" t="s">
        <v>42</v>
      </c>
      <c r="I10" s="1" t="s">
        <v>0</v>
      </c>
      <c r="J10" s="1">
        <v>20</v>
      </c>
      <c r="K10" s="89">
        <v>25300</v>
      </c>
      <c r="L10" s="3">
        <v>8.61</v>
      </c>
      <c r="M10" s="3">
        <v>62.84</v>
      </c>
      <c r="N10" s="3" t="s">
        <v>8</v>
      </c>
      <c r="O10" s="3" t="s">
        <v>8</v>
      </c>
    </row>
    <row r="11" spans="1:16" x14ac:dyDescent="0.35">
      <c r="A11" s="5" t="str">
        <f>Loads[[#This Row],[Date]]&amp;Loads[[#This Row],[Product]]</f>
        <v>44200Product4</v>
      </c>
      <c r="B11" s="5">
        <f>COUNTIF($A$1:A11,Loads[[#This Row],[Load]])</f>
        <v>3</v>
      </c>
      <c r="C11" s="3" t="str">
        <f>Loads[[#This Row],[Load]]&amp;Loads[[#This Row],[Count]]</f>
        <v>44200Product43</v>
      </c>
      <c r="D11" s="90">
        <v>44200</v>
      </c>
      <c r="E11" s="143">
        <v>0.78125</v>
      </c>
      <c r="F11" s="1" t="s">
        <v>9</v>
      </c>
      <c r="G11" s="2" t="s">
        <v>15</v>
      </c>
      <c r="H11" s="2" t="s">
        <v>42</v>
      </c>
      <c r="I11" s="1" t="s">
        <v>11</v>
      </c>
      <c r="J11" s="1" t="s">
        <v>8</v>
      </c>
      <c r="K11" s="89">
        <v>12140</v>
      </c>
      <c r="L11" s="3">
        <v>8.81</v>
      </c>
      <c r="M11" s="3">
        <v>62.2</v>
      </c>
      <c r="N11" s="3" t="s">
        <v>8</v>
      </c>
      <c r="O11" s="3" t="s">
        <v>8</v>
      </c>
    </row>
    <row r="12" spans="1:16" x14ac:dyDescent="0.35">
      <c r="A12" s="5" t="str">
        <f>Loads[[#This Row],[Date]]&amp;Loads[[#This Row],[Product]]</f>
        <v>44200Product4</v>
      </c>
      <c r="B12" s="5">
        <f>COUNTIF($A$1:A12,Loads[[#This Row],[Load]])</f>
        <v>4</v>
      </c>
      <c r="C12" s="3" t="str">
        <f>Loads[[#This Row],[Load]]&amp;Loads[[#This Row],[Count]]</f>
        <v>44200Product44</v>
      </c>
      <c r="D12" s="90">
        <v>44200</v>
      </c>
      <c r="E12" s="143">
        <v>0.96805555555555556</v>
      </c>
      <c r="F12" s="1" t="s">
        <v>9</v>
      </c>
      <c r="G12" s="2" t="s">
        <v>15</v>
      </c>
      <c r="H12" s="2" t="s">
        <v>42</v>
      </c>
      <c r="I12" s="1" t="s">
        <v>0</v>
      </c>
      <c r="J12" s="1">
        <v>20</v>
      </c>
      <c r="K12" s="89">
        <v>24020</v>
      </c>
      <c r="L12" s="3">
        <v>8.2100000000000009</v>
      </c>
      <c r="M12" s="3">
        <v>62.66</v>
      </c>
      <c r="N12" s="3" t="s">
        <v>8</v>
      </c>
      <c r="O12" s="3" t="s">
        <v>8</v>
      </c>
    </row>
    <row r="13" spans="1:16" x14ac:dyDescent="0.35">
      <c r="A13" s="5" t="str">
        <f>Loads[[#This Row],[Date]]&amp;Loads[[#This Row],[Product]]</f>
        <v>44200Product4</v>
      </c>
      <c r="B13" s="5">
        <f>COUNTIF($A$1:A13,Loads[[#This Row],[Load]])</f>
        <v>5</v>
      </c>
      <c r="C13" s="3" t="str">
        <f>Loads[[#This Row],[Load]]&amp;Loads[[#This Row],[Count]]</f>
        <v>44200Product45</v>
      </c>
      <c r="D13" s="90">
        <v>44200</v>
      </c>
      <c r="E13" s="143">
        <v>0.96944444444444444</v>
      </c>
      <c r="F13" s="1" t="s">
        <v>9</v>
      </c>
      <c r="G13" s="2" t="s">
        <v>15</v>
      </c>
      <c r="H13" s="2" t="s">
        <v>42</v>
      </c>
      <c r="I13" s="1" t="s">
        <v>0</v>
      </c>
      <c r="J13" s="1">
        <v>22</v>
      </c>
      <c r="K13" s="89">
        <v>26640</v>
      </c>
      <c r="L13" s="3">
        <v>8.2799999999999994</v>
      </c>
      <c r="M13" s="3">
        <v>62.65</v>
      </c>
      <c r="N13" s="3" t="s">
        <v>8</v>
      </c>
      <c r="O13" s="3" t="s">
        <v>8</v>
      </c>
    </row>
    <row r="14" spans="1:16" x14ac:dyDescent="0.35">
      <c r="A14" s="5" t="str">
        <f>Loads[[#This Row],[Date]]&amp;Loads[[#This Row],[Product]]</f>
        <v>44201Product4</v>
      </c>
      <c r="B14" s="5">
        <f>COUNTIF($A$1:A14,Loads[[#This Row],[Load]])</f>
        <v>1</v>
      </c>
      <c r="C14" s="3" t="str">
        <f>Loads[[#This Row],[Load]]&amp;Loads[[#This Row],[Count]]</f>
        <v>44201Product41</v>
      </c>
      <c r="D14" s="90">
        <v>44201</v>
      </c>
      <c r="E14" s="143">
        <v>0.94444444444444453</v>
      </c>
      <c r="F14" s="1" t="s">
        <v>9</v>
      </c>
      <c r="G14" s="2" t="s">
        <v>15</v>
      </c>
      <c r="H14" s="2" t="s">
        <v>42</v>
      </c>
      <c r="I14" s="1" t="s">
        <v>11</v>
      </c>
      <c r="J14" s="1" t="s">
        <v>8</v>
      </c>
      <c r="K14" s="89">
        <v>37320</v>
      </c>
      <c r="L14" s="3">
        <v>9.31</v>
      </c>
      <c r="M14" s="3">
        <v>62.32</v>
      </c>
      <c r="N14" s="3" t="s">
        <v>8</v>
      </c>
      <c r="O14" s="3" t="s">
        <v>8</v>
      </c>
    </row>
    <row r="15" spans="1:16" x14ac:dyDescent="0.35">
      <c r="A15" s="5" t="str">
        <f>Loads[[#This Row],[Date]]&amp;Loads[[#This Row],[Product]]</f>
        <v>44201Product4</v>
      </c>
      <c r="B15" s="5">
        <f>COUNTIF($A$1:A15,Loads[[#This Row],[Load]])</f>
        <v>2</v>
      </c>
      <c r="C15" s="3" t="str">
        <f>Loads[[#This Row],[Load]]&amp;Loads[[#This Row],[Count]]</f>
        <v>44201Product42</v>
      </c>
      <c r="D15" s="90">
        <v>44201</v>
      </c>
      <c r="E15" s="143">
        <v>0.56388888888888888</v>
      </c>
      <c r="F15" s="1" t="s">
        <v>9</v>
      </c>
      <c r="G15" s="2" t="s">
        <v>15</v>
      </c>
      <c r="H15" s="2" t="s">
        <v>42</v>
      </c>
      <c r="I15" s="1" t="s">
        <v>11</v>
      </c>
      <c r="J15" s="1" t="s">
        <v>8</v>
      </c>
      <c r="K15" s="89">
        <v>35840</v>
      </c>
      <c r="L15" s="3">
        <v>9.67</v>
      </c>
      <c r="M15" s="3">
        <v>61.73</v>
      </c>
      <c r="N15" s="3" t="s">
        <v>8</v>
      </c>
      <c r="O15" s="3" t="s">
        <v>8</v>
      </c>
    </row>
    <row r="16" spans="1:16" x14ac:dyDescent="0.35">
      <c r="A16" s="5" t="str">
        <f>Loads[[#This Row],[Date]]&amp;Loads[[#This Row],[Product]]</f>
        <v>44202Product4</v>
      </c>
      <c r="B16" s="5">
        <f>COUNTIF($A$1:A16,Loads[[#This Row],[Load]])</f>
        <v>1</v>
      </c>
      <c r="C16" s="3" t="str">
        <f>Loads[[#This Row],[Load]]&amp;Loads[[#This Row],[Count]]</f>
        <v>44202Product41</v>
      </c>
      <c r="D16" s="90">
        <v>44202</v>
      </c>
      <c r="E16" s="143">
        <v>0.95138888888888884</v>
      </c>
      <c r="F16" s="1" t="s">
        <v>9</v>
      </c>
      <c r="G16" s="2" t="s">
        <v>15</v>
      </c>
      <c r="H16" s="2" t="s">
        <v>42</v>
      </c>
      <c r="I16" s="1" t="s">
        <v>11</v>
      </c>
      <c r="J16" s="1" t="s">
        <v>8</v>
      </c>
      <c r="K16" s="89">
        <v>36840</v>
      </c>
      <c r="L16" s="3">
        <v>9.7899999999999991</v>
      </c>
      <c r="M16" s="3">
        <v>61.65</v>
      </c>
      <c r="N16" s="3" t="s">
        <v>8</v>
      </c>
      <c r="O16" s="3" t="s">
        <v>8</v>
      </c>
    </row>
    <row r="17" spans="1:15" x14ac:dyDescent="0.35">
      <c r="A17" s="5" t="str">
        <f>Loads[[#This Row],[Date]]&amp;Loads[[#This Row],[Product]]</f>
        <v>44202Product4</v>
      </c>
      <c r="B17" s="5">
        <f>COUNTIF($A$1:A17,Loads[[#This Row],[Load]])</f>
        <v>2</v>
      </c>
      <c r="C17" s="3" t="str">
        <f>Loads[[#This Row],[Load]]&amp;Loads[[#This Row],[Count]]</f>
        <v>44202Product42</v>
      </c>
      <c r="D17" s="90">
        <v>44202</v>
      </c>
      <c r="E17" s="143">
        <v>0.90902777777777777</v>
      </c>
      <c r="F17" s="1" t="s">
        <v>9</v>
      </c>
      <c r="G17" s="2" t="s">
        <v>15</v>
      </c>
      <c r="H17" s="2" t="s">
        <v>42</v>
      </c>
      <c r="I17" s="1" t="s">
        <v>11</v>
      </c>
      <c r="J17" s="1" t="s">
        <v>8</v>
      </c>
      <c r="K17" s="89">
        <v>30840</v>
      </c>
      <c r="L17" s="3">
        <v>9.75</v>
      </c>
      <c r="M17" s="3">
        <v>60.65</v>
      </c>
      <c r="N17" s="3" t="s">
        <v>8</v>
      </c>
      <c r="O17" s="3" t="s">
        <v>8</v>
      </c>
    </row>
    <row r="18" spans="1:15" x14ac:dyDescent="0.35">
      <c r="A18" s="5" t="str">
        <f>Loads[[#This Row],[Date]]&amp;Loads[[#This Row],[Product]]</f>
        <v>44202Product4</v>
      </c>
      <c r="B18" s="5">
        <f>COUNTIF($A$1:A18,Loads[[#This Row],[Load]])</f>
        <v>3</v>
      </c>
      <c r="C18" s="3" t="str">
        <f>Loads[[#This Row],[Load]]&amp;Loads[[#This Row],[Count]]</f>
        <v>44202Product43</v>
      </c>
      <c r="D18" s="90">
        <v>44202</v>
      </c>
      <c r="E18" s="143">
        <v>0.91041666666666676</v>
      </c>
      <c r="F18" s="1" t="s">
        <v>9</v>
      </c>
      <c r="G18" s="2" t="s">
        <v>15</v>
      </c>
      <c r="H18" s="2" t="s">
        <v>42</v>
      </c>
      <c r="I18" s="1" t="s">
        <v>0</v>
      </c>
      <c r="J18" s="1">
        <v>22</v>
      </c>
      <c r="K18" s="89">
        <v>26840</v>
      </c>
      <c r="L18" s="3">
        <v>9.8800000000000008</v>
      </c>
      <c r="M18" s="3">
        <v>63.19</v>
      </c>
      <c r="N18" s="3" t="s">
        <v>8</v>
      </c>
      <c r="O18" s="3" t="s">
        <v>8</v>
      </c>
    </row>
    <row r="19" spans="1:15" x14ac:dyDescent="0.35">
      <c r="A19" s="5" t="str">
        <f>Loads[[#This Row],[Date]]&amp;Loads[[#This Row],[Product]]</f>
        <v>44203Product4</v>
      </c>
      <c r="B19" s="5">
        <f>COUNTIF($A$1:A19,Loads[[#This Row],[Load]])</f>
        <v>1</v>
      </c>
      <c r="C19" s="3" t="str">
        <f>Loads[[#This Row],[Load]]&amp;Loads[[#This Row],[Count]]</f>
        <v>44203Product41</v>
      </c>
      <c r="D19" s="90">
        <v>44203</v>
      </c>
      <c r="E19" s="143">
        <v>4.1666666666666664E-2</v>
      </c>
      <c r="F19" s="1" t="s">
        <v>9</v>
      </c>
      <c r="G19" s="2" t="s">
        <v>15</v>
      </c>
      <c r="H19" s="2" t="s">
        <v>42</v>
      </c>
      <c r="I19" s="1" t="s">
        <v>0</v>
      </c>
      <c r="J19" s="1">
        <v>24</v>
      </c>
      <c r="K19" s="89">
        <v>29320</v>
      </c>
      <c r="L19" s="3">
        <v>8.91</v>
      </c>
      <c r="M19" s="3">
        <v>62.24</v>
      </c>
      <c r="N19" s="3" t="s">
        <v>8</v>
      </c>
      <c r="O19" s="3" t="s">
        <v>8</v>
      </c>
    </row>
    <row r="20" spans="1:15" x14ac:dyDescent="0.35">
      <c r="A20" s="5" t="str">
        <f>Loads[[#This Row],[Date]]&amp;Loads[[#This Row],[Product]]</f>
        <v>44203Product4</v>
      </c>
      <c r="B20" s="5">
        <f>COUNTIF($A$1:A20,Loads[[#This Row],[Load]])</f>
        <v>2</v>
      </c>
      <c r="C20" s="3" t="str">
        <f>Loads[[#This Row],[Load]]&amp;Loads[[#This Row],[Count]]</f>
        <v>44203Product42</v>
      </c>
      <c r="D20" s="90">
        <v>44203</v>
      </c>
      <c r="E20" s="143">
        <v>0.81736111111111109</v>
      </c>
      <c r="F20" s="1" t="s">
        <v>9</v>
      </c>
      <c r="G20" s="2" t="s">
        <v>15</v>
      </c>
      <c r="H20" s="2" t="s">
        <v>42</v>
      </c>
      <c r="I20" s="1" t="s">
        <v>11</v>
      </c>
      <c r="J20" s="1" t="s">
        <v>8</v>
      </c>
      <c r="K20" s="89">
        <v>36220</v>
      </c>
      <c r="L20" s="3">
        <v>11.03</v>
      </c>
      <c r="M20" s="3">
        <v>61.03</v>
      </c>
      <c r="N20" s="3" t="s">
        <v>8</v>
      </c>
      <c r="O20" s="3" t="s">
        <v>8</v>
      </c>
    </row>
    <row r="21" spans="1:15" x14ac:dyDescent="0.35">
      <c r="A21" s="5" t="str">
        <f>Loads[[#This Row],[Date]]&amp;Loads[[#This Row],[Product]]</f>
        <v>44204Product4</v>
      </c>
      <c r="B21" s="5">
        <f>COUNTIF($A$1:A21,Loads[[#This Row],[Load]])</f>
        <v>1</v>
      </c>
      <c r="C21" s="3" t="str">
        <f>Loads[[#This Row],[Load]]&amp;Loads[[#This Row],[Count]]</f>
        <v>44204Product41</v>
      </c>
      <c r="D21" s="90">
        <v>44204</v>
      </c>
      <c r="E21" s="143">
        <v>0.93194444444444446</v>
      </c>
      <c r="F21" s="1" t="s">
        <v>9</v>
      </c>
      <c r="G21" s="2" t="s">
        <v>15</v>
      </c>
      <c r="H21" s="2" t="s">
        <v>42</v>
      </c>
      <c r="I21" s="1" t="s">
        <v>0</v>
      </c>
      <c r="J21" s="1">
        <v>22</v>
      </c>
      <c r="K21" s="89">
        <v>26980</v>
      </c>
      <c r="L21" s="3">
        <v>13.67</v>
      </c>
      <c r="M21" s="3">
        <v>59.22</v>
      </c>
      <c r="N21" s="3" t="s">
        <v>8</v>
      </c>
      <c r="O21" s="3" t="s">
        <v>8</v>
      </c>
    </row>
    <row r="22" spans="1:15" x14ac:dyDescent="0.35">
      <c r="A22" s="5" t="str">
        <f>Loads[[#This Row],[Date]]&amp;Loads[[#This Row],[Product]]</f>
        <v>44204Product4</v>
      </c>
      <c r="B22" s="5">
        <f>COUNTIF($A$1:A22,Loads[[#This Row],[Load]])</f>
        <v>2</v>
      </c>
      <c r="C22" s="3" t="str">
        <f>Loads[[#This Row],[Load]]&amp;Loads[[#This Row],[Count]]</f>
        <v>44204Product42</v>
      </c>
      <c r="D22" s="90">
        <v>44204</v>
      </c>
      <c r="E22" s="143">
        <v>5.5555555555555552E-2</v>
      </c>
      <c r="F22" s="1" t="s">
        <v>9</v>
      </c>
      <c r="G22" s="2" t="s">
        <v>15</v>
      </c>
      <c r="H22" s="2" t="s">
        <v>42</v>
      </c>
      <c r="I22" s="1" t="s">
        <v>10</v>
      </c>
      <c r="J22" s="1">
        <v>80</v>
      </c>
      <c r="K22" s="89">
        <v>4060</v>
      </c>
      <c r="L22" s="3">
        <v>9.67</v>
      </c>
      <c r="M22" s="3">
        <v>61.6</v>
      </c>
      <c r="N22" s="3" t="s">
        <v>8</v>
      </c>
      <c r="O22" s="3" t="s">
        <v>8</v>
      </c>
    </row>
    <row r="23" spans="1:15" x14ac:dyDescent="0.35">
      <c r="A23" s="5" t="str">
        <f>Loads[[#This Row],[Date]]&amp;Loads[[#This Row],[Product]]</f>
        <v>44204Product4</v>
      </c>
      <c r="B23" s="5">
        <f>COUNTIF($A$1:A23,Loads[[#This Row],[Load]])</f>
        <v>3</v>
      </c>
      <c r="C23" s="3" t="str">
        <f>Loads[[#This Row],[Load]]&amp;Loads[[#This Row],[Count]]</f>
        <v>44204Product43</v>
      </c>
      <c r="D23" s="90">
        <v>44204</v>
      </c>
      <c r="E23" s="143">
        <v>0.6972222222222223</v>
      </c>
      <c r="F23" s="1" t="s">
        <v>9</v>
      </c>
      <c r="G23" s="2" t="s">
        <v>15</v>
      </c>
      <c r="H23" s="2" t="s">
        <v>42</v>
      </c>
      <c r="I23" s="1" t="s">
        <v>11</v>
      </c>
      <c r="J23" s="1" t="s">
        <v>8</v>
      </c>
      <c r="K23" s="89">
        <v>36240</v>
      </c>
      <c r="L23" s="3">
        <v>9.61</v>
      </c>
      <c r="M23" s="3">
        <v>62.15</v>
      </c>
      <c r="N23" s="3" t="s">
        <v>8</v>
      </c>
      <c r="O23" s="3" t="s">
        <v>8</v>
      </c>
    </row>
    <row r="24" spans="1:15" x14ac:dyDescent="0.35">
      <c r="A24" s="5" t="str">
        <f>Loads[[#This Row],[Date]]&amp;Loads[[#This Row],[Product]]</f>
        <v>44205Product4</v>
      </c>
      <c r="B24" s="5">
        <f>COUNTIF($A$1:A24,Loads[[#This Row],[Load]])</f>
        <v>1</v>
      </c>
      <c r="C24" s="3" t="str">
        <f>Loads[[#This Row],[Load]]&amp;Loads[[#This Row],[Count]]</f>
        <v>44205Product41</v>
      </c>
      <c r="D24" s="90">
        <v>44205</v>
      </c>
      <c r="E24" s="143">
        <v>0.96736111111111101</v>
      </c>
      <c r="F24" s="1" t="s">
        <v>9</v>
      </c>
      <c r="G24" s="2" t="s">
        <v>15</v>
      </c>
      <c r="H24" s="2" t="s">
        <v>42</v>
      </c>
      <c r="I24" s="1" t="s">
        <v>0</v>
      </c>
      <c r="J24" s="1">
        <v>21</v>
      </c>
      <c r="K24" s="89">
        <v>26520</v>
      </c>
      <c r="L24" s="3">
        <v>9.33</v>
      </c>
      <c r="M24" s="3">
        <v>63.41</v>
      </c>
      <c r="N24" s="3" t="s">
        <v>8</v>
      </c>
      <c r="O24" s="3" t="s">
        <v>8</v>
      </c>
    </row>
    <row r="25" spans="1:15" x14ac:dyDescent="0.35">
      <c r="A25" s="5" t="str">
        <f>Loads[[#This Row],[Date]]&amp;Loads[[#This Row],[Product]]</f>
        <v>44205Product4</v>
      </c>
      <c r="B25" s="5">
        <f>COUNTIF($A$1:A25,Loads[[#This Row],[Load]])</f>
        <v>2</v>
      </c>
      <c r="C25" s="3" t="str">
        <f>Loads[[#This Row],[Load]]&amp;Loads[[#This Row],[Count]]</f>
        <v>44205Product42</v>
      </c>
      <c r="D25" s="90">
        <v>44205</v>
      </c>
      <c r="E25" s="143">
        <v>4.1666666666666664E-2</v>
      </c>
      <c r="F25" s="1" t="s">
        <v>9</v>
      </c>
      <c r="G25" s="2" t="s">
        <v>15</v>
      </c>
      <c r="H25" s="2" t="s">
        <v>42</v>
      </c>
      <c r="I25" s="1" t="s">
        <v>11</v>
      </c>
      <c r="J25" s="1" t="s">
        <v>8</v>
      </c>
      <c r="K25" s="89">
        <v>30960</v>
      </c>
      <c r="L25" s="3">
        <v>9.16</v>
      </c>
      <c r="M25" s="3">
        <v>63.95</v>
      </c>
      <c r="N25" s="3" t="s">
        <v>8</v>
      </c>
      <c r="O25" s="3" t="s">
        <v>8</v>
      </c>
    </row>
    <row r="26" spans="1:15" x14ac:dyDescent="0.35">
      <c r="A26" s="5" t="str">
        <f>Loads[[#This Row],[Date]]&amp;Loads[[#This Row],[Product]]</f>
        <v>44205Product4</v>
      </c>
      <c r="B26" s="5">
        <f>COUNTIF($A$1:A26,Loads[[#This Row],[Load]])</f>
        <v>3</v>
      </c>
      <c r="C26" s="3" t="str">
        <f>Loads[[#This Row],[Load]]&amp;Loads[[#This Row],[Count]]</f>
        <v>44205Product43</v>
      </c>
      <c r="D26" s="90">
        <v>44205</v>
      </c>
      <c r="E26" s="143">
        <v>0.73958333333333337</v>
      </c>
      <c r="F26" s="1" t="s">
        <v>9</v>
      </c>
      <c r="G26" s="2" t="s">
        <v>15</v>
      </c>
      <c r="H26" s="2" t="s">
        <v>42</v>
      </c>
      <c r="I26" s="1" t="s">
        <v>0</v>
      </c>
      <c r="J26" s="1">
        <v>22</v>
      </c>
      <c r="K26" s="89">
        <v>27420</v>
      </c>
      <c r="L26" s="3">
        <v>9.23</v>
      </c>
      <c r="M26" s="3">
        <v>63.08</v>
      </c>
      <c r="N26" s="3" t="s">
        <v>8</v>
      </c>
      <c r="O26" s="3" t="s">
        <v>8</v>
      </c>
    </row>
    <row r="27" spans="1:15" x14ac:dyDescent="0.35">
      <c r="A27" s="5" t="str">
        <f>Loads[[#This Row],[Date]]&amp;Loads[[#This Row],[Product]]</f>
        <v>44205Product4</v>
      </c>
      <c r="B27" s="5">
        <f>COUNTIF($A$1:A27,Loads[[#This Row],[Load]])</f>
        <v>4</v>
      </c>
      <c r="C27" s="3" t="str">
        <f>Loads[[#This Row],[Load]]&amp;Loads[[#This Row],[Count]]</f>
        <v>44205Product44</v>
      </c>
      <c r="D27" s="90">
        <v>44205</v>
      </c>
      <c r="E27" s="143">
        <v>0.93819444444444444</v>
      </c>
      <c r="F27" s="1" t="s">
        <v>9</v>
      </c>
      <c r="G27" s="2" t="s">
        <v>15</v>
      </c>
      <c r="H27" s="2" t="s">
        <v>42</v>
      </c>
      <c r="I27" s="1" t="s">
        <v>11</v>
      </c>
      <c r="J27" s="1" t="s">
        <v>8</v>
      </c>
      <c r="K27" s="89">
        <v>29660</v>
      </c>
      <c r="L27" s="3">
        <v>11.59</v>
      </c>
      <c r="M27" s="3">
        <v>61.33</v>
      </c>
      <c r="N27" s="3" t="s">
        <v>8</v>
      </c>
      <c r="O27" s="3" t="s">
        <v>8</v>
      </c>
    </row>
    <row r="28" spans="1:15" x14ac:dyDescent="0.35">
      <c r="A28" s="5" t="str">
        <f>Loads[[#This Row],[Date]]&amp;Loads[[#This Row],[Product]]</f>
        <v>44206Product4</v>
      </c>
      <c r="B28" s="5">
        <f>COUNTIF($A$1:A28,Loads[[#This Row],[Load]])</f>
        <v>1</v>
      </c>
      <c r="C28" s="3" t="str">
        <f>Loads[[#This Row],[Load]]&amp;Loads[[#This Row],[Count]]</f>
        <v>44206Product41</v>
      </c>
      <c r="D28" s="90">
        <v>44206</v>
      </c>
      <c r="E28" s="143">
        <v>0.68680555555555556</v>
      </c>
      <c r="F28" s="1" t="s">
        <v>9</v>
      </c>
      <c r="G28" s="2" t="s">
        <v>15</v>
      </c>
      <c r="H28" s="2" t="s">
        <v>42</v>
      </c>
      <c r="I28" s="1" t="s">
        <v>11</v>
      </c>
      <c r="J28" s="1" t="s">
        <v>8</v>
      </c>
      <c r="K28" s="89">
        <v>30920</v>
      </c>
      <c r="L28" s="3">
        <v>9.61</v>
      </c>
      <c r="M28" s="3">
        <v>61.02</v>
      </c>
      <c r="N28" s="3" t="s">
        <v>8</v>
      </c>
      <c r="O28" s="3" t="s">
        <v>8</v>
      </c>
    </row>
    <row r="29" spans="1:15" x14ac:dyDescent="0.35">
      <c r="A29" s="5" t="str">
        <f>Loads[[#This Row],[Date]]&amp;Loads[[#This Row],[Product]]</f>
        <v>44206Product4</v>
      </c>
      <c r="B29" s="5">
        <f>COUNTIF($A$1:A29,Loads[[#This Row],[Load]])</f>
        <v>2</v>
      </c>
      <c r="C29" s="3" t="str">
        <f>Loads[[#This Row],[Load]]&amp;Loads[[#This Row],[Count]]</f>
        <v>44206Product42</v>
      </c>
      <c r="D29" s="90">
        <v>44206</v>
      </c>
      <c r="E29" s="143">
        <v>0.92847222222222225</v>
      </c>
      <c r="F29" s="1" t="s">
        <v>9</v>
      </c>
      <c r="G29" s="2" t="s">
        <v>15</v>
      </c>
      <c r="H29" s="2" t="s">
        <v>42</v>
      </c>
      <c r="I29" s="1" t="s">
        <v>11</v>
      </c>
      <c r="J29" s="1" t="s">
        <v>8</v>
      </c>
      <c r="K29" s="89">
        <v>38060</v>
      </c>
      <c r="L29" s="3">
        <v>10.68</v>
      </c>
      <c r="M29" s="3">
        <v>61.16</v>
      </c>
      <c r="N29" s="3" t="s">
        <v>8</v>
      </c>
      <c r="O29" s="3" t="s">
        <v>8</v>
      </c>
    </row>
    <row r="30" spans="1:15" x14ac:dyDescent="0.35">
      <c r="A30" s="5" t="str">
        <f>Loads[[#This Row],[Date]]&amp;Loads[[#This Row],[Product]]</f>
        <v>44206Product4</v>
      </c>
      <c r="B30" s="5">
        <f>COUNTIF($A$1:A30,Loads[[#This Row],[Load]])</f>
        <v>3</v>
      </c>
      <c r="C30" s="3" t="str">
        <f>Loads[[#This Row],[Load]]&amp;Loads[[#This Row],[Count]]</f>
        <v>44206Product43</v>
      </c>
      <c r="D30" s="90">
        <v>44206</v>
      </c>
      <c r="E30" s="143">
        <v>4.5138888888888888E-2</v>
      </c>
      <c r="F30" s="1" t="s">
        <v>9</v>
      </c>
      <c r="G30" s="2" t="s">
        <v>15</v>
      </c>
      <c r="H30" s="2" t="s">
        <v>42</v>
      </c>
      <c r="I30" s="1" t="s">
        <v>0</v>
      </c>
      <c r="J30" s="1">
        <v>22</v>
      </c>
      <c r="K30" s="89">
        <v>27640</v>
      </c>
      <c r="L30" s="3">
        <v>10.02</v>
      </c>
      <c r="M30" s="3">
        <v>61.58</v>
      </c>
      <c r="N30" s="3" t="s">
        <v>8</v>
      </c>
      <c r="O30" s="3" t="s">
        <v>8</v>
      </c>
    </row>
    <row r="31" spans="1:15" x14ac:dyDescent="0.35">
      <c r="A31" s="5" t="str">
        <f>Loads[[#This Row],[Date]]&amp;Loads[[#This Row],[Product]]</f>
        <v>44207Product4</v>
      </c>
      <c r="B31" s="5">
        <f>COUNTIF($A$1:A31,Loads[[#This Row],[Load]])</f>
        <v>1</v>
      </c>
      <c r="C31" s="3" t="str">
        <f>Loads[[#This Row],[Load]]&amp;Loads[[#This Row],[Count]]</f>
        <v>44207Product41</v>
      </c>
      <c r="D31" s="90">
        <v>44207</v>
      </c>
      <c r="E31" s="143">
        <v>0.70208333333333339</v>
      </c>
      <c r="F31" s="1" t="s">
        <v>9</v>
      </c>
      <c r="G31" s="2" t="s">
        <v>15</v>
      </c>
      <c r="H31" s="2" t="s">
        <v>42</v>
      </c>
      <c r="I31" s="1" t="s">
        <v>0</v>
      </c>
      <c r="J31" s="1">
        <v>22</v>
      </c>
      <c r="K31" s="89">
        <v>27220</v>
      </c>
      <c r="L31" s="3">
        <v>9.07</v>
      </c>
      <c r="M31" s="3">
        <v>61.58</v>
      </c>
      <c r="N31" s="3" t="s">
        <v>8</v>
      </c>
      <c r="O31" s="3" t="s">
        <v>8</v>
      </c>
    </row>
    <row r="32" spans="1:15" x14ac:dyDescent="0.35">
      <c r="A32" s="5" t="str">
        <f>Loads[[#This Row],[Date]]&amp;Loads[[#This Row],[Product]]</f>
        <v>44207Product4</v>
      </c>
      <c r="B32" s="5">
        <f>COUNTIF($A$1:A32,Loads[[#This Row],[Load]])</f>
        <v>2</v>
      </c>
      <c r="C32" s="3" t="str">
        <f>Loads[[#This Row],[Load]]&amp;Loads[[#This Row],[Count]]</f>
        <v>44207Product42</v>
      </c>
      <c r="D32" s="90">
        <v>44207</v>
      </c>
      <c r="E32" s="143">
        <v>0.70208333333333339</v>
      </c>
      <c r="F32" s="1" t="s">
        <v>9</v>
      </c>
      <c r="G32" s="2" t="s">
        <v>15</v>
      </c>
      <c r="H32" s="2" t="s">
        <v>42</v>
      </c>
      <c r="I32" s="1" t="s">
        <v>11</v>
      </c>
      <c r="J32" s="1" t="s">
        <v>8</v>
      </c>
      <c r="K32" s="89">
        <v>27940</v>
      </c>
      <c r="L32" s="3">
        <v>10.1</v>
      </c>
      <c r="M32" s="3">
        <v>60.91</v>
      </c>
      <c r="N32" s="3" t="s">
        <v>8</v>
      </c>
      <c r="O32" s="3" t="s">
        <v>8</v>
      </c>
    </row>
    <row r="33" spans="1:15" x14ac:dyDescent="0.35">
      <c r="A33" s="5" t="str">
        <f>Loads[[#This Row],[Date]]&amp;Loads[[#This Row],[Product]]</f>
        <v>44208Product4</v>
      </c>
      <c r="B33" s="5">
        <f>COUNTIF($A$1:A33,Loads[[#This Row],[Load]])</f>
        <v>1</v>
      </c>
      <c r="C33" s="3" t="str">
        <f>Loads[[#This Row],[Load]]&amp;Loads[[#This Row],[Count]]</f>
        <v>44208Product41</v>
      </c>
      <c r="D33" s="90">
        <v>44208</v>
      </c>
      <c r="E33" s="143">
        <v>0.92847222222222225</v>
      </c>
      <c r="F33" s="1" t="s">
        <v>9</v>
      </c>
      <c r="G33" s="2" t="s">
        <v>15</v>
      </c>
      <c r="H33" s="2" t="s">
        <v>42</v>
      </c>
      <c r="I33" s="1" t="s">
        <v>0</v>
      </c>
      <c r="J33" s="1">
        <v>22</v>
      </c>
      <c r="K33" s="89">
        <v>26420</v>
      </c>
      <c r="L33" s="3">
        <v>13.24</v>
      </c>
      <c r="M33" s="3">
        <v>57.35</v>
      </c>
      <c r="N33" s="3" t="s">
        <v>8</v>
      </c>
      <c r="O33" s="3" t="s">
        <v>8</v>
      </c>
    </row>
    <row r="34" spans="1:15" x14ac:dyDescent="0.35">
      <c r="A34" s="5" t="str">
        <f>Loads[[#This Row],[Date]]&amp;Loads[[#This Row],[Product]]</f>
        <v>44208Product4</v>
      </c>
      <c r="B34" s="5">
        <f>COUNTIF($A$1:A34,Loads[[#This Row],[Load]])</f>
        <v>2</v>
      </c>
      <c r="C34" s="3" t="str">
        <f>Loads[[#This Row],[Load]]&amp;Loads[[#This Row],[Count]]</f>
        <v>44208Product42</v>
      </c>
      <c r="D34" s="90">
        <v>44208</v>
      </c>
      <c r="E34" s="143">
        <v>0.9291666666666667</v>
      </c>
      <c r="F34" s="1" t="s">
        <v>9</v>
      </c>
      <c r="G34" s="2" t="s">
        <v>15</v>
      </c>
      <c r="H34" s="2" t="s">
        <v>42</v>
      </c>
      <c r="I34" s="1" t="s">
        <v>11</v>
      </c>
      <c r="J34" s="1" t="s">
        <v>8</v>
      </c>
      <c r="K34" s="89">
        <v>37340</v>
      </c>
      <c r="L34" s="3">
        <v>8.2899999999999991</v>
      </c>
      <c r="M34" s="3">
        <v>62.17</v>
      </c>
      <c r="N34" s="3" t="s">
        <v>8</v>
      </c>
      <c r="O34" s="3" t="s">
        <v>8</v>
      </c>
    </row>
    <row r="35" spans="1:15" x14ac:dyDescent="0.35">
      <c r="A35" s="5" t="str">
        <f>Loads[[#This Row],[Date]]&amp;Loads[[#This Row],[Product]]</f>
        <v>44209Product4</v>
      </c>
      <c r="B35" s="5">
        <f>COUNTIF($A$1:A35,Loads[[#This Row],[Load]])</f>
        <v>1</v>
      </c>
      <c r="C35" s="3" t="str">
        <f>Loads[[#This Row],[Load]]&amp;Loads[[#This Row],[Count]]</f>
        <v>44209Product41</v>
      </c>
      <c r="D35" s="90">
        <v>44209</v>
      </c>
      <c r="E35" s="143">
        <v>0.54861111111111105</v>
      </c>
      <c r="F35" s="1" t="s">
        <v>9</v>
      </c>
      <c r="G35" s="2" t="s">
        <v>15</v>
      </c>
      <c r="H35" s="2" t="s">
        <v>42</v>
      </c>
      <c r="I35" s="1" t="s">
        <v>11</v>
      </c>
      <c r="J35" s="1" t="s">
        <v>8</v>
      </c>
      <c r="K35" s="89">
        <v>30720</v>
      </c>
      <c r="L35" s="3">
        <v>11.14</v>
      </c>
      <c r="M35" s="3">
        <v>61.37</v>
      </c>
      <c r="N35" s="3" t="s">
        <v>8</v>
      </c>
      <c r="O35" s="3" t="s">
        <v>8</v>
      </c>
    </row>
    <row r="36" spans="1:15" x14ac:dyDescent="0.35">
      <c r="A36" s="5" t="str">
        <f>Loads[[#This Row],[Date]]&amp;Loads[[#This Row],[Product]]</f>
        <v>44210Product4</v>
      </c>
      <c r="B36" s="5">
        <f>COUNTIF($A$1:A36,Loads[[#This Row],[Load]])</f>
        <v>1</v>
      </c>
      <c r="C36" s="3" t="str">
        <f>Loads[[#This Row],[Load]]&amp;Loads[[#This Row],[Count]]</f>
        <v>44210Product41</v>
      </c>
      <c r="D36" s="90">
        <v>44210</v>
      </c>
      <c r="E36" s="143">
        <v>0.79305555555555562</v>
      </c>
      <c r="F36" s="1" t="s">
        <v>9</v>
      </c>
      <c r="G36" s="2" t="s">
        <v>15</v>
      </c>
      <c r="H36" s="2" t="s">
        <v>42</v>
      </c>
      <c r="I36" s="1" t="s">
        <v>11</v>
      </c>
      <c r="J36" s="1" t="s">
        <v>8</v>
      </c>
      <c r="K36" s="89">
        <v>36840</v>
      </c>
      <c r="L36" s="3">
        <v>10.4</v>
      </c>
      <c r="M36" s="3">
        <v>60.86</v>
      </c>
      <c r="N36" s="3" t="s">
        <v>8</v>
      </c>
      <c r="O36" s="3" t="s">
        <v>8</v>
      </c>
    </row>
    <row r="37" spans="1:15" x14ac:dyDescent="0.35">
      <c r="A37" s="5" t="str">
        <f>Loads[[#This Row],[Date]]&amp;Loads[[#This Row],[Product]]</f>
        <v>44210Product4</v>
      </c>
      <c r="B37" s="5">
        <f>COUNTIF($A$1:A37,Loads[[#This Row],[Load]])</f>
        <v>2</v>
      </c>
      <c r="C37" s="3" t="str">
        <f>Loads[[#This Row],[Load]]&amp;Loads[[#This Row],[Count]]</f>
        <v>44210Product42</v>
      </c>
      <c r="D37" s="90">
        <v>44210</v>
      </c>
      <c r="E37" s="143">
        <v>0.79305555555555562</v>
      </c>
      <c r="F37" s="1" t="s">
        <v>9</v>
      </c>
      <c r="G37" s="2" t="s">
        <v>15</v>
      </c>
      <c r="H37" s="2" t="s">
        <v>42</v>
      </c>
      <c r="I37" s="1" t="s">
        <v>11</v>
      </c>
      <c r="J37" s="1" t="s">
        <v>8</v>
      </c>
      <c r="K37" s="89">
        <v>37120</v>
      </c>
      <c r="L37" s="3">
        <v>11.37</v>
      </c>
      <c r="M37" s="3">
        <v>60.2</v>
      </c>
      <c r="N37" s="3" t="s">
        <v>8</v>
      </c>
      <c r="O37" s="3" t="s">
        <v>8</v>
      </c>
    </row>
    <row r="38" spans="1:15" x14ac:dyDescent="0.35">
      <c r="A38" s="5" t="str">
        <f>Loads[[#This Row],[Date]]&amp;Loads[[#This Row],[Product]]</f>
        <v>44210Product4</v>
      </c>
      <c r="B38" s="5">
        <f>COUNTIF($A$1:A38,Loads[[#This Row],[Load]])</f>
        <v>3</v>
      </c>
      <c r="C38" s="3" t="str">
        <f>Loads[[#This Row],[Load]]&amp;Loads[[#This Row],[Count]]</f>
        <v>44210Product43</v>
      </c>
      <c r="D38" s="90">
        <v>44210</v>
      </c>
      <c r="E38" s="143">
        <v>9.4444444444444442E-2</v>
      </c>
      <c r="F38" s="1" t="s">
        <v>9</v>
      </c>
      <c r="G38" s="2" t="s">
        <v>15</v>
      </c>
      <c r="H38" s="2" t="s">
        <v>42</v>
      </c>
      <c r="I38" s="1" t="s">
        <v>11</v>
      </c>
      <c r="J38" s="1" t="s">
        <v>8</v>
      </c>
      <c r="K38" s="89">
        <v>26700</v>
      </c>
      <c r="L38" s="3">
        <v>10.42</v>
      </c>
      <c r="M38" s="3">
        <v>61.48</v>
      </c>
      <c r="N38" s="3" t="s">
        <v>8</v>
      </c>
      <c r="O38" s="3" t="s">
        <v>8</v>
      </c>
    </row>
    <row r="39" spans="1:15" x14ac:dyDescent="0.35">
      <c r="A39" s="5" t="str">
        <f>Loads[[#This Row],[Date]]&amp;Loads[[#This Row],[Product]]</f>
        <v>44211Product4</v>
      </c>
      <c r="B39" s="5">
        <f>COUNTIF($A$1:A39,Loads[[#This Row],[Load]])</f>
        <v>1</v>
      </c>
      <c r="C39" s="3" t="str">
        <f>Loads[[#This Row],[Load]]&amp;Loads[[#This Row],[Count]]</f>
        <v>44211Product41</v>
      </c>
      <c r="D39" s="90">
        <v>44211</v>
      </c>
      <c r="E39" s="143">
        <v>0.48958333333333331</v>
      </c>
      <c r="F39" s="1" t="s">
        <v>9</v>
      </c>
      <c r="G39" s="2" t="s">
        <v>15</v>
      </c>
      <c r="H39" s="2" t="s">
        <v>42</v>
      </c>
      <c r="I39" s="1" t="s">
        <v>0</v>
      </c>
      <c r="J39" s="1">
        <v>24</v>
      </c>
      <c r="K39" s="89">
        <v>27660</v>
      </c>
      <c r="L39" s="3">
        <v>9.27</v>
      </c>
      <c r="M39" s="3">
        <v>62.17</v>
      </c>
      <c r="N39" s="3" t="s">
        <v>8</v>
      </c>
      <c r="O39" s="3" t="s">
        <v>8</v>
      </c>
    </row>
    <row r="40" spans="1:15" x14ac:dyDescent="0.35">
      <c r="A40" s="5" t="str">
        <f>Loads[[#This Row],[Date]]&amp;Loads[[#This Row],[Product]]</f>
        <v>44211Product4</v>
      </c>
      <c r="B40" s="5">
        <f>COUNTIF($A$1:A40,Loads[[#This Row],[Load]])</f>
        <v>2</v>
      </c>
      <c r="C40" s="3" t="str">
        <f>Loads[[#This Row],[Load]]&amp;Loads[[#This Row],[Count]]</f>
        <v>44211Product42</v>
      </c>
      <c r="D40" s="90">
        <v>44211</v>
      </c>
      <c r="E40" s="143">
        <v>0.96597222222222223</v>
      </c>
      <c r="F40" s="1" t="s">
        <v>9</v>
      </c>
      <c r="G40" s="2" t="s">
        <v>15</v>
      </c>
      <c r="H40" s="2" t="s">
        <v>42</v>
      </c>
      <c r="I40" s="1" t="s">
        <v>0</v>
      </c>
      <c r="J40" s="1">
        <v>22</v>
      </c>
      <c r="K40" s="89">
        <v>26680</v>
      </c>
      <c r="L40" s="3">
        <v>9.35</v>
      </c>
      <c r="M40" s="3">
        <v>62.57</v>
      </c>
      <c r="N40" s="3" t="s">
        <v>8</v>
      </c>
      <c r="O40" s="3" t="s">
        <v>8</v>
      </c>
    </row>
    <row r="41" spans="1:15" x14ac:dyDescent="0.35">
      <c r="A41" s="5" t="str">
        <f>Loads[[#This Row],[Date]]&amp;Loads[[#This Row],[Product]]</f>
        <v>44211Product4</v>
      </c>
      <c r="B41" s="5">
        <f>COUNTIF($A$1:A41,Loads[[#This Row],[Load]])</f>
        <v>3</v>
      </c>
      <c r="C41" s="3" t="str">
        <f>Loads[[#This Row],[Load]]&amp;Loads[[#This Row],[Count]]</f>
        <v>44211Product43</v>
      </c>
      <c r="D41" s="90">
        <v>44211</v>
      </c>
      <c r="E41" s="143">
        <v>7.2222222222222229E-2</v>
      </c>
      <c r="F41" s="1" t="s">
        <v>9</v>
      </c>
      <c r="G41" s="2" t="s">
        <v>15</v>
      </c>
      <c r="H41" s="2" t="s">
        <v>42</v>
      </c>
      <c r="I41" s="1" t="s">
        <v>11</v>
      </c>
      <c r="J41" s="1" t="s">
        <v>8</v>
      </c>
      <c r="K41" s="89">
        <v>36080</v>
      </c>
      <c r="L41" s="3">
        <v>9.66</v>
      </c>
      <c r="M41" s="3">
        <v>62.1</v>
      </c>
      <c r="N41" s="3" t="s">
        <v>8</v>
      </c>
      <c r="O41" s="3" t="s">
        <v>8</v>
      </c>
    </row>
    <row r="42" spans="1:15" x14ac:dyDescent="0.35">
      <c r="A42" s="5" t="str">
        <f>Loads[[#This Row],[Date]]&amp;Loads[[#This Row],[Product]]</f>
        <v>44212Product4</v>
      </c>
      <c r="B42" s="5">
        <f>COUNTIF($A$1:A42,Loads[[#This Row],[Load]])</f>
        <v>1</v>
      </c>
      <c r="C42" s="3" t="str">
        <f>Loads[[#This Row],[Load]]&amp;Loads[[#This Row],[Count]]</f>
        <v>44212Product41</v>
      </c>
      <c r="D42" s="90">
        <v>44212</v>
      </c>
      <c r="E42" s="143">
        <v>6.3194444444444442E-2</v>
      </c>
      <c r="F42" s="1" t="s">
        <v>9</v>
      </c>
      <c r="G42" s="2" t="s">
        <v>15</v>
      </c>
      <c r="H42" s="2" t="s">
        <v>42</v>
      </c>
      <c r="I42" s="1" t="s">
        <v>11</v>
      </c>
      <c r="J42" s="1" t="s">
        <v>8</v>
      </c>
      <c r="K42" s="89">
        <v>35420</v>
      </c>
      <c r="L42" s="3">
        <v>9.65</v>
      </c>
      <c r="M42" s="3">
        <v>62.55</v>
      </c>
      <c r="N42" s="3" t="s">
        <v>8</v>
      </c>
      <c r="O42" s="3" t="s">
        <v>8</v>
      </c>
    </row>
    <row r="43" spans="1:15" x14ac:dyDescent="0.35">
      <c r="A43" s="5" t="str">
        <f>Loads[[#This Row],[Date]]&amp;Loads[[#This Row],[Product]]</f>
        <v>44213Product4</v>
      </c>
      <c r="B43" s="5">
        <f>COUNTIF($A$1:A43,Loads[[#This Row],[Load]])</f>
        <v>1</v>
      </c>
      <c r="C43" s="3" t="str">
        <f>Loads[[#This Row],[Load]]&amp;Loads[[#This Row],[Count]]</f>
        <v>44213Product41</v>
      </c>
      <c r="D43" s="90">
        <v>44213</v>
      </c>
      <c r="E43" s="143">
        <v>0.27777777777777779</v>
      </c>
      <c r="F43" s="1" t="s">
        <v>9</v>
      </c>
      <c r="G43" s="2" t="s">
        <v>15</v>
      </c>
      <c r="H43" s="2" t="s">
        <v>42</v>
      </c>
      <c r="I43" s="1" t="s">
        <v>0</v>
      </c>
      <c r="J43" s="1">
        <v>22</v>
      </c>
      <c r="K43" s="89">
        <v>26740</v>
      </c>
      <c r="L43" s="3">
        <v>9.23</v>
      </c>
      <c r="M43" s="3">
        <v>63.19</v>
      </c>
      <c r="N43" s="3" t="s">
        <v>8</v>
      </c>
      <c r="O43" s="3" t="s">
        <v>8</v>
      </c>
    </row>
    <row r="44" spans="1:15" x14ac:dyDescent="0.35">
      <c r="A44" s="5" t="str">
        <f>Loads[[#This Row],[Date]]&amp;Loads[[#This Row],[Product]]</f>
        <v>44213Product4</v>
      </c>
      <c r="B44" s="5">
        <f>COUNTIF($A$1:A44,Loads[[#This Row],[Load]])</f>
        <v>2</v>
      </c>
      <c r="C44" s="3" t="str">
        <f>Loads[[#This Row],[Load]]&amp;Loads[[#This Row],[Count]]</f>
        <v>44213Product42</v>
      </c>
      <c r="D44" s="90">
        <v>44213</v>
      </c>
      <c r="E44" s="143">
        <v>0.94305555555555554</v>
      </c>
      <c r="F44" s="1" t="s">
        <v>9</v>
      </c>
      <c r="G44" s="2" t="s">
        <v>15</v>
      </c>
      <c r="H44" s="2" t="s">
        <v>42</v>
      </c>
      <c r="I44" s="1" t="s">
        <v>11</v>
      </c>
      <c r="J44" s="1" t="s">
        <v>8</v>
      </c>
      <c r="K44" s="89">
        <v>30260</v>
      </c>
      <c r="L44" s="3">
        <v>10.26</v>
      </c>
      <c r="M44" s="3">
        <v>62.78</v>
      </c>
      <c r="N44" s="3" t="s">
        <v>8</v>
      </c>
      <c r="O44" s="3" t="s">
        <v>8</v>
      </c>
    </row>
    <row r="45" spans="1:15" x14ac:dyDescent="0.35">
      <c r="A45" s="5" t="str">
        <f>Loads[[#This Row],[Date]]&amp;Loads[[#This Row],[Product]]</f>
        <v>44213Product4</v>
      </c>
      <c r="B45" s="5">
        <f>COUNTIF($A$1:A45,Loads[[#This Row],[Load]])</f>
        <v>3</v>
      </c>
      <c r="C45" s="3" t="str">
        <f>Loads[[#This Row],[Load]]&amp;Loads[[#This Row],[Count]]</f>
        <v>44213Product43</v>
      </c>
      <c r="D45" s="90">
        <v>44213</v>
      </c>
      <c r="E45" s="143">
        <v>0.94444444444444453</v>
      </c>
      <c r="F45" s="1" t="s">
        <v>9</v>
      </c>
      <c r="G45" s="2" t="s">
        <v>15</v>
      </c>
      <c r="H45" s="2" t="s">
        <v>42</v>
      </c>
      <c r="I45" s="1" t="s">
        <v>0</v>
      </c>
      <c r="J45" s="1">
        <v>22</v>
      </c>
      <c r="K45" s="89">
        <v>26860</v>
      </c>
      <c r="L45" s="3">
        <v>11.59</v>
      </c>
      <c r="M45" s="3">
        <v>61.5</v>
      </c>
      <c r="N45" s="3" t="s">
        <v>8</v>
      </c>
      <c r="O45" s="3" t="s">
        <v>8</v>
      </c>
    </row>
    <row r="46" spans="1:15" x14ac:dyDescent="0.35">
      <c r="A46" s="5" t="str">
        <f>Loads[[#This Row],[Date]]&amp;Loads[[#This Row],[Product]]</f>
        <v>44214Product4</v>
      </c>
      <c r="B46" s="5">
        <f>COUNTIF($A$1:A46,Loads[[#This Row],[Load]])</f>
        <v>1</v>
      </c>
      <c r="C46" s="3" t="str">
        <f>Loads[[#This Row],[Load]]&amp;Loads[[#This Row],[Count]]</f>
        <v>44214Product41</v>
      </c>
      <c r="D46" s="90">
        <v>44214</v>
      </c>
      <c r="E46" s="143">
        <v>0.26111111111111113</v>
      </c>
      <c r="F46" s="1" t="s">
        <v>9</v>
      </c>
      <c r="G46" s="2" t="s">
        <v>15</v>
      </c>
      <c r="H46" s="2" t="s">
        <v>42</v>
      </c>
      <c r="I46" s="1" t="s">
        <v>0</v>
      </c>
      <c r="J46" s="1">
        <v>22</v>
      </c>
      <c r="K46" s="89">
        <v>26460</v>
      </c>
      <c r="L46" s="3">
        <v>10.69</v>
      </c>
      <c r="M46" s="3">
        <v>62.38</v>
      </c>
      <c r="N46" s="3" t="s">
        <v>8</v>
      </c>
      <c r="O46" s="3" t="s">
        <v>8</v>
      </c>
    </row>
    <row r="47" spans="1:15" x14ac:dyDescent="0.35">
      <c r="A47" s="5" t="str">
        <f>Loads[[#This Row],[Date]]&amp;Loads[[#This Row],[Product]]</f>
        <v>44214Product4</v>
      </c>
      <c r="B47" s="5">
        <f>COUNTIF($A$1:A47,Loads[[#This Row],[Load]])</f>
        <v>2</v>
      </c>
      <c r="C47" s="3" t="str">
        <f>Loads[[#This Row],[Load]]&amp;Loads[[#This Row],[Count]]</f>
        <v>44214Product42</v>
      </c>
      <c r="D47" s="90">
        <v>44214</v>
      </c>
      <c r="E47" s="143">
        <v>0.30555555555555552</v>
      </c>
      <c r="F47" s="1" t="s">
        <v>9</v>
      </c>
      <c r="G47" s="2" t="s">
        <v>15</v>
      </c>
      <c r="H47" s="2" t="s">
        <v>42</v>
      </c>
      <c r="I47" s="1" t="s">
        <v>11</v>
      </c>
      <c r="J47" s="1" t="s">
        <v>8</v>
      </c>
      <c r="K47" s="89">
        <v>30120</v>
      </c>
      <c r="L47" s="3">
        <v>10.52</v>
      </c>
      <c r="M47" s="3">
        <v>62.09</v>
      </c>
      <c r="N47" s="3" t="s">
        <v>8</v>
      </c>
      <c r="O47" s="3" t="s">
        <v>8</v>
      </c>
    </row>
    <row r="48" spans="1:15" x14ac:dyDescent="0.35">
      <c r="A48" s="5" t="str">
        <f>Loads[[#This Row],[Date]]&amp;Loads[[#This Row],[Product]]</f>
        <v>44215Product4</v>
      </c>
      <c r="B48" s="5">
        <f>COUNTIF($A$1:A48,Loads[[#This Row],[Load]])</f>
        <v>1</v>
      </c>
      <c r="C48" s="3" t="str">
        <f>Loads[[#This Row],[Load]]&amp;Loads[[#This Row],[Count]]</f>
        <v>44215Product41</v>
      </c>
      <c r="D48" s="90">
        <v>44215</v>
      </c>
      <c r="E48" s="143">
        <v>0.29236111111111113</v>
      </c>
      <c r="F48" s="1" t="s">
        <v>9</v>
      </c>
      <c r="G48" s="2" t="s">
        <v>15</v>
      </c>
      <c r="H48" s="2" t="s">
        <v>42</v>
      </c>
      <c r="I48" s="1" t="s">
        <v>11</v>
      </c>
      <c r="J48" s="1" t="s">
        <v>8</v>
      </c>
      <c r="K48" s="89">
        <v>30780</v>
      </c>
      <c r="L48" s="3">
        <v>9.6199999999999992</v>
      </c>
      <c r="M48" s="3">
        <v>61.07</v>
      </c>
      <c r="N48" s="3" t="s">
        <v>8</v>
      </c>
      <c r="O48" s="3" t="s">
        <v>8</v>
      </c>
    </row>
    <row r="49" spans="1:15" x14ac:dyDescent="0.35">
      <c r="A49" s="5" t="str">
        <f>Loads[[#This Row],[Date]]&amp;Loads[[#This Row],[Product]]</f>
        <v>44215Product4</v>
      </c>
      <c r="B49" s="5">
        <f>COUNTIF($A$1:A49,Loads[[#This Row],[Load]])</f>
        <v>2</v>
      </c>
      <c r="C49" s="3" t="str">
        <f>Loads[[#This Row],[Load]]&amp;Loads[[#This Row],[Count]]</f>
        <v>44215Product42</v>
      </c>
      <c r="D49" s="90">
        <v>44215</v>
      </c>
      <c r="E49" s="143">
        <v>0.3125</v>
      </c>
      <c r="F49" s="1" t="s">
        <v>9</v>
      </c>
      <c r="G49" s="2" t="s">
        <v>15</v>
      </c>
      <c r="H49" s="2" t="s">
        <v>42</v>
      </c>
      <c r="I49" s="1" t="s">
        <v>0</v>
      </c>
      <c r="J49" s="1">
        <v>22</v>
      </c>
      <c r="K49" s="89">
        <v>27420</v>
      </c>
      <c r="L49" s="3">
        <v>9.44</v>
      </c>
      <c r="M49" s="3">
        <v>61.1</v>
      </c>
      <c r="N49" s="3" t="s">
        <v>8</v>
      </c>
      <c r="O49" s="3" t="s">
        <v>8</v>
      </c>
    </row>
    <row r="50" spans="1:15" x14ac:dyDescent="0.35">
      <c r="A50" s="5" t="str">
        <f>Loads[[#This Row],[Date]]&amp;Loads[[#This Row],[Product]]</f>
        <v>44215Product4</v>
      </c>
      <c r="B50" s="5">
        <f>COUNTIF($A$1:A50,Loads[[#This Row],[Load]])</f>
        <v>3</v>
      </c>
      <c r="C50" s="3" t="str">
        <f>Loads[[#This Row],[Load]]&amp;Loads[[#This Row],[Count]]</f>
        <v>44215Product43</v>
      </c>
      <c r="D50" s="90">
        <v>44215</v>
      </c>
      <c r="E50" s="143">
        <v>0.375</v>
      </c>
      <c r="F50" s="1" t="s">
        <v>9</v>
      </c>
      <c r="G50" s="2" t="s">
        <v>15</v>
      </c>
      <c r="H50" s="2" t="s">
        <v>42</v>
      </c>
      <c r="I50" s="1" t="s">
        <v>11</v>
      </c>
      <c r="J50" s="1" t="s">
        <v>8</v>
      </c>
      <c r="K50" s="89">
        <v>33820</v>
      </c>
      <c r="L50" s="3">
        <v>10.74</v>
      </c>
      <c r="M50" s="3">
        <v>60</v>
      </c>
      <c r="N50" s="3" t="s">
        <v>8</v>
      </c>
      <c r="O50" s="3" t="s">
        <v>8</v>
      </c>
    </row>
    <row r="51" spans="1:15" x14ac:dyDescent="0.35">
      <c r="A51" s="5" t="str">
        <f>Loads[[#This Row],[Date]]&amp;Loads[[#This Row],[Product]]</f>
        <v>44215Product4</v>
      </c>
      <c r="B51" s="5">
        <f>COUNTIF($A$1:A51,Loads[[#This Row],[Load]])</f>
        <v>4</v>
      </c>
      <c r="C51" s="3" t="str">
        <f>Loads[[#This Row],[Load]]&amp;Loads[[#This Row],[Count]]</f>
        <v>44215Product44</v>
      </c>
      <c r="D51" s="90">
        <v>44215</v>
      </c>
      <c r="E51" s="143">
        <v>0.76041666666666663</v>
      </c>
      <c r="F51" s="1" t="s">
        <v>9</v>
      </c>
      <c r="G51" s="2" t="s">
        <v>15</v>
      </c>
      <c r="H51" s="2" t="s">
        <v>42</v>
      </c>
      <c r="I51" s="1" t="s">
        <v>11</v>
      </c>
      <c r="J51" s="1" t="s">
        <v>8</v>
      </c>
      <c r="K51" s="89">
        <v>37100</v>
      </c>
      <c r="L51" s="3">
        <v>6.84</v>
      </c>
      <c r="M51" s="3">
        <v>62.58</v>
      </c>
      <c r="N51" s="3" t="s">
        <v>8</v>
      </c>
      <c r="O51" s="3" t="s">
        <v>8</v>
      </c>
    </row>
    <row r="52" spans="1:15" x14ac:dyDescent="0.35">
      <c r="A52" s="5" t="str">
        <f>Loads[[#This Row],[Date]]&amp;Loads[[#This Row],[Product]]</f>
        <v>44216Product4</v>
      </c>
      <c r="B52" s="5">
        <f>COUNTIF($A$1:A52,Loads[[#This Row],[Load]])</f>
        <v>1</v>
      </c>
      <c r="C52" s="3" t="str">
        <f>Loads[[#This Row],[Load]]&amp;Loads[[#This Row],[Count]]</f>
        <v>44216Product41</v>
      </c>
      <c r="D52" s="90">
        <v>44216</v>
      </c>
      <c r="E52" s="143">
        <v>0.65277777777777779</v>
      </c>
      <c r="F52" s="1" t="s">
        <v>9</v>
      </c>
      <c r="G52" s="2" t="s">
        <v>15</v>
      </c>
      <c r="H52" s="2" t="s">
        <v>42</v>
      </c>
      <c r="I52" s="1" t="s">
        <v>11</v>
      </c>
      <c r="J52" s="1" t="s">
        <v>8</v>
      </c>
      <c r="K52" s="89">
        <v>35240</v>
      </c>
      <c r="L52" s="3">
        <v>8.19</v>
      </c>
      <c r="M52" s="3">
        <v>61.15</v>
      </c>
      <c r="N52" s="3" t="s">
        <v>8</v>
      </c>
      <c r="O52" s="3" t="s">
        <v>8</v>
      </c>
    </row>
    <row r="53" spans="1:15" x14ac:dyDescent="0.35">
      <c r="A53" s="5" t="str">
        <f>Loads[[#This Row],[Date]]&amp;Loads[[#This Row],[Product]]</f>
        <v>44216Product4</v>
      </c>
      <c r="B53" s="5">
        <f>COUNTIF($A$1:A53,Loads[[#This Row],[Load]])</f>
        <v>2</v>
      </c>
      <c r="C53" s="3" t="str">
        <f>Loads[[#This Row],[Load]]&amp;Loads[[#This Row],[Count]]</f>
        <v>44216Product42</v>
      </c>
      <c r="D53" s="90">
        <v>44216</v>
      </c>
      <c r="E53" s="143">
        <v>1.2499999999999999E-2</v>
      </c>
      <c r="F53" s="1" t="s">
        <v>9</v>
      </c>
      <c r="G53" s="2" t="s">
        <v>15</v>
      </c>
      <c r="H53" s="2" t="s">
        <v>42</v>
      </c>
      <c r="I53" s="1" t="s">
        <v>10</v>
      </c>
      <c r="J53" s="1">
        <v>160</v>
      </c>
      <c r="K53" s="89">
        <v>8060</v>
      </c>
      <c r="L53" s="3">
        <v>7.6</v>
      </c>
      <c r="M53" s="3">
        <v>61.61</v>
      </c>
      <c r="N53" s="3" t="s">
        <v>8</v>
      </c>
      <c r="O53" s="3" t="s">
        <v>8</v>
      </c>
    </row>
    <row r="54" spans="1:15" x14ac:dyDescent="0.35">
      <c r="A54" s="5" t="str">
        <f>Loads[[#This Row],[Date]]&amp;Loads[[#This Row],[Product]]</f>
        <v>44217Product4</v>
      </c>
      <c r="B54" s="5">
        <f>COUNTIF($A$1:A54,Loads[[#This Row],[Load]])</f>
        <v>1</v>
      </c>
      <c r="C54" s="3" t="str">
        <f>Loads[[#This Row],[Load]]&amp;Loads[[#This Row],[Count]]</f>
        <v>44217Product41</v>
      </c>
      <c r="D54" s="90">
        <v>44217</v>
      </c>
      <c r="E54" s="143">
        <v>0.60416666666666663</v>
      </c>
      <c r="F54" s="1" t="s">
        <v>9</v>
      </c>
      <c r="G54" s="2" t="s">
        <v>15</v>
      </c>
      <c r="H54" s="2" t="s">
        <v>42</v>
      </c>
      <c r="I54" s="1" t="s">
        <v>11</v>
      </c>
      <c r="J54" s="1" t="s">
        <v>8</v>
      </c>
      <c r="K54" s="89">
        <v>30260</v>
      </c>
      <c r="L54" s="3">
        <v>9.86</v>
      </c>
      <c r="M54" s="3">
        <v>61.08</v>
      </c>
      <c r="N54" s="3" t="s">
        <v>8</v>
      </c>
      <c r="O54" s="3" t="s">
        <v>8</v>
      </c>
    </row>
    <row r="55" spans="1:15" x14ac:dyDescent="0.35">
      <c r="A55" s="5" t="str">
        <f>Loads[[#This Row],[Date]]&amp;Loads[[#This Row],[Product]]</f>
        <v>44217Product4</v>
      </c>
      <c r="B55" s="5">
        <f>COUNTIF($A$1:A55,Loads[[#This Row],[Load]])</f>
        <v>2</v>
      </c>
      <c r="C55" s="3" t="str">
        <f>Loads[[#This Row],[Load]]&amp;Loads[[#This Row],[Count]]</f>
        <v>44217Product42</v>
      </c>
      <c r="D55" s="90">
        <v>44217</v>
      </c>
      <c r="E55" s="143">
        <v>0.60833333333333328</v>
      </c>
      <c r="F55" s="1" t="s">
        <v>9</v>
      </c>
      <c r="G55" s="2" t="s">
        <v>15</v>
      </c>
      <c r="H55" s="2" t="s">
        <v>42</v>
      </c>
      <c r="I55" s="1" t="s">
        <v>11</v>
      </c>
      <c r="J55" s="1" t="s">
        <v>8</v>
      </c>
      <c r="K55" s="89">
        <v>36660</v>
      </c>
      <c r="L55" s="3">
        <v>9.48</v>
      </c>
      <c r="M55" s="3">
        <v>61.56</v>
      </c>
      <c r="N55" s="3" t="s">
        <v>8</v>
      </c>
      <c r="O55" s="3" t="s">
        <v>8</v>
      </c>
    </row>
    <row r="56" spans="1:15" x14ac:dyDescent="0.35">
      <c r="A56" s="5" t="str">
        <f>Loads[[#This Row],[Date]]&amp;Loads[[#This Row],[Product]]</f>
        <v>44217Product4</v>
      </c>
      <c r="B56" s="5">
        <f>COUNTIF($A$1:A56,Loads[[#This Row],[Load]])</f>
        <v>3</v>
      </c>
      <c r="C56" s="3" t="str">
        <f>Loads[[#This Row],[Load]]&amp;Loads[[#This Row],[Count]]</f>
        <v>44217Product43</v>
      </c>
      <c r="D56" s="90">
        <v>44217</v>
      </c>
      <c r="E56" s="143">
        <v>0.69791666666666663</v>
      </c>
      <c r="F56" s="1" t="s">
        <v>9</v>
      </c>
      <c r="G56" s="2" t="s">
        <v>15</v>
      </c>
      <c r="H56" s="2" t="s">
        <v>42</v>
      </c>
      <c r="I56" s="1" t="s">
        <v>11</v>
      </c>
      <c r="J56" s="1" t="s">
        <v>8</v>
      </c>
      <c r="K56" s="89">
        <v>36040</v>
      </c>
      <c r="L56" s="3">
        <v>7.27</v>
      </c>
      <c r="M56" s="3">
        <v>63.1</v>
      </c>
      <c r="N56" s="3" t="s">
        <v>8</v>
      </c>
      <c r="O56" s="3" t="s">
        <v>8</v>
      </c>
    </row>
    <row r="57" spans="1:15" x14ac:dyDescent="0.35">
      <c r="A57" s="5" t="str">
        <f>Loads[[#This Row],[Date]]&amp;Loads[[#This Row],[Product]]</f>
        <v>44218Product4</v>
      </c>
      <c r="B57" s="5">
        <f>COUNTIF($A$1:A57,Loads[[#This Row],[Load]])</f>
        <v>1</v>
      </c>
      <c r="C57" s="3" t="str">
        <f>Loads[[#This Row],[Load]]&amp;Loads[[#This Row],[Count]]</f>
        <v>44218Product41</v>
      </c>
      <c r="D57" s="90">
        <v>44218</v>
      </c>
      <c r="E57" s="143">
        <v>0.39930555555555558</v>
      </c>
      <c r="F57" s="1" t="s">
        <v>9</v>
      </c>
      <c r="G57" s="2" t="s">
        <v>15</v>
      </c>
      <c r="H57" s="2" t="s">
        <v>42</v>
      </c>
      <c r="I57" s="1" t="s">
        <v>0</v>
      </c>
      <c r="J57" s="1">
        <v>22</v>
      </c>
      <c r="K57" s="89">
        <v>27600</v>
      </c>
      <c r="L57" s="3">
        <v>7.12</v>
      </c>
      <c r="M57" s="3">
        <v>63.56</v>
      </c>
      <c r="N57" s="3" t="s">
        <v>8</v>
      </c>
      <c r="O57" s="3" t="s">
        <v>8</v>
      </c>
    </row>
    <row r="58" spans="1:15" x14ac:dyDescent="0.35">
      <c r="A58" s="5" t="str">
        <f>Loads[[#This Row],[Date]]&amp;Loads[[#This Row],[Product]]</f>
        <v>44219Product4</v>
      </c>
      <c r="B58" s="5">
        <f>COUNTIF($A$1:A58,Loads[[#This Row],[Load]])</f>
        <v>1</v>
      </c>
      <c r="C58" s="3" t="str">
        <f>Loads[[#This Row],[Load]]&amp;Loads[[#This Row],[Count]]</f>
        <v>44219Product41</v>
      </c>
      <c r="D58" s="90">
        <v>44219</v>
      </c>
      <c r="E58" s="143">
        <v>6.5972222222222224E-2</v>
      </c>
      <c r="F58" s="1" t="s">
        <v>9</v>
      </c>
      <c r="G58" s="2" t="s">
        <v>15</v>
      </c>
      <c r="H58" s="2" t="s">
        <v>42</v>
      </c>
      <c r="I58" s="1" t="s">
        <v>10</v>
      </c>
      <c r="J58" s="1">
        <v>280</v>
      </c>
      <c r="K58" s="89">
        <v>14180</v>
      </c>
      <c r="L58" s="3">
        <v>10.06</v>
      </c>
      <c r="M58" s="3">
        <v>60.18</v>
      </c>
      <c r="N58" s="3" t="s">
        <v>8</v>
      </c>
      <c r="O58" s="3" t="s">
        <v>8</v>
      </c>
    </row>
    <row r="59" spans="1:15" x14ac:dyDescent="0.35">
      <c r="A59" s="5" t="str">
        <f>Loads[[#This Row],[Date]]&amp;Loads[[#This Row],[Product]]</f>
        <v>44219Product4</v>
      </c>
      <c r="B59" s="5">
        <f>COUNTIF($A$1:A59,Loads[[#This Row],[Load]])</f>
        <v>2</v>
      </c>
      <c r="C59" s="3" t="str">
        <f>Loads[[#This Row],[Load]]&amp;Loads[[#This Row],[Count]]</f>
        <v>44219Product42</v>
      </c>
      <c r="D59" s="90">
        <v>44219</v>
      </c>
      <c r="E59" s="143">
        <v>6.6666666666666666E-2</v>
      </c>
      <c r="F59" s="1" t="s">
        <v>9</v>
      </c>
      <c r="G59" s="2" t="s">
        <v>15</v>
      </c>
      <c r="H59" s="2" t="s">
        <v>42</v>
      </c>
      <c r="I59" s="1" t="s">
        <v>11</v>
      </c>
      <c r="J59" s="1" t="s">
        <v>8</v>
      </c>
      <c r="K59" s="89">
        <v>37280</v>
      </c>
      <c r="L59" s="3">
        <v>8.5399999999999991</v>
      </c>
      <c r="M59" s="3">
        <v>61.95</v>
      </c>
      <c r="N59" s="3" t="s">
        <v>8</v>
      </c>
      <c r="O59" s="3" t="s">
        <v>8</v>
      </c>
    </row>
    <row r="60" spans="1:15" x14ac:dyDescent="0.35">
      <c r="A60" s="5" t="str">
        <f>Loads[[#This Row],[Date]]&amp;Loads[[#This Row],[Product]]</f>
        <v>44219Product4</v>
      </c>
      <c r="B60" s="5">
        <f>COUNTIF($A$1:A60,Loads[[#This Row],[Load]])</f>
        <v>3</v>
      </c>
      <c r="C60" s="3" t="str">
        <f>Loads[[#This Row],[Load]]&amp;Loads[[#This Row],[Count]]</f>
        <v>44219Product43</v>
      </c>
      <c r="D60" s="90">
        <v>44219</v>
      </c>
      <c r="E60" s="143">
        <v>6.6666666666666666E-2</v>
      </c>
      <c r="F60" s="1" t="s">
        <v>9</v>
      </c>
      <c r="G60" s="2" t="s">
        <v>15</v>
      </c>
      <c r="H60" s="2" t="s">
        <v>42</v>
      </c>
      <c r="I60" s="1" t="s">
        <v>0</v>
      </c>
      <c r="J60" s="1">
        <v>22</v>
      </c>
      <c r="K60" s="89">
        <v>27640</v>
      </c>
      <c r="L60" s="3">
        <v>8.61</v>
      </c>
      <c r="M60" s="3">
        <v>61.11</v>
      </c>
      <c r="N60" s="3" t="s">
        <v>8</v>
      </c>
      <c r="O60" s="3" t="s">
        <v>8</v>
      </c>
    </row>
    <row r="61" spans="1:15" x14ac:dyDescent="0.35">
      <c r="A61" s="5" t="str">
        <f>Loads[[#This Row],[Date]]&amp;Loads[[#This Row],[Product]]</f>
        <v>44219Product4</v>
      </c>
      <c r="B61" s="5">
        <f>COUNTIF($A$1:A61,Loads[[#This Row],[Load]])</f>
        <v>4</v>
      </c>
      <c r="C61" s="3" t="str">
        <f>Loads[[#This Row],[Load]]&amp;Loads[[#This Row],[Count]]</f>
        <v>44219Product44</v>
      </c>
      <c r="D61" s="90">
        <v>44219</v>
      </c>
      <c r="E61" s="143">
        <v>6.7361111111111108E-2</v>
      </c>
      <c r="F61" s="1" t="s">
        <v>9</v>
      </c>
      <c r="G61" s="2" t="s">
        <v>15</v>
      </c>
      <c r="H61" s="2" t="s">
        <v>42</v>
      </c>
      <c r="I61" s="1" t="s">
        <v>0</v>
      </c>
      <c r="J61" s="1">
        <v>22</v>
      </c>
      <c r="K61" s="89">
        <v>27740</v>
      </c>
      <c r="L61" s="3">
        <v>8.23</v>
      </c>
      <c r="M61" s="3">
        <v>62.4</v>
      </c>
      <c r="N61" s="3" t="s">
        <v>8</v>
      </c>
      <c r="O61" s="3" t="s">
        <v>8</v>
      </c>
    </row>
    <row r="62" spans="1:15" x14ac:dyDescent="0.35">
      <c r="A62" s="5" t="str">
        <f>Loads[[#This Row],[Date]]&amp;Loads[[#This Row],[Product]]</f>
        <v>44220Product4</v>
      </c>
      <c r="B62" s="5">
        <f>COUNTIF($A$1:A62,Loads[[#This Row],[Load]])</f>
        <v>1</v>
      </c>
      <c r="C62" s="3" t="str">
        <f>Loads[[#This Row],[Load]]&amp;Loads[[#This Row],[Count]]</f>
        <v>44220Product41</v>
      </c>
      <c r="D62" s="90">
        <v>44220</v>
      </c>
      <c r="E62" s="143">
        <v>7.9861111111111105E-2</v>
      </c>
      <c r="F62" s="1" t="s">
        <v>9</v>
      </c>
      <c r="G62" s="2" t="s">
        <v>15</v>
      </c>
      <c r="H62" s="2" t="s">
        <v>42</v>
      </c>
      <c r="I62" s="1" t="s">
        <v>11</v>
      </c>
      <c r="J62" s="1" t="s">
        <v>8</v>
      </c>
      <c r="K62" s="89">
        <v>31040</v>
      </c>
      <c r="L62" s="3">
        <v>9.99</v>
      </c>
      <c r="M62" s="3">
        <v>60.4</v>
      </c>
      <c r="N62" s="3" t="s">
        <v>8</v>
      </c>
      <c r="O62" s="3" t="s">
        <v>8</v>
      </c>
    </row>
    <row r="63" spans="1:15" x14ac:dyDescent="0.35">
      <c r="A63" s="5" t="str">
        <f>Loads[[#This Row],[Date]]&amp;Loads[[#This Row],[Product]]</f>
        <v>44220Product4</v>
      </c>
      <c r="B63" s="5">
        <f>COUNTIF($A$1:A63,Loads[[#This Row],[Load]])</f>
        <v>2</v>
      </c>
      <c r="C63" s="3" t="str">
        <f>Loads[[#This Row],[Load]]&amp;Loads[[#This Row],[Count]]</f>
        <v>44220Product42</v>
      </c>
      <c r="D63" s="90">
        <v>44220</v>
      </c>
      <c r="E63" s="143">
        <v>8.1250000000000003E-2</v>
      </c>
      <c r="F63" s="1" t="s">
        <v>9</v>
      </c>
      <c r="G63" s="2" t="s">
        <v>15</v>
      </c>
      <c r="H63" s="2" t="s">
        <v>42</v>
      </c>
      <c r="I63" s="1" t="s">
        <v>11</v>
      </c>
      <c r="J63" s="1" t="s">
        <v>8</v>
      </c>
      <c r="K63" s="89">
        <v>36240</v>
      </c>
      <c r="L63" s="3">
        <v>8.64</v>
      </c>
      <c r="M63" s="3">
        <v>60.5</v>
      </c>
      <c r="N63" s="3" t="s">
        <v>8</v>
      </c>
      <c r="O63" s="3" t="s">
        <v>8</v>
      </c>
    </row>
    <row r="64" spans="1:15" x14ac:dyDescent="0.35">
      <c r="A64" s="5" t="str">
        <f>Loads[[#This Row],[Date]]&amp;Loads[[#This Row],[Product]]</f>
        <v>44220Product4</v>
      </c>
      <c r="B64" s="5">
        <f>COUNTIF($A$1:A64,Loads[[#This Row],[Load]])</f>
        <v>3</v>
      </c>
      <c r="C64" s="3" t="str">
        <f>Loads[[#This Row],[Load]]&amp;Loads[[#This Row],[Count]]</f>
        <v>44220Product43</v>
      </c>
      <c r="D64" s="90">
        <v>44220</v>
      </c>
      <c r="E64" s="143">
        <v>8.1944444444444445E-2</v>
      </c>
      <c r="F64" s="1" t="s">
        <v>9</v>
      </c>
      <c r="G64" s="2" t="s">
        <v>15</v>
      </c>
      <c r="H64" s="2" t="s">
        <v>42</v>
      </c>
      <c r="I64" s="1" t="s">
        <v>0</v>
      </c>
      <c r="J64" s="1">
        <v>22</v>
      </c>
      <c r="K64" s="89">
        <v>27740</v>
      </c>
      <c r="L64" s="3">
        <v>8.42</v>
      </c>
      <c r="M64" s="3">
        <v>60.97</v>
      </c>
      <c r="N64" s="3" t="s">
        <v>8</v>
      </c>
      <c r="O64" s="3" t="s">
        <v>8</v>
      </c>
    </row>
    <row r="65" spans="1:15" x14ac:dyDescent="0.35">
      <c r="A65" s="5" t="str">
        <f>Loads[[#This Row],[Date]]&amp;Loads[[#This Row],[Product]]</f>
        <v>44221Product4</v>
      </c>
      <c r="B65" s="5">
        <f>COUNTIF($A$1:A65,Loads[[#This Row],[Load]])</f>
        <v>1</v>
      </c>
      <c r="C65" s="3" t="str">
        <f>Loads[[#This Row],[Load]]&amp;Loads[[#This Row],[Count]]</f>
        <v>44221Product41</v>
      </c>
      <c r="D65" s="90">
        <v>44221</v>
      </c>
      <c r="E65" s="143">
        <v>0.11180555555555556</v>
      </c>
      <c r="F65" s="1" t="s">
        <v>9</v>
      </c>
      <c r="G65" s="2" t="s">
        <v>15</v>
      </c>
      <c r="H65" s="2" t="s">
        <v>42</v>
      </c>
      <c r="I65" s="1" t="s">
        <v>0</v>
      </c>
      <c r="J65" s="1">
        <v>22</v>
      </c>
      <c r="K65" s="89">
        <v>27580</v>
      </c>
      <c r="L65" s="3">
        <v>9.44</v>
      </c>
      <c r="M65" s="3">
        <v>60.77</v>
      </c>
      <c r="N65" s="3" t="s">
        <v>8</v>
      </c>
      <c r="O65" s="3" t="s">
        <v>8</v>
      </c>
    </row>
    <row r="66" spans="1:15" x14ac:dyDescent="0.35">
      <c r="A66" s="5" t="str">
        <f>Loads[[#This Row],[Date]]&amp;Loads[[#This Row],[Product]]</f>
        <v>44221Product4</v>
      </c>
      <c r="B66" s="5">
        <f>COUNTIF($A$1:A66,Loads[[#This Row],[Load]])</f>
        <v>2</v>
      </c>
      <c r="C66" s="3" t="str">
        <f>Loads[[#This Row],[Load]]&amp;Loads[[#This Row],[Count]]</f>
        <v>44221Product42</v>
      </c>
      <c r="D66" s="90">
        <v>44221</v>
      </c>
      <c r="E66" s="143">
        <v>0.1125</v>
      </c>
      <c r="F66" s="1" t="s">
        <v>9</v>
      </c>
      <c r="G66" s="2" t="s">
        <v>15</v>
      </c>
      <c r="H66" s="2" t="s">
        <v>42</v>
      </c>
      <c r="I66" s="1" t="s">
        <v>0</v>
      </c>
      <c r="J66" s="1">
        <v>22</v>
      </c>
      <c r="K66" s="89">
        <v>27840</v>
      </c>
      <c r="L66" s="3">
        <v>9.43</v>
      </c>
      <c r="M66" s="3">
        <v>61.17</v>
      </c>
      <c r="N66" s="3" t="s">
        <v>8</v>
      </c>
      <c r="O66" s="3" t="s">
        <v>8</v>
      </c>
    </row>
    <row r="67" spans="1:15" x14ac:dyDescent="0.35">
      <c r="A67" s="5" t="str">
        <f>Loads[[#This Row],[Date]]&amp;Loads[[#This Row],[Product]]</f>
        <v>44221Product4</v>
      </c>
      <c r="B67" s="5">
        <f>COUNTIF($A$1:A67,Loads[[#This Row],[Load]])</f>
        <v>3</v>
      </c>
      <c r="C67" s="3" t="str">
        <f>Loads[[#This Row],[Load]]&amp;Loads[[#This Row],[Count]]</f>
        <v>44221Product43</v>
      </c>
      <c r="D67" s="90">
        <v>44221</v>
      </c>
      <c r="E67" s="143">
        <v>0.11319444444444444</v>
      </c>
      <c r="F67" s="1" t="s">
        <v>9</v>
      </c>
      <c r="G67" s="2" t="s">
        <v>15</v>
      </c>
      <c r="H67" s="2" t="s">
        <v>42</v>
      </c>
      <c r="I67" s="1" t="s">
        <v>11</v>
      </c>
      <c r="J67" s="1" t="s">
        <v>8</v>
      </c>
      <c r="K67" s="89">
        <v>23700</v>
      </c>
      <c r="L67" s="3">
        <v>9.5500000000000007</v>
      </c>
      <c r="M67" s="3">
        <v>61.86</v>
      </c>
      <c r="N67" s="3" t="s">
        <v>8</v>
      </c>
      <c r="O67" s="3" t="s">
        <v>8</v>
      </c>
    </row>
    <row r="68" spans="1:15" x14ac:dyDescent="0.35">
      <c r="A68" s="5" t="str">
        <f>Loads[[#This Row],[Date]]&amp;Loads[[#This Row],[Product]]</f>
        <v>44222Product4</v>
      </c>
      <c r="B68" s="5">
        <f>COUNTIF($A$1:A68,Loads[[#This Row],[Load]])</f>
        <v>1</v>
      </c>
      <c r="C68" s="3" t="str">
        <f>Loads[[#This Row],[Load]]&amp;Loads[[#This Row],[Count]]</f>
        <v>44222Product41</v>
      </c>
      <c r="D68" s="90">
        <v>44222</v>
      </c>
      <c r="E68" s="143">
        <v>5.5555555555555552E-2</v>
      </c>
      <c r="F68" s="1" t="s">
        <v>9</v>
      </c>
      <c r="G68" s="2" t="s">
        <v>15</v>
      </c>
      <c r="H68" s="2" t="s">
        <v>42</v>
      </c>
      <c r="I68" s="1" t="s">
        <v>11</v>
      </c>
      <c r="J68" s="1" t="s">
        <v>8</v>
      </c>
      <c r="K68" s="89">
        <v>31060</v>
      </c>
      <c r="L68" s="3">
        <v>9.01</v>
      </c>
      <c r="M68" s="3">
        <v>60.94</v>
      </c>
      <c r="N68" s="3" t="s">
        <v>8</v>
      </c>
      <c r="O68" s="3" t="s">
        <v>8</v>
      </c>
    </row>
    <row r="69" spans="1:15" x14ac:dyDescent="0.35">
      <c r="A69" s="5" t="str">
        <f>Loads[[#This Row],[Date]]&amp;Loads[[#This Row],[Product]]</f>
        <v>44222Product4</v>
      </c>
      <c r="B69" s="5">
        <f>COUNTIF($A$1:A69,Loads[[#This Row],[Load]])</f>
        <v>2</v>
      </c>
      <c r="C69" s="3" t="str">
        <f>Loads[[#This Row],[Load]]&amp;Loads[[#This Row],[Count]]</f>
        <v>44222Product42</v>
      </c>
      <c r="D69" s="90">
        <v>44222</v>
      </c>
      <c r="E69" s="143">
        <v>5.6944444444444443E-2</v>
      </c>
      <c r="F69" s="1" t="s">
        <v>9</v>
      </c>
      <c r="G69" s="2" t="s">
        <v>15</v>
      </c>
      <c r="H69" s="2" t="s">
        <v>42</v>
      </c>
      <c r="I69" s="1" t="s">
        <v>11</v>
      </c>
      <c r="J69" s="1" t="s">
        <v>8</v>
      </c>
      <c r="K69" s="89">
        <v>36100</v>
      </c>
      <c r="L69" s="3">
        <v>9.73</v>
      </c>
      <c r="M69" s="3">
        <v>61.81</v>
      </c>
      <c r="N69" s="3" t="s">
        <v>8</v>
      </c>
      <c r="O69" s="3" t="s">
        <v>8</v>
      </c>
    </row>
    <row r="70" spans="1:15" x14ac:dyDescent="0.35">
      <c r="A70" s="5" t="str">
        <f>Loads[[#This Row],[Date]]&amp;Loads[[#This Row],[Product]]</f>
        <v>44222Product4</v>
      </c>
      <c r="B70" s="5">
        <f>COUNTIF($A$1:A70,Loads[[#This Row],[Load]])</f>
        <v>3</v>
      </c>
      <c r="C70" s="3" t="str">
        <f>Loads[[#This Row],[Load]]&amp;Loads[[#This Row],[Count]]</f>
        <v>44222Product43</v>
      </c>
      <c r="D70" s="90">
        <v>44222</v>
      </c>
      <c r="E70" s="143">
        <v>5.6944444444444443E-2</v>
      </c>
      <c r="F70" s="1" t="s">
        <v>9</v>
      </c>
      <c r="G70" s="2" t="s">
        <v>15</v>
      </c>
      <c r="H70" s="2" t="s">
        <v>42</v>
      </c>
      <c r="I70" s="1" t="s">
        <v>11</v>
      </c>
      <c r="J70" s="1" t="s">
        <v>8</v>
      </c>
      <c r="K70" s="89">
        <v>31220</v>
      </c>
      <c r="L70" s="3">
        <v>8.68</v>
      </c>
      <c r="M70" s="3">
        <v>62.36</v>
      </c>
      <c r="N70" s="3" t="s">
        <v>8</v>
      </c>
      <c r="O70" s="3" t="s">
        <v>8</v>
      </c>
    </row>
    <row r="71" spans="1:15" x14ac:dyDescent="0.35">
      <c r="A71" s="5" t="str">
        <f>Loads[[#This Row],[Date]]&amp;Loads[[#This Row],[Product]]</f>
        <v>44222Product4</v>
      </c>
      <c r="B71" s="5">
        <f>COUNTIF($A$1:A71,Loads[[#This Row],[Load]])</f>
        <v>4</v>
      </c>
      <c r="C71" s="3" t="str">
        <f>Loads[[#This Row],[Load]]&amp;Loads[[#This Row],[Count]]</f>
        <v>44222Product44</v>
      </c>
      <c r="D71" s="90">
        <v>44222</v>
      </c>
      <c r="E71" s="143">
        <v>5.7638888888888885E-2</v>
      </c>
      <c r="F71" s="1" t="s">
        <v>9</v>
      </c>
      <c r="G71" s="2" t="s">
        <v>15</v>
      </c>
      <c r="H71" s="2" t="s">
        <v>42</v>
      </c>
      <c r="I71" s="1" t="s">
        <v>11</v>
      </c>
      <c r="J71" s="1" t="s">
        <v>8</v>
      </c>
      <c r="K71" s="89">
        <v>30640</v>
      </c>
      <c r="L71" s="3">
        <v>7.54</v>
      </c>
      <c r="M71" s="3">
        <v>63.69</v>
      </c>
      <c r="N71" s="3" t="s">
        <v>8</v>
      </c>
      <c r="O71" s="3" t="s">
        <v>8</v>
      </c>
    </row>
    <row r="72" spans="1:15" x14ac:dyDescent="0.35">
      <c r="A72" s="5" t="str">
        <f>Loads[[#This Row],[Date]]&amp;Loads[[#This Row],[Product]]</f>
        <v>44223Product4</v>
      </c>
      <c r="B72" s="5">
        <f>COUNTIF($A$1:A72,Loads[[#This Row],[Load]])</f>
        <v>1</v>
      </c>
      <c r="C72" s="3" t="str">
        <f>Loads[[#This Row],[Load]]&amp;Loads[[#This Row],[Count]]</f>
        <v>44223Product41</v>
      </c>
      <c r="D72" s="90">
        <v>44223</v>
      </c>
      <c r="E72" s="143">
        <v>6.25E-2</v>
      </c>
      <c r="F72" s="1" t="s">
        <v>9</v>
      </c>
      <c r="G72" s="2" t="s">
        <v>15</v>
      </c>
      <c r="H72" s="2" t="s">
        <v>42</v>
      </c>
      <c r="I72" s="1" t="s">
        <v>0</v>
      </c>
      <c r="J72" s="1">
        <v>22</v>
      </c>
      <c r="K72" s="89">
        <v>27760</v>
      </c>
      <c r="L72" s="3">
        <v>9.59</v>
      </c>
      <c r="M72" s="3">
        <v>63.47</v>
      </c>
      <c r="N72" s="3" t="s">
        <v>8</v>
      </c>
      <c r="O72" s="3" t="s">
        <v>8</v>
      </c>
    </row>
    <row r="73" spans="1:15" x14ac:dyDescent="0.35">
      <c r="A73" s="5" t="str">
        <f>Loads[[#This Row],[Date]]&amp;Loads[[#This Row],[Product]]</f>
        <v>44223Product4</v>
      </c>
      <c r="B73" s="5">
        <f>COUNTIF($A$1:A73,Loads[[#This Row],[Load]])</f>
        <v>2</v>
      </c>
      <c r="C73" s="3" t="str">
        <f>Loads[[#This Row],[Load]]&amp;Loads[[#This Row],[Count]]</f>
        <v>44223Product42</v>
      </c>
      <c r="D73" s="90">
        <v>44223</v>
      </c>
      <c r="E73" s="143">
        <v>6.25E-2</v>
      </c>
      <c r="F73" s="1" t="s">
        <v>9</v>
      </c>
      <c r="G73" s="2" t="s">
        <v>15</v>
      </c>
      <c r="H73" s="2" t="s">
        <v>42</v>
      </c>
      <c r="I73" s="1" t="s">
        <v>11</v>
      </c>
      <c r="J73" s="1" t="s">
        <v>8</v>
      </c>
      <c r="K73" s="89">
        <v>37060</v>
      </c>
      <c r="L73" s="3">
        <v>9.24</v>
      </c>
      <c r="M73" s="3">
        <v>61.46</v>
      </c>
      <c r="N73" s="3" t="s">
        <v>8</v>
      </c>
      <c r="O73" s="3" t="s">
        <v>8</v>
      </c>
    </row>
    <row r="74" spans="1:15" x14ac:dyDescent="0.35">
      <c r="A74" s="5" t="str">
        <f>Loads[[#This Row],[Date]]&amp;Loads[[#This Row],[Product]]</f>
        <v>44224Product4</v>
      </c>
      <c r="B74" s="5">
        <f>COUNTIF($A$1:A74,Loads[[#This Row],[Load]])</f>
        <v>1</v>
      </c>
      <c r="C74" s="3" t="str">
        <f>Loads[[#This Row],[Load]]&amp;Loads[[#This Row],[Count]]</f>
        <v>44224Product41</v>
      </c>
      <c r="D74" s="90">
        <v>44224</v>
      </c>
      <c r="E74" s="143">
        <v>0.62291666666666667</v>
      </c>
      <c r="F74" s="1" t="s">
        <v>9</v>
      </c>
      <c r="G74" s="2" t="s">
        <v>15</v>
      </c>
      <c r="H74" s="2" t="s">
        <v>42</v>
      </c>
      <c r="I74" s="1" t="s">
        <v>11</v>
      </c>
      <c r="J74" s="1" t="s">
        <v>8</v>
      </c>
      <c r="K74" s="89">
        <v>31380</v>
      </c>
      <c r="L74" s="3">
        <v>9.0399999999999991</v>
      </c>
      <c r="M74" s="3">
        <v>60.44</v>
      </c>
      <c r="N74" s="3" t="s">
        <v>8</v>
      </c>
      <c r="O74" s="3" t="s">
        <v>8</v>
      </c>
    </row>
    <row r="75" spans="1:15" x14ac:dyDescent="0.35">
      <c r="A75" s="5" t="str">
        <f>Loads[[#This Row],[Date]]&amp;Loads[[#This Row],[Product]]</f>
        <v>44224Product4</v>
      </c>
      <c r="B75" s="5">
        <f>COUNTIF($A$1:A75,Loads[[#This Row],[Load]])</f>
        <v>2</v>
      </c>
      <c r="C75" s="3" t="str">
        <f>Loads[[#This Row],[Load]]&amp;Loads[[#This Row],[Count]]</f>
        <v>44224Product42</v>
      </c>
      <c r="D75" s="90">
        <v>44224</v>
      </c>
      <c r="E75" s="143">
        <v>0.80902777777777779</v>
      </c>
      <c r="F75" s="1" t="s">
        <v>9</v>
      </c>
      <c r="G75" s="2" t="s">
        <v>15</v>
      </c>
      <c r="H75" s="2" t="s">
        <v>42</v>
      </c>
      <c r="I75" s="1" t="s">
        <v>11</v>
      </c>
      <c r="J75" s="1" t="s">
        <v>8</v>
      </c>
      <c r="K75" s="89">
        <v>30300</v>
      </c>
      <c r="L75" s="3">
        <v>8.89</v>
      </c>
      <c r="M75" s="3">
        <v>62.83</v>
      </c>
      <c r="N75" s="3" t="s">
        <v>8</v>
      </c>
      <c r="O75" s="3" t="s">
        <v>8</v>
      </c>
    </row>
    <row r="76" spans="1:15" x14ac:dyDescent="0.35">
      <c r="A76" s="5" t="str">
        <f>Loads[[#This Row],[Date]]&amp;Loads[[#This Row],[Product]]</f>
        <v>44224Product4</v>
      </c>
      <c r="B76" s="5">
        <f>COUNTIF($A$1:A76,Loads[[#This Row],[Load]])</f>
        <v>3</v>
      </c>
      <c r="C76" s="3" t="str">
        <f>Loads[[#This Row],[Load]]&amp;Loads[[#This Row],[Count]]</f>
        <v>44224Product43</v>
      </c>
      <c r="D76" s="90">
        <v>44224</v>
      </c>
      <c r="E76" s="143">
        <v>0.81041666666666667</v>
      </c>
      <c r="F76" s="1" t="s">
        <v>9</v>
      </c>
      <c r="G76" s="2" t="s">
        <v>15</v>
      </c>
      <c r="H76" s="2" t="s">
        <v>42</v>
      </c>
      <c r="I76" s="1" t="s">
        <v>0</v>
      </c>
      <c r="J76" s="1">
        <v>22</v>
      </c>
      <c r="K76" s="89">
        <v>27240</v>
      </c>
      <c r="L76" s="3">
        <v>9.0399999999999991</v>
      </c>
      <c r="M76" s="3">
        <v>62.5</v>
      </c>
      <c r="N76" s="3" t="s">
        <v>8</v>
      </c>
      <c r="O76" s="3" t="s">
        <v>8</v>
      </c>
    </row>
    <row r="77" spans="1:15" x14ac:dyDescent="0.35">
      <c r="A77" s="5" t="str">
        <f>Loads[[#This Row],[Date]]&amp;Loads[[#This Row],[Product]]</f>
        <v>44225Product4</v>
      </c>
      <c r="B77" s="5">
        <f>COUNTIF($A$1:A77,Loads[[#This Row],[Load]])</f>
        <v>1</v>
      </c>
      <c r="C77" s="3" t="str">
        <f>Loads[[#This Row],[Load]]&amp;Loads[[#This Row],[Count]]</f>
        <v>44225Product41</v>
      </c>
      <c r="D77" s="90">
        <v>44225</v>
      </c>
      <c r="E77" s="143">
        <v>0.93888888888888899</v>
      </c>
      <c r="F77" s="1" t="s">
        <v>9</v>
      </c>
      <c r="G77" s="2" t="s">
        <v>15</v>
      </c>
      <c r="H77" s="2" t="s">
        <v>42</v>
      </c>
      <c r="I77" s="1" t="s">
        <v>11</v>
      </c>
      <c r="J77" s="1" t="s">
        <v>8</v>
      </c>
      <c r="K77" s="89">
        <v>30740</v>
      </c>
      <c r="L77" s="3">
        <v>9.65</v>
      </c>
      <c r="M77" s="3">
        <v>62.15</v>
      </c>
      <c r="N77" s="3" t="s">
        <v>8</v>
      </c>
      <c r="O77" s="3" t="s">
        <v>8</v>
      </c>
    </row>
    <row r="78" spans="1:15" x14ac:dyDescent="0.35">
      <c r="A78" s="5" t="str">
        <f>Loads[[#This Row],[Date]]&amp;Loads[[#This Row],[Product]]</f>
        <v>44226Product4</v>
      </c>
      <c r="B78" s="5">
        <f>COUNTIF($A$1:A78,Loads[[#This Row],[Load]])</f>
        <v>1</v>
      </c>
      <c r="C78" s="3" t="str">
        <f>Loads[[#This Row],[Load]]&amp;Loads[[#This Row],[Count]]</f>
        <v>44226Product41</v>
      </c>
      <c r="D78" s="90">
        <v>44226</v>
      </c>
      <c r="E78" s="143">
        <v>0.9604166666666667</v>
      </c>
      <c r="F78" s="1" t="s">
        <v>9</v>
      </c>
      <c r="G78" s="2" t="s">
        <v>15</v>
      </c>
      <c r="H78" s="2" t="s">
        <v>42</v>
      </c>
      <c r="I78" s="1" t="s">
        <v>11</v>
      </c>
      <c r="J78" s="1" t="s">
        <v>8</v>
      </c>
      <c r="K78" s="89">
        <v>37000</v>
      </c>
      <c r="L78" s="3">
        <v>10.01</v>
      </c>
      <c r="M78" s="3">
        <v>62.46</v>
      </c>
      <c r="N78" s="3" t="s">
        <v>8</v>
      </c>
      <c r="O78" s="3" t="s">
        <v>8</v>
      </c>
    </row>
    <row r="79" spans="1:15" x14ac:dyDescent="0.35">
      <c r="A79" s="5" t="str">
        <f>Loads[[#This Row],[Date]]&amp;Loads[[#This Row],[Product]]</f>
        <v>44226Product4</v>
      </c>
      <c r="B79" s="5">
        <f>COUNTIF($A$1:A79,Loads[[#This Row],[Load]])</f>
        <v>2</v>
      </c>
      <c r="C79" s="3" t="str">
        <f>Loads[[#This Row],[Load]]&amp;Loads[[#This Row],[Count]]</f>
        <v>44226Product42</v>
      </c>
      <c r="D79" s="90">
        <v>44226</v>
      </c>
      <c r="E79" s="143">
        <v>0.96111111111111114</v>
      </c>
      <c r="F79" s="1" t="s">
        <v>9</v>
      </c>
      <c r="G79" s="2" t="s">
        <v>15</v>
      </c>
      <c r="H79" s="2" t="s">
        <v>42</v>
      </c>
      <c r="I79" s="1" t="s">
        <v>11</v>
      </c>
      <c r="J79" s="1" t="s">
        <v>8</v>
      </c>
      <c r="K79" s="89">
        <v>36920</v>
      </c>
      <c r="L79" s="3">
        <v>10.039999999999999</v>
      </c>
      <c r="M79" s="3">
        <v>62.57</v>
      </c>
      <c r="N79" s="3" t="s">
        <v>8</v>
      </c>
      <c r="O79" s="3" t="s">
        <v>8</v>
      </c>
    </row>
    <row r="80" spans="1:15" x14ac:dyDescent="0.35">
      <c r="A80" s="5" t="str">
        <f>Loads[[#This Row],[Date]]&amp;Loads[[#This Row],[Product]]</f>
        <v>44227Product4</v>
      </c>
      <c r="B80" s="5">
        <f>COUNTIF($A$1:A80,Loads[[#This Row],[Load]])</f>
        <v>1</v>
      </c>
      <c r="C80" s="3" t="str">
        <f>Loads[[#This Row],[Load]]&amp;Loads[[#This Row],[Count]]</f>
        <v>44227Product41</v>
      </c>
      <c r="D80" s="90">
        <v>44227</v>
      </c>
      <c r="E80" s="143">
        <v>4.1666666666666664E-2</v>
      </c>
      <c r="F80" s="1" t="s">
        <v>9</v>
      </c>
      <c r="G80" s="2" t="s">
        <v>15</v>
      </c>
      <c r="H80" s="2" t="s">
        <v>42</v>
      </c>
      <c r="I80" s="1" t="s">
        <v>11</v>
      </c>
      <c r="J80" s="1" t="s">
        <v>8</v>
      </c>
      <c r="K80" s="89">
        <v>32140</v>
      </c>
      <c r="L80" s="3">
        <v>9.0299999999999994</v>
      </c>
      <c r="M80" s="3">
        <v>62.59</v>
      </c>
      <c r="N80" s="3" t="s">
        <v>8</v>
      </c>
      <c r="O80" s="3" t="s">
        <v>8</v>
      </c>
    </row>
    <row r="81" spans="1:15" x14ac:dyDescent="0.35">
      <c r="A81" s="5" t="str">
        <f>Loads[[#This Row],[Date]]&amp;Loads[[#This Row],[Product]]</f>
        <v>44227Product4</v>
      </c>
      <c r="B81" s="5">
        <f>COUNTIF($A$1:A81,Loads[[#This Row],[Load]])</f>
        <v>2</v>
      </c>
      <c r="C81" s="3" t="str">
        <f>Loads[[#This Row],[Load]]&amp;Loads[[#This Row],[Count]]</f>
        <v>44227Product42</v>
      </c>
      <c r="D81" s="90">
        <v>44227</v>
      </c>
      <c r="E81" s="143">
        <v>7.2916666666666671E-2</v>
      </c>
      <c r="F81" s="1" t="s">
        <v>9</v>
      </c>
      <c r="G81" s="2" t="s">
        <v>15</v>
      </c>
      <c r="H81" s="2" t="s">
        <v>42</v>
      </c>
      <c r="I81" s="1" t="s">
        <v>11</v>
      </c>
      <c r="J81" s="1" t="s">
        <v>8</v>
      </c>
      <c r="K81" s="89">
        <v>31100</v>
      </c>
      <c r="L81" s="3">
        <v>9.3800000000000008</v>
      </c>
      <c r="M81" s="3">
        <v>62.96</v>
      </c>
      <c r="N81" s="3" t="s">
        <v>8</v>
      </c>
      <c r="O81" s="3" t="s">
        <v>8</v>
      </c>
    </row>
    <row r="82" spans="1:15" x14ac:dyDescent="0.35">
      <c r="A82" s="5" t="str">
        <f>Loads[[#This Row],[Date]]&amp;Loads[[#This Row],[Product]]</f>
        <v>44227Product4</v>
      </c>
      <c r="B82" s="5">
        <f>COUNTIF($A$1:A82,Loads[[#This Row],[Load]])</f>
        <v>3</v>
      </c>
      <c r="C82" s="3" t="str">
        <f>Loads[[#This Row],[Load]]&amp;Loads[[#This Row],[Count]]</f>
        <v>44227Product43</v>
      </c>
      <c r="D82" s="90">
        <v>44227</v>
      </c>
      <c r="E82" s="143">
        <v>0.75902777777777775</v>
      </c>
      <c r="F82" s="1" t="s">
        <v>9</v>
      </c>
      <c r="G82" s="2" t="s">
        <v>15</v>
      </c>
      <c r="H82" s="2" t="s">
        <v>42</v>
      </c>
      <c r="I82" s="1" t="s">
        <v>11</v>
      </c>
      <c r="J82" s="1" t="s">
        <v>8</v>
      </c>
      <c r="K82" s="89">
        <v>36740</v>
      </c>
      <c r="L82" s="3">
        <v>8.4499999999999993</v>
      </c>
      <c r="M82" s="3">
        <v>60.81</v>
      </c>
      <c r="N82" s="3" t="s">
        <v>8</v>
      </c>
      <c r="O82" s="3" t="s">
        <v>8</v>
      </c>
    </row>
    <row r="83" spans="1:15" x14ac:dyDescent="0.35">
      <c r="A83" s="5" t="str">
        <f>Loads[[#This Row],[Date]]&amp;Loads[[#This Row],[Product]]</f>
        <v>44227Product4</v>
      </c>
      <c r="B83" s="5">
        <f>COUNTIF($A$1:A83,Loads[[#This Row],[Load]])</f>
        <v>4</v>
      </c>
      <c r="C83" s="3" t="str">
        <f>Loads[[#This Row],[Load]]&amp;Loads[[#This Row],[Count]]</f>
        <v>44227Product44</v>
      </c>
      <c r="D83" s="90">
        <v>44227</v>
      </c>
      <c r="E83" s="143">
        <v>0.7597222222222223</v>
      </c>
      <c r="F83" s="1" t="s">
        <v>9</v>
      </c>
      <c r="G83" s="2" t="s">
        <v>15</v>
      </c>
      <c r="H83" s="2" t="s">
        <v>42</v>
      </c>
      <c r="I83" s="1" t="s">
        <v>11</v>
      </c>
      <c r="J83" s="1" t="s">
        <v>8</v>
      </c>
      <c r="K83" s="89">
        <v>27480</v>
      </c>
      <c r="L83" s="3">
        <v>8.5500000000000007</v>
      </c>
      <c r="M83" s="3">
        <v>60.83</v>
      </c>
      <c r="N83" s="3" t="s">
        <v>8</v>
      </c>
      <c r="O83" s="3" t="s">
        <v>8</v>
      </c>
    </row>
    <row r="84" spans="1:15" x14ac:dyDescent="0.35">
      <c r="A84" s="5" t="str">
        <f>Loads[[#This Row],[Date]]&amp;Loads[[#This Row],[Product]]</f>
        <v>44227Product4</v>
      </c>
      <c r="B84" s="5">
        <f>COUNTIF($A$1:A84,Loads[[#This Row],[Load]])</f>
        <v>5</v>
      </c>
      <c r="C84" s="3" t="str">
        <f>Loads[[#This Row],[Load]]&amp;Loads[[#This Row],[Count]]</f>
        <v>44227Product45</v>
      </c>
      <c r="D84" s="90">
        <v>44227</v>
      </c>
      <c r="E84" s="143">
        <v>0.92361111111111116</v>
      </c>
      <c r="F84" s="1" t="s">
        <v>9</v>
      </c>
      <c r="G84" s="2" t="s">
        <v>15</v>
      </c>
      <c r="H84" s="2" t="s">
        <v>42</v>
      </c>
      <c r="I84" s="1" t="s">
        <v>11</v>
      </c>
      <c r="J84" s="1" t="s">
        <v>8</v>
      </c>
      <c r="K84" s="89">
        <v>30420</v>
      </c>
      <c r="L84" s="3">
        <v>10.5</v>
      </c>
      <c r="M84" s="3">
        <v>60.33</v>
      </c>
      <c r="N84" s="3" t="s">
        <v>8</v>
      </c>
      <c r="O84" s="3" t="s">
        <v>8</v>
      </c>
    </row>
    <row r="85" spans="1:15" x14ac:dyDescent="0.35">
      <c r="A85" s="5" t="str">
        <f>Loads[[#This Row],[Date]]&amp;Loads[[#This Row],[Product]]</f>
        <v>44228Product4</v>
      </c>
      <c r="B85" s="5">
        <f>COUNTIF($A$1:A85,Loads[[#This Row],[Load]])</f>
        <v>1</v>
      </c>
      <c r="C85" s="3" t="str">
        <f>Loads[[#This Row],[Load]]&amp;Loads[[#This Row],[Count]]</f>
        <v>44228Product41</v>
      </c>
      <c r="D85" s="90">
        <v>44228</v>
      </c>
      <c r="E85" s="143">
        <v>0.92847222222222225</v>
      </c>
      <c r="F85" s="1" t="s">
        <v>9</v>
      </c>
      <c r="G85" s="2" t="s">
        <v>15</v>
      </c>
      <c r="H85" s="2" t="s">
        <v>42</v>
      </c>
      <c r="I85" s="1" t="s">
        <v>11</v>
      </c>
      <c r="J85" s="1" t="s">
        <v>8</v>
      </c>
      <c r="K85" s="89">
        <v>29640</v>
      </c>
      <c r="L85" s="3">
        <v>9.41</v>
      </c>
      <c r="M85" s="3">
        <v>61.93</v>
      </c>
      <c r="N85" s="3" t="s">
        <v>8</v>
      </c>
      <c r="O85" s="3" t="s">
        <v>8</v>
      </c>
    </row>
    <row r="86" spans="1:15" x14ac:dyDescent="0.35">
      <c r="A86" s="5" t="str">
        <f>Loads[[#This Row],[Date]]&amp;Loads[[#This Row],[Product]]</f>
        <v>44229Product4</v>
      </c>
      <c r="B86" s="5">
        <f>COUNTIF($A$1:A86,Loads[[#This Row],[Load]])</f>
        <v>1</v>
      </c>
      <c r="C86" s="3" t="str">
        <f>Loads[[#This Row],[Load]]&amp;Loads[[#This Row],[Count]]</f>
        <v>44229Product41</v>
      </c>
      <c r="D86" s="90">
        <v>44229</v>
      </c>
      <c r="E86" s="143">
        <v>0.11805555555555557</v>
      </c>
      <c r="F86" s="1" t="s">
        <v>9</v>
      </c>
      <c r="G86" s="2" t="s">
        <v>15</v>
      </c>
      <c r="H86" s="2" t="s">
        <v>42</v>
      </c>
      <c r="I86" s="1" t="s">
        <v>0</v>
      </c>
      <c r="J86" s="1">
        <v>22</v>
      </c>
      <c r="K86" s="89">
        <v>26260</v>
      </c>
      <c r="L86" s="3">
        <v>10.38</v>
      </c>
      <c r="M86" s="3">
        <v>60.96</v>
      </c>
      <c r="N86" s="3" t="s">
        <v>8</v>
      </c>
      <c r="O86" s="3" t="s">
        <v>8</v>
      </c>
    </row>
    <row r="87" spans="1:15" x14ac:dyDescent="0.35">
      <c r="A87" s="5" t="str">
        <f>Loads[[#This Row],[Date]]&amp;Loads[[#This Row],[Product]]</f>
        <v>44229Product4</v>
      </c>
      <c r="B87" s="5">
        <f>COUNTIF($A$1:A87,Loads[[#This Row],[Load]])</f>
        <v>2</v>
      </c>
      <c r="C87" s="3" t="str">
        <f>Loads[[#This Row],[Load]]&amp;Loads[[#This Row],[Count]]</f>
        <v>44229Product42</v>
      </c>
      <c r="D87" s="90">
        <v>44229</v>
      </c>
      <c r="E87" s="143">
        <v>0.79166666666666663</v>
      </c>
      <c r="F87" s="1" t="s">
        <v>9</v>
      </c>
      <c r="G87" s="2" t="s">
        <v>15</v>
      </c>
      <c r="H87" s="2" t="s">
        <v>42</v>
      </c>
      <c r="I87" s="1" t="s">
        <v>11</v>
      </c>
      <c r="J87" s="1" t="s">
        <v>8</v>
      </c>
      <c r="K87" s="89">
        <v>30440</v>
      </c>
      <c r="L87" s="3">
        <v>9.77</v>
      </c>
      <c r="M87" s="3">
        <v>63.75</v>
      </c>
      <c r="N87" s="3" t="s">
        <v>8</v>
      </c>
      <c r="O87" s="3" t="s">
        <v>8</v>
      </c>
    </row>
    <row r="88" spans="1:15" x14ac:dyDescent="0.35">
      <c r="A88" s="5" t="str">
        <f>Loads[[#This Row],[Date]]&amp;Loads[[#This Row],[Product]]</f>
        <v>44230Product4</v>
      </c>
      <c r="B88" s="5">
        <f>COUNTIF($A$1:A88,Loads[[#This Row],[Load]])</f>
        <v>1</v>
      </c>
      <c r="C88" s="3" t="str">
        <f>Loads[[#This Row],[Load]]&amp;Loads[[#This Row],[Count]]</f>
        <v>44230Product41</v>
      </c>
      <c r="D88" s="90">
        <v>44230</v>
      </c>
      <c r="E88" s="143">
        <v>4.7222222222222221E-2</v>
      </c>
      <c r="F88" s="1" t="s">
        <v>9</v>
      </c>
      <c r="G88" s="2" t="s">
        <v>15</v>
      </c>
      <c r="H88" s="2" t="s">
        <v>42</v>
      </c>
      <c r="I88" s="1" t="s">
        <v>11</v>
      </c>
      <c r="J88" s="1" t="s">
        <v>8</v>
      </c>
      <c r="K88" s="89">
        <v>30960</v>
      </c>
      <c r="L88" s="3">
        <v>10.15</v>
      </c>
      <c r="M88" s="3">
        <v>61.43</v>
      </c>
      <c r="N88" s="3" t="s">
        <v>8</v>
      </c>
      <c r="O88" s="3" t="s">
        <v>8</v>
      </c>
    </row>
    <row r="89" spans="1:15" x14ac:dyDescent="0.35">
      <c r="A89" s="5" t="str">
        <f>Loads[[#This Row],[Date]]&amp;Loads[[#This Row],[Product]]</f>
        <v>44230Product4</v>
      </c>
      <c r="B89" s="5">
        <f>COUNTIF($A$1:A89,Loads[[#This Row],[Load]])</f>
        <v>2</v>
      </c>
      <c r="C89" s="3" t="str">
        <f>Loads[[#This Row],[Load]]&amp;Loads[[#This Row],[Count]]</f>
        <v>44230Product42</v>
      </c>
      <c r="D89" s="90">
        <v>44230</v>
      </c>
      <c r="E89" s="143">
        <v>4.7916666666666663E-2</v>
      </c>
      <c r="F89" s="1" t="s">
        <v>9</v>
      </c>
      <c r="G89" s="2" t="s">
        <v>15</v>
      </c>
      <c r="H89" s="2" t="s">
        <v>42</v>
      </c>
      <c r="I89" s="1" t="s">
        <v>11</v>
      </c>
      <c r="J89" s="1" t="s">
        <v>8</v>
      </c>
      <c r="K89" s="89">
        <v>36240</v>
      </c>
      <c r="L89" s="3">
        <v>9.07</v>
      </c>
      <c r="M89" s="3">
        <v>65.599999999999994</v>
      </c>
      <c r="N89" s="3" t="s">
        <v>8</v>
      </c>
      <c r="O89" s="3" t="s">
        <v>8</v>
      </c>
    </row>
    <row r="90" spans="1:15" x14ac:dyDescent="0.35">
      <c r="A90" s="5" t="str">
        <f>Loads[[#This Row],[Date]]&amp;Loads[[#This Row],[Product]]</f>
        <v>44230Product4</v>
      </c>
      <c r="B90" s="5">
        <f>COUNTIF($A$1:A90,Loads[[#This Row],[Load]])</f>
        <v>3</v>
      </c>
      <c r="C90" s="3" t="str">
        <f>Loads[[#This Row],[Load]]&amp;Loads[[#This Row],[Count]]</f>
        <v>44230Product43</v>
      </c>
      <c r="D90" s="90">
        <v>44230</v>
      </c>
      <c r="E90" s="143">
        <v>5.6944444444444443E-2</v>
      </c>
      <c r="F90" s="1" t="s">
        <v>9</v>
      </c>
      <c r="G90" s="2" t="s">
        <v>15</v>
      </c>
      <c r="H90" s="2" t="s">
        <v>42</v>
      </c>
      <c r="I90" s="1" t="s">
        <v>0</v>
      </c>
      <c r="J90" s="1">
        <v>22</v>
      </c>
      <c r="K90" s="89">
        <v>26920</v>
      </c>
      <c r="L90" s="3">
        <v>9.81</v>
      </c>
      <c r="M90" s="3">
        <v>62.28</v>
      </c>
      <c r="N90" s="3" t="s">
        <v>8</v>
      </c>
      <c r="O90" s="3" t="s">
        <v>8</v>
      </c>
    </row>
    <row r="91" spans="1:15" x14ac:dyDescent="0.35">
      <c r="A91" s="5" t="str">
        <f>Loads[[#This Row],[Date]]&amp;Loads[[#This Row],[Product]]</f>
        <v>44231Product4</v>
      </c>
      <c r="B91" s="5">
        <f>COUNTIF($A$1:A91,Loads[[#This Row],[Load]])</f>
        <v>1</v>
      </c>
      <c r="C91" s="3" t="str">
        <f>Loads[[#This Row],[Load]]&amp;Loads[[#This Row],[Count]]</f>
        <v>44231Product41</v>
      </c>
      <c r="D91" s="90">
        <v>44231</v>
      </c>
      <c r="E91" s="143">
        <v>0.2986111111111111</v>
      </c>
      <c r="F91" s="1" t="s">
        <v>9</v>
      </c>
      <c r="G91" s="2" t="s">
        <v>15</v>
      </c>
      <c r="H91" s="2" t="s">
        <v>42</v>
      </c>
      <c r="I91" s="1" t="s">
        <v>11</v>
      </c>
      <c r="J91" s="1" t="s">
        <v>8</v>
      </c>
      <c r="K91" s="89">
        <v>36300</v>
      </c>
      <c r="L91" s="3">
        <v>10.84</v>
      </c>
      <c r="M91" s="3">
        <v>60.46</v>
      </c>
      <c r="N91" s="3" t="s">
        <v>8</v>
      </c>
      <c r="O91" s="3" t="s">
        <v>8</v>
      </c>
    </row>
    <row r="92" spans="1:15" x14ac:dyDescent="0.35">
      <c r="A92" s="5" t="str">
        <f>Loads[[#This Row],[Date]]&amp;Loads[[#This Row],[Product]]</f>
        <v>44231Product4</v>
      </c>
      <c r="B92" s="5">
        <f>COUNTIF($A$1:A92,Loads[[#This Row],[Load]])</f>
        <v>2</v>
      </c>
      <c r="C92" s="3" t="str">
        <f>Loads[[#This Row],[Load]]&amp;Loads[[#This Row],[Count]]</f>
        <v>44231Product42</v>
      </c>
      <c r="D92" s="90">
        <v>44231</v>
      </c>
      <c r="E92" s="143">
        <v>6.458333333333334E-2</v>
      </c>
      <c r="F92" s="1" t="s">
        <v>9</v>
      </c>
      <c r="G92" s="2" t="s">
        <v>15</v>
      </c>
      <c r="H92" s="2" t="s">
        <v>42</v>
      </c>
      <c r="I92" s="1" t="s">
        <v>0</v>
      </c>
      <c r="J92" s="1">
        <v>24</v>
      </c>
      <c r="K92" s="89">
        <v>29740</v>
      </c>
      <c r="L92" s="3">
        <v>9.14</v>
      </c>
      <c r="M92" s="3">
        <v>61.82</v>
      </c>
      <c r="N92" s="3" t="s">
        <v>8</v>
      </c>
      <c r="O92" s="3" t="s">
        <v>8</v>
      </c>
    </row>
    <row r="93" spans="1:15" x14ac:dyDescent="0.35">
      <c r="A93" s="5" t="str">
        <f>Loads[[#This Row],[Date]]&amp;Loads[[#This Row],[Product]]</f>
        <v>44231Product4</v>
      </c>
      <c r="B93" s="5">
        <f>COUNTIF($A$1:A93,Loads[[#This Row],[Load]])</f>
        <v>3</v>
      </c>
      <c r="C93" s="3" t="str">
        <f>Loads[[#This Row],[Load]]&amp;Loads[[#This Row],[Count]]</f>
        <v>44231Product43</v>
      </c>
      <c r="D93" s="90">
        <v>44231</v>
      </c>
      <c r="E93" s="143">
        <v>7.7083333333333337E-2</v>
      </c>
      <c r="F93" s="1" t="s">
        <v>9</v>
      </c>
      <c r="G93" s="2" t="s">
        <v>15</v>
      </c>
      <c r="H93" s="2" t="s">
        <v>42</v>
      </c>
      <c r="I93" s="1" t="s">
        <v>11</v>
      </c>
      <c r="J93" s="1" t="s">
        <v>8</v>
      </c>
      <c r="K93" s="89">
        <v>30420</v>
      </c>
      <c r="L93" s="3">
        <v>9.7100000000000009</v>
      </c>
      <c r="M93" s="3">
        <v>61.39</v>
      </c>
      <c r="N93" s="3" t="s">
        <v>8</v>
      </c>
      <c r="O93" s="3" t="s">
        <v>8</v>
      </c>
    </row>
    <row r="94" spans="1:15" x14ac:dyDescent="0.35">
      <c r="A94" s="5" t="str">
        <f>Loads[[#This Row],[Date]]&amp;Loads[[#This Row],[Product]]</f>
        <v>44232Product4</v>
      </c>
      <c r="B94" s="5">
        <f>COUNTIF($A$1:A94,Loads[[#This Row],[Load]])</f>
        <v>1</v>
      </c>
      <c r="C94" s="3" t="str">
        <f>Loads[[#This Row],[Load]]&amp;Loads[[#This Row],[Count]]</f>
        <v>44232Product41</v>
      </c>
      <c r="D94" s="90">
        <v>44232</v>
      </c>
      <c r="E94" s="143">
        <v>9.8611111111111108E-2</v>
      </c>
      <c r="F94" s="1" t="s">
        <v>9</v>
      </c>
      <c r="G94" s="2" t="s">
        <v>15</v>
      </c>
      <c r="H94" s="2" t="s">
        <v>42</v>
      </c>
      <c r="I94" s="1" t="s">
        <v>11</v>
      </c>
      <c r="J94" s="1" t="s">
        <v>8</v>
      </c>
      <c r="K94" s="89">
        <v>30160</v>
      </c>
      <c r="L94" s="3">
        <v>9.8000000000000007</v>
      </c>
      <c r="M94" s="3">
        <v>61.08</v>
      </c>
      <c r="N94" s="3" t="s">
        <v>8</v>
      </c>
      <c r="O94" s="3" t="s">
        <v>8</v>
      </c>
    </row>
    <row r="95" spans="1:15" x14ac:dyDescent="0.35">
      <c r="A95" s="5" t="str">
        <f>Loads[[#This Row],[Date]]&amp;Loads[[#This Row],[Product]]</f>
        <v>44232Product4</v>
      </c>
      <c r="B95" s="5">
        <f>COUNTIF($A$1:A95,Loads[[#This Row],[Load]])</f>
        <v>2</v>
      </c>
      <c r="C95" s="3" t="str">
        <f>Loads[[#This Row],[Load]]&amp;Loads[[#This Row],[Count]]</f>
        <v>44232Product42</v>
      </c>
      <c r="D95" s="90">
        <v>44232</v>
      </c>
      <c r="E95" s="143">
        <v>0.10625</v>
      </c>
      <c r="F95" s="1" t="s">
        <v>9</v>
      </c>
      <c r="G95" s="2" t="s">
        <v>15</v>
      </c>
      <c r="H95" s="2" t="s">
        <v>42</v>
      </c>
      <c r="I95" s="1" t="s">
        <v>11</v>
      </c>
      <c r="J95" s="1" t="s">
        <v>8</v>
      </c>
      <c r="K95" s="89">
        <v>35740</v>
      </c>
      <c r="L95" s="3">
        <v>11.57</v>
      </c>
      <c r="M95" s="3">
        <v>59.65</v>
      </c>
      <c r="N95" s="3" t="s">
        <v>8</v>
      </c>
      <c r="O95" s="3" t="s">
        <v>8</v>
      </c>
    </row>
    <row r="96" spans="1:15" x14ac:dyDescent="0.35">
      <c r="A96" s="5" t="str">
        <f>Loads[[#This Row],[Date]]&amp;Loads[[#This Row],[Product]]</f>
        <v>44233Product4</v>
      </c>
      <c r="B96" s="5">
        <f>COUNTIF($A$1:A96,Loads[[#This Row],[Load]])</f>
        <v>1</v>
      </c>
      <c r="C96" s="3" t="str">
        <f>Loads[[#This Row],[Load]]&amp;Loads[[#This Row],[Count]]</f>
        <v>44233Product41</v>
      </c>
      <c r="D96" s="90">
        <v>44233</v>
      </c>
      <c r="E96" s="143">
        <v>2.2222222222222223E-2</v>
      </c>
      <c r="F96" s="1" t="s">
        <v>9</v>
      </c>
      <c r="G96" s="2" t="s">
        <v>15</v>
      </c>
      <c r="H96" s="2" t="s">
        <v>42</v>
      </c>
      <c r="I96" s="1" t="s">
        <v>0</v>
      </c>
      <c r="J96" s="1">
        <v>22</v>
      </c>
      <c r="K96" s="89">
        <v>26740</v>
      </c>
      <c r="L96" s="3">
        <v>10.37</v>
      </c>
      <c r="M96" s="3">
        <v>62.02</v>
      </c>
      <c r="N96" s="3" t="s">
        <v>8</v>
      </c>
      <c r="O96" s="3" t="s">
        <v>8</v>
      </c>
    </row>
    <row r="97" spans="1:15" x14ac:dyDescent="0.35">
      <c r="A97" s="5" t="str">
        <f>Loads[[#This Row],[Date]]&amp;Loads[[#This Row],[Product]]</f>
        <v>44233Product4</v>
      </c>
      <c r="B97" s="5">
        <f>COUNTIF($A$1:A97,Loads[[#This Row],[Load]])</f>
        <v>2</v>
      </c>
      <c r="C97" s="3" t="str">
        <f>Loads[[#This Row],[Load]]&amp;Loads[[#This Row],[Count]]</f>
        <v>44233Product42</v>
      </c>
      <c r="D97" s="90">
        <v>44233</v>
      </c>
      <c r="E97" s="143">
        <v>2.361111111111111E-2</v>
      </c>
      <c r="F97" s="1" t="s">
        <v>9</v>
      </c>
      <c r="G97" s="2" t="s">
        <v>15</v>
      </c>
      <c r="H97" s="2" t="s">
        <v>42</v>
      </c>
      <c r="I97" s="1" t="s">
        <v>11</v>
      </c>
      <c r="J97" s="1" t="s">
        <v>8</v>
      </c>
      <c r="K97" s="89">
        <v>36520</v>
      </c>
      <c r="L97" s="3">
        <v>9.3699999999999992</v>
      </c>
      <c r="M97" s="3">
        <v>62.35</v>
      </c>
      <c r="N97" s="3" t="s">
        <v>8</v>
      </c>
      <c r="O97" s="3" t="s">
        <v>8</v>
      </c>
    </row>
    <row r="98" spans="1:15" x14ac:dyDescent="0.35">
      <c r="A98" s="5" t="str">
        <f>Loads[[#This Row],[Date]]&amp;Loads[[#This Row],[Product]]</f>
        <v>44233Product4</v>
      </c>
      <c r="B98" s="5">
        <f>COUNTIF($A$1:A98,Loads[[#This Row],[Load]])</f>
        <v>3</v>
      </c>
      <c r="C98" s="3" t="str">
        <f>Loads[[#This Row],[Load]]&amp;Loads[[#This Row],[Count]]</f>
        <v>44233Product43</v>
      </c>
      <c r="D98" s="90">
        <v>44233</v>
      </c>
      <c r="E98" s="143">
        <v>2.361111111111111E-2</v>
      </c>
      <c r="F98" s="1" t="s">
        <v>9</v>
      </c>
      <c r="G98" s="2" t="s">
        <v>15</v>
      </c>
      <c r="H98" s="2" t="s">
        <v>42</v>
      </c>
      <c r="I98" s="1" t="s">
        <v>11</v>
      </c>
      <c r="J98" s="1" t="s">
        <v>8</v>
      </c>
      <c r="K98" s="89">
        <v>30820</v>
      </c>
      <c r="L98" s="3">
        <v>9.23</v>
      </c>
      <c r="M98" s="3">
        <v>61.71</v>
      </c>
      <c r="N98" s="3" t="s">
        <v>8</v>
      </c>
      <c r="O98" s="3" t="s">
        <v>8</v>
      </c>
    </row>
    <row r="99" spans="1:15" x14ac:dyDescent="0.35">
      <c r="A99" s="5" t="str">
        <f>Loads[[#This Row],[Date]]&amp;Loads[[#This Row],[Product]]</f>
        <v>44233Product4</v>
      </c>
      <c r="B99" s="5">
        <f>COUNTIF($A$1:A99,Loads[[#This Row],[Load]])</f>
        <v>4</v>
      </c>
      <c r="C99" s="3" t="str">
        <f>Loads[[#This Row],[Load]]&amp;Loads[[#This Row],[Count]]</f>
        <v>44233Product44</v>
      </c>
      <c r="D99" s="90">
        <v>44233</v>
      </c>
      <c r="E99" s="143">
        <v>3.2638888888888891E-2</v>
      </c>
      <c r="F99" s="1" t="s">
        <v>9</v>
      </c>
      <c r="G99" s="2" t="s">
        <v>15</v>
      </c>
      <c r="H99" s="2" t="s">
        <v>42</v>
      </c>
      <c r="I99" s="1" t="s">
        <v>0</v>
      </c>
      <c r="J99" s="1">
        <v>26</v>
      </c>
      <c r="K99" s="89">
        <v>31360</v>
      </c>
      <c r="L99" s="3">
        <v>9.69</v>
      </c>
      <c r="M99" s="3">
        <v>61.96</v>
      </c>
      <c r="N99" s="3" t="s">
        <v>8</v>
      </c>
      <c r="O99" s="3" t="s">
        <v>8</v>
      </c>
    </row>
    <row r="100" spans="1:15" x14ac:dyDescent="0.35">
      <c r="A100" s="5" t="str">
        <f>Loads[[#This Row],[Date]]&amp;Loads[[#This Row],[Product]]</f>
        <v>44233Product4</v>
      </c>
      <c r="B100" s="5">
        <f>COUNTIF($A$1:A100,Loads[[#This Row],[Load]])</f>
        <v>5</v>
      </c>
      <c r="C100" s="3" t="str">
        <f>Loads[[#This Row],[Load]]&amp;Loads[[#This Row],[Count]]</f>
        <v>44233Product45</v>
      </c>
      <c r="D100" s="90">
        <v>44233</v>
      </c>
      <c r="E100" s="143">
        <v>3.5416666666666666E-2</v>
      </c>
      <c r="F100" s="1" t="s">
        <v>9</v>
      </c>
      <c r="G100" s="2" t="s">
        <v>15</v>
      </c>
      <c r="H100" s="2" t="s">
        <v>42</v>
      </c>
      <c r="I100" s="1" t="s">
        <v>0</v>
      </c>
      <c r="J100" s="1">
        <v>24</v>
      </c>
      <c r="K100" s="89">
        <v>29260</v>
      </c>
      <c r="L100" s="3">
        <v>9.86</v>
      </c>
      <c r="M100" s="3">
        <v>61.5</v>
      </c>
      <c r="N100" s="3" t="s">
        <v>8</v>
      </c>
      <c r="O100" s="3" t="s">
        <v>8</v>
      </c>
    </row>
    <row r="101" spans="1:15" x14ac:dyDescent="0.35">
      <c r="A101" s="5" t="str">
        <f>Loads[[#This Row],[Date]]&amp;Loads[[#This Row],[Product]]</f>
        <v>44234Product4</v>
      </c>
      <c r="B101" s="5">
        <f>COUNTIF($A$1:A101,Loads[[#This Row],[Load]])</f>
        <v>1</v>
      </c>
      <c r="C101" s="3" t="str">
        <f>Loads[[#This Row],[Load]]&amp;Loads[[#This Row],[Count]]</f>
        <v>44234Product41</v>
      </c>
      <c r="D101" s="90">
        <v>44234</v>
      </c>
      <c r="E101" s="143">
        <v>3.4722222222222224E-2</v>
      </c>
      <c r="F101" s="1" t="s">
        <v>9</v>
      </c>
      <c r="G101" s="2" t="s">
        <v>15</v>
      </c>
      <c r="H101" s="2" t="s">
        <v>42</v>
      </c>
      <c r="I101" s="1" t="s">
        <v>11</v>
      </c>
      <c r="J101" s="1" t="s">
        <v>8</v>
      </c>
      <c r="K101" s="89">
        <v>29720</v>
      </c>
      <c r="L101" s="3">
        <v>8.7799999999999994</v>
      </c>
      <c r="M101" s="3">
        <v>62.61</v>
      </c>
      <c r="N101" s="3" t="s">
        <v>8</v>
      </c>
      <c r="O101" s="3" t="s">
        <v>8</v>
      </c>
    </row>
    <row r="102" spans="1:15" x14ac:dyDescent="0.35">
      <c r="A102" s="5" t="str">
        <f>Loads[[#This Row],[Date]]&amp;Loads[[#This Row],[Product]]</f>
        <v>44234Product4</v>
      </c>
      <c r="B102" s="5">
        <f>COUNTIF($A$1:A102,Loads[[#This Row],[Load]])</f>
        <v>2</v>
      </c>
      <c r="C102" s="3" t="str">
        <f>Loads[[#This Row],[Load]]&amp;Loads[[#This Row],[Count]]</f>
        <v>44234Product42</v>
      </c>
      <c r="D102" s="90">
        <v>44234</v>
      </c>
      <c r="E102" s="143">
        <v>4.6527777777777779E-2</v>
      </c>
      <c r="F102" s="1" t="s">
        <v>9</v>
      </c>
      <c r="G102" s="2" t="s">
        <v>15</v>
      </c>
      <c r="H102" s="2" t="s">
        <v>42</v>
      </c>
      <c r="I102" s="1" t="s">
        <v>0</v>
      </c>
      <c r="J102" s="1">
        <v>22</v>
      </c>
      <c r="K102" s="89">
        <v>26540</v>
      </c>
      <c r="L102" s="3">
        <v>9.66</v>
      </c>
      <c r="M102" s="3">
        <v>62.03</v>
      </c>
      <c r="N102" s="3" t="s">
        <v>8</v>
      </c>
      <c r="O102" s="3" t="s">
        <v>8</v>
      </c>
    </row>
    <row r="103" spans="1:15" x14ac:dyDescent="0.35">
      <c r="A103" s="5" t="str">
        <f>Loads[[#This Row],[Date]]&amp;Loads[[#This Row],[Product]]</f>
        <v>44235Product4</v>
      </c>
      <c r="B103" s="5">
        <f>COUNTIF($A$1:A103,Loads[[#This Row],[Load]])</f>
        <v>1</v>
      </c>
      <c r="C103" s="3" t="str">
        <f>Loads[[#This Row],[Load]]&amp;Loads[[#This Row],[Count]]</f>
        <v>44235Product41</v>
      </c>
      <c r="D103" s="90">
        <v>44235</v>
      </c>
      <c r="E103" s="143">
        <v>0.23333333333333331</v>
      </c>
      <c r="F103" s="1" t="s">
        <v>9</v>
      </c>
      <c r="G103" s="2" t="s">
        <v>15</v>
      </c>
      <c r="H103" s="2" t="s">
        <v>42</v>
      </c>
      <c r="I103" s="1" t="s">
        <v>0</v>
      </c>
      <c r="J103" s="1">
        <v>22</v>
      </c>
      <c r="K103" s="89">
        <v>26440</v>
      </c>
      <c r="L103" s="3">
        <v>10.16</v>
      </c>
      <c r="M103" s="3">
        <v>61.2</v>
      </c>
      <c r="N103" s="3" t="s">
        <v>8</v>
      </c>
      <c r="O103" s="3" t="s">
        <v>8</v>
      </c>
    </row>
    <row r="104" spans="1:15" x14ac:dyDescent="0.35">
      <c r="A104" s="5" t="str">
        <f>Loads[[#This Row],[Date]]&amp;Loads[[#This Row],[Product]]</f>
        <v>44235Product4</v>
      </c>
      <c r="B104" s="5">
        <f>COUNTIF($A$1:A104,Loads[[#This Row],[Load]])</f>
        <v>2</v>
      </c>
      <c r="C104" s="3" t="str">
        <f>Loads[[#This Row],[Load]]&amp;Loads[[#This Row],[Count]]</f>
        <v>44235Product42</v>
      </c>
      <c r="D104" s="90">
        <v>44235</v>
      </c>
      <c r="E104" s="143">
        <v>0.28055555555555556</v>
      </c>
      <c r="F104" s="1" t="s">
        <v>9</v>
      </c>
      <c r="G104" s="2" t="s">
        <v>15</v>
      </c>
      <c r="H104" s="2" t="s">
        <v>42</v>
      </c>
      <c r="I104" s="1" t="s">
        <v>0</v>
      </c>
      <c r="J104" s="1">
        <v>20</v>
      </c>
      <c r="K104" s="89">
        <v>24100</v>
      </c>
      <c r="L104" s="3">
        <v>10.220000000000001</v>
      </c>
      <c r="M104" s="3">
        <v>61.49</v>
      </c>
      <c r="N104" s="3" t="s">
        <v>8</v>
      </c>
      <c r="O104" s="3" t="s">
        <v>8</v>
      </c>
    </row>
    <row r="105" spans="1:15" x14ac:dyDescent="0.35">
      <c r="A105" s="5" t="str">
        <f>Loads[[#This Row],[Date]]&amp;Loads[[#This Row],[Product]]</f>
        <v>44235Product4</v>
      </c>
      <c r="B105" s="5">
        <f>COUNTIF($A$1:A105,Loads[[#This Row],[Load]])</f>
        <v>3</v>
      </c>
      <c r="C105" s="3" t="str">
        <f>Loads[[#This Row],[Load]]&amp;Loads[[#This Row],[Count]]</f>
        <v>44235Product43</v>
      </c>
      <c r="D105" s="90">
        <v>44235</v>
      </c>
      <c r="E105" s="143">
        <v>0.10347222222222223</v>
      </c>
      <c r="F105" s="1" t="s">
        <v>9</v>
      </c>
      <c r="G105" s="2" t="s">
        <v>15</v>
      </c>
      <c r="H105" s="2" t="s">
        <v>42</v>
      </c>
      <c r="I105" s="1" t="s">
        <v>11</v>
      </c>
      <c r="J105" s="1" t="s">
        <v>8</v>
      </c>
      <c r="K105" s="89">
        <v>30880</v>
      </c>
      <c r="L105" s="3">
        <v>10.57</v>
      </c>
      <c r="M105" s="3">
        <v>60.77</v>
      </c>
      <c r="N105" s="3" t="s">
        <v>8</v>
      </c>
      <c r="O105" s="3" t="s">
        <v>8</v>
      </c>
    </row>
    <row r="106" spans="1:15" x14ac:dyDescent="0.35">
      <c r="A106" s="5" t="str">
        <f>Loads[[#This Row],[Date]]&amp;Loads[[#This Row],[Product]]</f>
        <v>44236Product4</v>
      </c>
      <c r="B106" s="5">
        <f>COUNTIF($A$1:A106,Loads[[#This Row],[Load]])</f>
        <v>1</v>
      </c>
      <c r="C106" s="3" t="str">
        <f>Loads[[#This Row],[Load]]&amp;Loads[[#This Row],[Count]]</f>
        <v>44236Product41</v>
      </c>
      <c r="D106" s="90">
        <v>44236</v>
      </c>
      <c r="E106" s="143">
        <v>3.6805555555555557E-2</v>
      </c>
      <c r="F106" s="1" t="s">
        <v>9</v>
      </c>
      <c r="G106" s="2" t="s">
        <v>15</v>
      </c>
      <c r="H106" s="2" t="s">
        <v>42</v>
      </c>
      <c r="I106" s="1" t="s">
        <v>11</v>
      </c>
      <c r="J106" s="1" t="s">
        <v>8</v>
      </c>
      <c r="K106" s="89">
        <v>35500</v>
      </c>
      <c r="L106" s="3">
        <v>11.02</v>
      </c>
      <c r="M106" s="3">
        <v>60.85</v>
      </c>
      <c r="N106" s="3" t="s">
        <v>8</v>
      </c>
      <c r="O106" s="3" t="s">
        <v>8</v>
      </c>
    </row>
    <row r="107" spans="1:15" x14ac:dyDescent="0.35">
      <c r="A107" s="5" t="str">
        <f>Loads[[#This Row],[Date]]&amp;Loads[[#This Row],[Product]]</f>
        <v>44236Product4</v>
      </c>
      <c r="B107" s="5">
        <f>COUNTIF($A$1:A107,Loads[[#This Row],[Load]])</f>
        <v>2</v>
      </c>
      <c r="C107" s="3" t="str">
        <f>Loads[[#This Row],[Load]]&amp;Loads[[#This Row],[Count]]</f>
        <v>44236Product42</v>
      </c>
      <c r="D107" s="90">
        <v>44236</v>
      </c>
      <c r="E107" s="143">
        <v>4.0972222222222222E-2</v>
      </c>
      <c r="F107" s="1" t="s">
        <v>9</v>
      </c>
      <c r="G107" s="2" t="s">
        <v>15</v>
      </c>
      <c r="H107" s="2" t="s">
        <v>42</v>
      </c>
      <c r="I107" s="1" t="s">
        <v>11</v>
      </c>
      <c r="J107" s="1" t="s">
        <v>8</v>
      </c>
      <c r="K107" s="89">
        <v>26580</v>
      </c>
      <c r="L107" s="3">
        <v>8.49</v>
      </c>
      <c r="M107" s="3">
        <v>62.24</v>
      </c>
      <c r="N107" s="3" t="s">
        <v>8</v>
      </c>
      <c r="O107" s="3" t="s">
        <v>8</v>
      </c>
    </row>
    <row r="108" spans="1:15" x14ac:dyDescent="0.35">
      <c r="A108" s="5" t="str">
        <f>Loads[[#This Row],[Date]]&amp;Loads[[#This Row],[Product]]</f>
        <v>44236Product4</v>
      </c>
      <c r="B108" s="5">
        <f>COUNTIF($A$1:A108,Loads[[#This Row],[Load]])</f>
        <v>3</v>
      </c>
      <c r="C108" s="3" t="str">
        <f>Loads[[#This Row],[Load]]&amp;Loads[[#This Row],[Count]]</f>
        <v>44236Product43</v>
      </c>
      <c r="D108" s="90">
        <v>44236</v>
      </c>
      <c r="E108" s="143">
        <v>4.1666666666666664E-2</v>
      </c>
      <c r="F108" s="1" t="s">
        <v>9</v>
      </c>
      <c r="G108" s="2" t="s">
        <v>15</v>
      </c>
      <c r="H108" s="2" t="s">
        <v>42</v>
      </c>
      <c r="I108" s="1" t="s">
        <v>0</v>
      </c>
      <c r="J108" s="1">
        <v>22</v>
      </c>
      <c r="K108" s="89">
        <v>26160</v>
      </c>
      <c r="L108" s="3">
        <v>10.45</v>
      </c>
      <c r="M108" s="3">
        <v>60.43</v>
      </c>
      <c r="N108" s="3" t="s">
        <v>8</v>
      </c>
      <c r="O108" s="3" t="s">
        <v>8</v>
      </c>
    </row>
    <row r="109" spans="1:15" x14ac:dyDescent="0.35">
      <c r="A109" s="5" t="str">
        <f>Loads[[#This Row],[Date]]&amp;Loads[[#This Row],[Product]]</f>
        <v>44237Product4</v>
      </c>
      <c r="B109" s="5">
        <f>COUNTIF($A$1:A109,Loads[[#This Row],[Load]])</f>
        <v>1</v>
      </c>
      <c r="C109" s="3" t="str">
        <f>Loads[[#This Row],[Load]]&amp;Loads[[#This Row],[Count]]</f>
        <v>44237Product41</v>
      </c>
      <c r="D109" s="90">
        <v>44237</v>
      </c>
      <c r="E109" s="143">
        <v>6.3888888888888884E-2</v>
      </c>
      <c r="F109" s="1" t="s">
        <v>9</v>
      </c>
      <c r="G109" s="2" t="s">
        <v>15</v>
      </c>
      <c r="H109" s="2" t="s">
        <v>42</v>
      </c>
      <c r="I109" s="1" t="s">
        <v>11</v>
      </c>
      <c r="J109" s="1" t="s">
        <v>8</v>
      </c>
      <c r="K109" s="89">
        <v>35480</v>
      </c>
      <c r="L109" s="3">
        <v>11.66</v>
      </c>
      <c r="M109" s="3">
        <v>62.71</v>
      </c>
      <c r="N109" s="3" t="s">
        <v>8</v>
      </c>
      <c r="O109" s="3" t="s">
        <v>8</v>
      </c>
    </row>
    <row r="110" spans="1:15" x14ac:dyDescent="0.35">
      <c r="A110" s="5" t="str">
        <f>Loads[[#This Row],[Date]]&amp;Loads[[#This Row],[Product]]</f>
        <v>44238Product4</v>
      </c>
      <c r="B110" s="5">
        <f>COUNTIF($A$1:A110,Loads[[#This Row],[Load]])</f>
        <v>1</v>
      </c>
      <c r="C110" s="3" t="str">
        <f>Loads[[#This Row],[Load]]&amp;Loads[[#This Row],[Count]]</f>
        <v>44238Product41</v>
      </c>
      <c r="D110" s="90">
        <v>44238</v>
      </c>
      <c r="E110" s="143">
        <v>6.3194444444444442E-2</v>
      </c>
      <c r="F110" s="1" t="s">
        <v>9</v>
      </c>
      <c r="G110" s="2" t="s">
        <v>15</v>
      </c>
      <c r="H110" s="2" t="s">
        <v>42</v>
      </c>
      <c r="I110" s="1" t="s">
        <v>11</v>
      </c>
      <c r="J110" s="1" t="s">
        <v>8</v>
      </c>
      <c r="K110" s="89">
        <v>28600</v>
      </c>
      <c r="L110" s="3">
        <v>10</v>
      </c>
      <c r="M110" s="3">
        <v>63.32</v>
      </c>
      <c r="N110" s="3" t="s">
        <v>8</v>
      </c>
      <c r="O110" s="3" t="s">
        <v>8</v>
      </c>
    </row>
    <row r="111" spans="1:15" x14ac:dyDescent="0.35">
      <c r="A111" s="5" t="str">
        <f>Loads[[#This Row],[Date]]&amp;Loads[[#This Row],[Product]]</f>
        <v>44238Product4</v>
      </c>
      <c r="B111" s="5">
        <f>COUNTIF($A$1:A111,Loads[[#This Row],[Load]])</f>
        <v>2</v>
      </c>
      <c r="C111" s="3" t="str">
        <f>Loads[[#This Row],[Load]]&amp;Loads[[#This Row],[Count]]</f>
        <v>44238Product42</v>
      </c>
      <c r="D111" s="90">
        <v>44238</v>
      </c>
      <c r="E111" s="143">
        <v>6.3888888888888884E-2</v>
      </c>
      <c r="F111" s="1" t="s">
        <v>9</v>
      </c>
      <c r="G111" s="2" t="s">
        <v>15</v>
      </c>
      <c r="H111" s="2" t="s">
        <v>42</v>
      </c>
      <c r="I111" s="1" t="s">
        <v>11</v>
      </c>
      <c r="J111" s="1" t="s">
        <v>8</v>
      </c>
      <c r="K111" s="89">
        <v>29340</v>
      </c>
      <c r="L111" s="3">
        <v>10.63</v>
      </c>
      <c r="M111" s="3">
        <v>62.69</v>
      </c>
      <c r="N111" s="3" t="s">
        <v>8</v>
      </c>
      <c r="O111" s="3" t="s">
        <v>8</v>
      </c>
    </row>
    <row r="112" spans="1:15" x14ac:dyDescent="0.35">
      <c r="A112" s="5" t="str">
        <f>Loads[[#This Row],[Date]]&amp;Loads[[#This Row],[Product]]</f>
        <v>44238Product4</v>
      </c>
      <c r="B112" s="5">
        <f>COUNTIF($A$1:A112,Loads[[#This Row],[Load]])</f>
        <v>3</v>
      </c>
      <c r="C112" s="3" t="str">
        <f>Loads[[#This Row],[Load]]&amp;Loads[[#This Row],[Count]]</f>
        <v>44238Product43</v>
      </c>
      <c r="D112" s="90">
        <v>44238</v>
      </c>
      <c r="E112" s="143">
        <v>6.3888888888888884E-2</v>
      </c>
      <c r="F112" s="1" t="s">
        <v>9</v>
      </c>
      <c r="G112" s="2" t="s">
        <v>15</v>
      </c>
      <c r="H112" s="2" t="s">
        <v>42</v>
      </c>
      <c r="I112" s="1" t="s">
        <v>11</v>
      </c>
      <c r="J112" s="1" t="s">
        <v>8</v>
      </c>
      <c r="K112" s="89">
        <v>35020</v>
      </c>
      <c r="L112" s="3">
        <v>10.53</v>
      </c>
      <c r="M112" s="3">
        <v>61.9</v>
      </c>
      <c r="N112" s="3" t="s">
        <v>8</v>
      </c>
      <c r="O112" s="3" t="s">
        <v>8</v>
      </c>
    </row>
    <row r="113" spans="1:15" x14ac:dyDescent="0.35">
      <c r="A113" s="5" t="str">
        <f>Loads[[#This Row],[Date]]&amp;Loads[[#This Row],[Product]]</f>
        <v>44239Product4</v>
      </c>
      <c r="B113" s="5">
        <f>COUNTIF($A$1:A113,Loads[[#This Row],[Load]])</f>
        <v>1</v>
      </c>
      <c r="C113" s="3" t="str">
        <f>Loads[[#This Row],[Load]]&amp;Loads[[#This Row],[Count]]</f>
        <v>44239Product41</v>
      </c>
      <c r="D113" s="90">
        <v>44239</v>
      </c>
      <c r="E113" s="143">
        <v>3.4722222222222224E-2</v>
      </c>
      <c r="F113" s="1" t="s">
        <v>9</v>
      </c>
      <c r="G113" s="2" t="s">
        <v>15</v>
      </c>
      <c r="H113" s="2" t="s">
        <v>42</v>
      </c>
      <c r="I113" s="1" t="s">
        <v>0</v>
      </c>
      <c r="J113" s="1">
        <v>22</v>
      </c>
      <c r="K113" s="89">
        <v>26620</v>
      </c>
      <c r="L113" s="3">
        <v>8.84</v>
      </c>
      <c r="M113" s="3">
        <v>63.94</v>
      </c>
      <c r="N113" s="3" t="s">
        <v>8</v>
      </c>
      <c r="O113" s="3" t="s">
        <v>8</v>
      </c>
    </row>
    <row r="114" spans="1:15" x14ac:dyDescent="0.35">
      <c r="A114" s="5" t="str">
        <f>Loads[[#This Row],[Date]]&amp;Loads[[#This Row],[Product]]</f>
        <v>44239Product4</v>
      </c>
      <c r="B114" s="5">
        <f>COUNTIF($A$1:A114,Loads[[#This Row],[Load]])</f>
        <v>2</v>
      </c>
      <c r="C114" s="3" t="str">
        <f>Loads[[#This Row],[Load]]&amp;Loads[[#This Row],[Count]]</f>
        <v>44239Product42</v>
      </c>
      <c r="D114" s="90">
        <v>44239</v>
      </c>
      <c r="E114" s="143">
        <v>3.5416666666666666E-2</v>
      </c>
      <c r="F114" s="1" t="s">
        <v>9</v>
      </c>
      <c r="G114" s="2" t="s">
        <v>15</v>
      </c>
      <c r="H114" s="2" t="s">
        <v>42</v>
      </c>
      <c r="I114" s="1" t="s">
        <v>0</v>
      </c>
      <c r="J114" s="1">
        <v>24</v>
      </c>
      <c r="K114" s="89">
        <v>28680</v>
      </c>
      <c r="L114" s="3">
        <v>10.83</v>
      </c>
      <c r="M114" s="3">
        <v>61.08</v>
      </c>
      <c r="N114" s="3" t="s">
        <v>8</v>
      </c>
      <c r="O114" s="3" t="s">
        <v>8</v>
      </c>
    </row>
    <row r="115" spans="1:15" x14ac:dyDescent="0.35">
      <c r="A115" s="5" t="str">
        <f>Loads[[#This Row],[Date]]&amp;Loads[[#This Row],[Product]]</f>
        <v>44239Product4</v>
      </c>
      <c r="B115" s="5">
        <f>COUNTIF($A$1:A115,Loads[[#This Row],[Load]])</f>
        <v>3</v>
      </c>
      <c r="C115" s="3" t="str">
        <f>Loads[[#This Row],[Load]]&amp;Loads[[#This Row],[Count]]</f>
        <v>44239Product43</v>
      </c>
      <c r="D115" s="90">
        <v>44239</v>
      </c>
      <c r="E115" s="143">
        <v>3.7499999999999999E-2</v>
      </c>
      <c r="F115" s="1" t="s">
        <v>9</v>
      </c>
      <c r="G115" s="2" t="s">
        <v>15</v>
      </c>
      <c r="H115" s="2" t="s">
        <v>42</v>
      </c>
      <c r="I115" s="1" t="s">
        <v>11</v>
      </c>
      <c r="J115" s="1" t="s">
        <v>8</v>
      </c>
      <c r="K115" s="89">
        <v>29820</v>
      </c>
      <c r="L115" s="3">
        <v>9.2799999999999994</v>
      </c>
      <c r="M115" s="3">
        <v>63.58</v>
      </c>
      <c r="N115" s="3" t="s">
        <v>8</v>
      </c>
      <c r="O115" s="3" t="s">
        <v>8</v>
      </c>
    </row>
    <row r="116" spans="1:15" x14ac:dyDescent="0.35">
      <c r="A116" s="5" t="str">
        <f>Loads[[#This Row],[Date]]&amp;Loads[[#This Row],[Product]]</f>
        <v>44240Product4</v>
      </c>
      <c r="B116" s="5">
        <f>COUNTIF($A$1:A116,Loads[[#This Row],[Load]])</f>
        <v>1</v>
      </c>
      <c r="C116" s="3" t="str">
        <f>Loads[[#This Row],[Load]]&amp;Loads[[#This Row],[Count]]</f>
        <v>44240Product41</v>
      </c>
      <c r="D116" s="90">
        <v>44240</v>
      </c>
      <c r="E116" s="143">
        <v>9.3055555555555558E-2</v>
      </c>
      <c r="F116" s="1" t="s">
        <v>9</v>
      </c>
      <c r="G116" s="2" t="s">
        <v>15</v>
      </c>
      <c r="H116" s="2" t="s">
        <v>42</v>
      </c>
      <c r="I116" s="1" t="s">
        <v>11</v>
      </c>
      <c r="J116" s="1" t="s">
        <v>8</v>
      </c>
      <c r="K116" s="89">
        <v>34000</v>
      </c>
      <c r="L116" s="3">
        <v>10.72</v>
      </c>
      <c r="M116" s="3">
        <v>60.05</v>
      </c>
      <c r="N116" s="3" t="s">
        <v>8</v>
      </c>
      <c r="O116" s="3" t="s">
        <v>8</v>
      </c>
    </row>
    <row r="117" spans="1:15" x14ac:dyDescent="0.35">
      <c r="A117" s="5" t="str">
        <f>Loads[[#This Row],[Date]]&amp;Loads[[#This Row],[Product]]</f>
        <v>44240Product4</v>
      </c>
      <c r="B117" s="5">
        <f>COUNTIF($A$1:A117,Loads[[#This Row],[Load]])</f>
        <v>2</v>
      </c>
      <c r="C117" s="3" t="str">
        <f>Loads[[#This Row],[Load]]&amp;Loads[[#This Row],[Count]]</f>
        <v>44240Product42</v>
      </c>
      <c r="D117" s="90">
        <v>44240</v>
      </c>
      <c r="E117" s="143">
        <v>9.3055555555555558E-2</v>
      </c>
      <c r="F117" s="1" t="s">
        <v>9</v>
      </c>
      <c r="G117" s="2" t="s">
        <v>15</v>
      </c>
      <c r="H117" s="2" t="s">
        <v>42</v>
      </c>
      <c r="I117" s="1" t="s">
        <v>0</v>
      </c>
      <c r="J117" s="1">
        <v>22</v>
      </c>
      <c r="K117" s="89">
        <v>26120</v>
      </c>
      <c r="L117" s="3">
        <v>10.27</v>
      </c>
      <c r="M117" s="3">
        <v>59.71</v>
      </c>
      <c r="N117" s="3" t="s">
        <v>8</v>
      </c>
      <c r="O117" s="3" t="s">
        <v>8</v>
      </c>
    </row>
    <row r="118" spans="1:15" x14ac:dyDescent="0.35">
      <c r="A118" s="5" t="str">
        <f>Loads[[#This Row],[Date]]&amp;Loads[[#This Row],[Product]]</f>
        <v>44240Product4</v>
      </c>
      <c r="B118" s="5">
        <f>COUNTIF($A$1:A118,Loads[[#This Row],[Load]])</f>
        <v>3</v>
      </c>
      <c r="C118" s="3" t="str">
        <f>Loads[[#This Row],[Load]]&amp;Loads[[#This Row],[Count]]</f>
        <v>44240Product43</v>
      </c>
      <c r="D118" s="90">
        <v>44240</v>
      </c>
      <c r="E118" s="143">
        <v>9.375E-2</v>
      </c>
      <c r="F118" s="1" t="s">
        <v>9</v>
      </c>
      <c r="G118" s="2" t="s">
        <v>15</v>
      </c>
      <c r="H118" s="2" t="s">
        <v>42</v>
      </c>
      <c r="I118" s="1" t="s">
        <v>11</v>
      </c>
      <c r="J118" s="1" t="s">
        <v>8</v>
      </c>
      <c r="K118" s="89">
        <v>21180</v>
      </c>
      <c r="L118" s="3">
        <v>10.38</v>
      </c>
      <c r="M118" s="3">
        <v>60.56</v>
      </c>
      <c r="N118" s="3" t="s">
        <v>8</v>
      </c>
      <c r="O118" s="3" t="s">
        <v>8</v>
      </c>
    </row>
    <row r="119" spans="1:15" x14ac:dyDescent="0.35">
      <c r="A119" s="5" t="str">
        <f>Loads[[#This Row],[Date]]&amp;Loads[[#This Row],[Product]]</f>
        <v>44241Product4</v>
      </c>
      <c r="B119" s="5">
        <f>COUNTIF($A$1:A119,Loads[[#This Row],[Load]])</f>
        <v>1</v>
      </c>
      <c r="C119" s="3" t="str">
        <f>Loads[[#This Row],[Load]]&amp;Loads[[#This Row],[Count]]</f>
        <v>44241Product41</v>
      </c>
      <c r="D119" s="90">
        <v>44241</v>
      </c>
      <c r="E119" s="143">
        <v>3.5416666666666666E-2</v>
      </c>
      <c r="F119" s="1" t="s">
        <v>9</v>
      </c>
      <c r="G119" s="2" t="s">
        <v>15</v>
      </c>
      <c r="H119" s="2" t="s">
        <v>42</v>
      </c>
      <c r="I119" s="1" t="s">
        <v>11</v>
      </c>
      <c r="J119" s="1" t="s">
        <v>8</v>
      </c>
      <c r="K119" s="89">
        <v>36900</v>
      </c>
      <c r="L119" s="3">
        <v>9.06</v>
      </c>
      <c r="M119" s="3">
        <v>61.37</v>
      </c>
      <c r="N119" s="3" t="s">
        <v>8</v>
      </c>
      <c r="O119" s="3" t="s">
        <v>8</v>
      </c>
    </row>
    <row r="120" spans="1:15" x14ac:dyDescent="0.35">
      <c r="A120" s="5" t="str">
        <f>Loads[[#This Row],[Date]]&amp;Loads[[#This Row],[Product]]</f>
        <v>44241Product4</v>
      </c>
      <c r="B120" s="5">
        <f>COUNTIF($A$1:A120,Loads[[#This Row],[Load]])</f>
        <v>2</v>
      </c>
      <c r="C120" s="3" t="str">
        <f>Loads[[#This Row],[Load]]&amp;Loads[[#This Row],[Count]]</f>
        <v>44241Product42</v>
      </c>
      <c r="D120" s="90">
        <v>44241</v>
      </c>
      <c r="E120" s="143">
        <v>3.6111111111111115E-2</v>
      </c>
      <c r="F120" s="1" t="s">
        <v>9</v>
      </c>
      <c r="G120" s="2" t="s">
        <v>15</v>
      </c>
      <c r="H120" s="2" t="s">
        <v>42</v>
      </c>
      <c r="I120" s="1" t="s">
        <v>0</v>
      </c>
      <c r="J120" s="1">
        <v>24</v>
      </c>
      <c r="K120" s="89">
        <v>29560</v>
      </c>
      <c r="L120" s="3">
        <v>10.27</v>
      </c>
      <c r="M120" s="3">
        <v>60.14</v>
      </c>
      <c r="N120" s="3" t="s">
        <v>8</v>
      </c>
      <c r="O120" s="3" t="s">
        <v>8</v>
      </c>
    </row>
    <row r="121" spans="1:15" x14ac:dyDescent="0.35">
      <c r="A121" s="5" t="str">
        <f>Loads[[#This Row],[Date]]&amp;Loads[[#This Row],[Product]]</f>
        <v>44241Product4</v>
      </c>
      <c r="B121" s="5">
        <f>COUNTIF($A$1:A121,Loads[[#This Row],[Load]])</f>
        <v>3</v>
      </c>
      <c r="C121" s="3" t="str">
        <f>Loads[[#This Row],[Load]]&amp;Loads[[#This Row],[Count]]</f>
        <v>44241Product43</v>
      </c>
      <c r="D121" s="90">
        <v>44241</v>
      </c>
      <c r="E121" s="143">
        <v>3.6111111111111115E-2</v>
      </c>
      <c r="F121" s="1" t="s">
        <v>9</v>
      </c>
      <c r="G121" s="2" t="s">
        <v>15</v>
      </c>
      <c r="H121" s="2" t="s">
        <v>42</v>
      </c>
      <c r="I121" s="1" t="s">
        <v>11</v>
      </c>
      <c r="J121" s="1" t="s">
        <v>8</v>
      </c>
      <c r="K121" s="89">
        <v>26760</v>
      </c>
      <c r="L121" s="3">
        <v>8.0500000000000007</v>
      </c>
      <c r="M121" s="3">
        <v>63.75</v>
      </c>
      <c r="N121" s="3" t="s">
        <v>8</v>
      </c>
      <c r="O121" s="3" t="s">
        <v>8</v>
      </c>
    </row>
    <row r="122" spans="1:15" x14ac:dyDescent="0.35">
      <c r="A122" s="5" t="str">
        <f>Loads[[#This Row],[Date]]&amp;Loads[[#This Row],[Product]]</f>
        <v>44241Product4</v>
      </c>
      <c r="B122" s="5">
        <f>COUNTIF($A$1:A122,Loads[[#This Row],[Load]])</f>
        <v>4</v>
      </c>
      <c r="C122" s="3" t="str">
        <f>Loads[[#This Row],[Load]]&amp;Loads[[#This Row],[Count]]</f>
        <v>44241Product44</v>
      </c>
      <c r="D122" s="90">
        <v>44241</v>
      </c>
      <c r="E122" s="143">
        <v>3.6805555555555557E-2</v>
      </c>
      <c r="F122" s="1" t="s">
        <v>9</v>
      </c>
      <c r="G122" s="2" t="s">
        <v>15</v>
      </c>
      <c r="H122" s="2" t="s">
        <v>42</v>
      </c>
      <c r="I122" s="1" t="s">
        <v>11</v>
      </c>
      <c r="J122" s="1" t="s">
        <v>8</v>
      </c>
      <c r="K122" s="89">
        <v>31980</v>
      </c>
      <c r="L122" s="3">
        <v>9.35</v>
      </c>
      <c r="M122" s="3">
        <v>61.19</v>
      </c>
      <c r="N122" s="3" t="s">
        <v>8</v>
      </c>
      <c r="O122" s="3" t="s">
        <v>8</v>
      </c>
    </row>
    <row r="123" spans="1:15" x14ac:dyDescent="0.35">
      <c r="A123" s="5" t="str">
        <f>Loads[[#This Row],[Date]]&amp;Loads[[#This Row],[Product]]</f>
        <v>44197Product3</v>
      </c>
      <c r="B123" s="5">
        <f>COUNTIF($A$1:A123,Loads[[#This Row],[Load]])</f>
        <v>1</v>
      </c>
      <c r="C123" s="3" t="str">
        <f>Loads[[#This Row],[Load]]&amp;Loads[[#This Row],[Count]]</f>
        <v>44197Product31</v>
      </c>
      <c r="D123" s="90">
        <v>44197</v>
      </c>
      <c r="E123" s="143">
        <v>0.27777777777777779</v>
      </c>
      <c r="F123" s="1" t="s">
        <v>9</v>
      </c>
      <c r="G123" s="2" t="s">
        <v>14</v>
      </c>
      <c r="H123" s="2" t="s">
        <v>42</v>
      </c>
      <c r="I123" s="1" t="s">
        <v>11</v>
      </c>
      <c r="J123" s="1" t="s">
        <v>8</v>
      </c>
      <c r="K123" s="89">
        <v>12040</v>
      </c>
      <c r="L123" s="3">
        <v>57.29</v>
      </c>
      <c r="M123" s="3">
        <v>10.71</v>
      </c>
      <c r="N123" s="3" t="s">
        <v>8</v>
      </c>
      <c r="O123" s="3" t="s">
        <v>8</v>
      </c>
    </row>
    <row r="124" spans="1:15" x14ac:dyDescent="0.35">
      <c r="A124" s="5" t="str">
        <f>Loads[[#This Row],[Date]]&amp;Loads[[#This Row],[Product]]</f>
        <v>44197Product3</v>
      </c>
      <c r="B124" s="5">
        <f>COUNTIF($A$1:A124,Loads[[#This Row],[Load]])</f>
        <v>2</v>
      </c>
      <c r="C124" s="3" t="str">
        <f>Loads[[#This Row],[Load]]&amp;Loads[[#This Row],[Count]]</f>
        <v>44197Product32</v>
      </c>
      <c r="D124" s="90">
        <v>44197</v>
      </c>
      <c r="E124" s="143">
        <v>0.28333333333333333</v>
      </c>
      <c r="F124" s="1" t="s">
        <v>9</v>
      </c>
      <c r="G124" s="2" t="s">
        <v>14</v>
      </c>
      <c r="H124" s="2" t="s">
        <v>42</v>
      </c>
      <c r="I124" s="1" t="s">
        <v>11</v>
      </c>
      <c r="J124" s="1" t="s">
        <v>8</v>
      </c>
      <c r="K124" s="89">
        <v>13060</v>
      </c>
      <c r="L124" s="3">
        <v>58.14</v>
      </c>
      <c r="M124" s="3">
        <v>9.57</v>
      </c>
      <c r="N124" s="3" t="s">
        <v>8</v>
      </c>
      <c r="O124" s="3" t="s">
        <v>8</v>
      </c>
    </row>
    <row r="125" spans="1:15" x14ac:dyDescent="0.35">
      <c r="A125" s="5" t="str">
        <f>Loads[[#This Row],[Date]]&amp;Loads[[#This Row],[Product]]</f>
        <v>44197Product3</v>
      </c>
      <c r="B125" s="5">
        <f>COUNTIF($A$1:A125,Loads[[#This Row],[Load]])</f>
        <v>3</v>
      </c>
      <c r="C125" s="3" t="str">
        <f>Loads[[#This Row],[Load]]&amp;Loads[[#This Row],[Count]]</f>
        <v>44197Product33</v>
      </c>
      <c r="D125" s="90">
        <v>44197</v>
      </c>
      <c r="E125" s="143">
        <v>0.28402777777777777</v>
      </c>
      <c r="F125" s="1" t="s">
        <v>9</v>
      </c>
      <c r="G125" s="2" t="s">
        <v>14</v>
      </c>
      <c r="H125" s="2" t="s">
        <v>42</v>
      </c>
      <c r="I125" s="1" t="s">
        <v>11</v>
      </c>
      <c r="J125" s="1" t="s">
        <v>8</v>
      </c>
      <c r="K125" s="89">
        <v>12880</v>
      </c>
      <c r="L125" s="3">
        <v>58.75</v>
      </c>
      <c r="M125" s="3">
        <v>9.4</v>
      </c>
      <c r="N125" s="3" t="s">
        <v>8</v>
      </c>
      <c r="O125" s="3" t="s">
        <v>8</v>
      </c>
    </row>
    <row r="126" spans="1:15" x14ac:dyDescent="0.35">
      <c r="A126" s="5" t="str">
        <f>Loads[[#This Row],[Date]]&amp;Loads[[#This Row],[Product]]</f>
        <v>44198Product3</v>
      </c>
      <c r="B126" s="5">
        <f>COUNTIF($A$1:A126,Loads[[#This Row],[Load]])</f>
        <v>1</v>
      </c>
      <c r="C126" s="3" t="str">
        <f>Loads[[#This Row],[Load]]&amp;Loads[[#This Row],[Count]]</f>
        <v>44198Product31</v>
      </c>
      <c r="D126" s="90">
        <v>44198</v>
      </c>
      <c r="E126" s="143">
        <v>0.25763888888888892</v>
      </c>
      <c r="F126" s="1" t="s">
        <v>9</v>
      </c>
      <c r="G126" s="2" t="s">
        <v>14</v>
      </c>
      <c r="H126" s="2" t="s">
        <v>42</v>
      </c>
      <c r="I126" s="1" t="s">
        <v>11</v>
      </c>
      <c r="J126" s="1" t="s">
        <v>8</v>
      </c>
      <c r="K126" s="89">
        <v>12180</v>
      </c>
      <c r="L126" s="3">
        <v>58.14</v>
      </c>
      <c r="M126" s="3">
        <v>9.57</v>
      </c>
      <c r="N126" s="3" t="s">
        <v>8</v>
      </c>
      <c r="O126" s="3" t="s">
        <v>8</v>
      </c>
    </row>
    <row r="127" spans="1:15" x14ac:dyDescent="0.35">
      <c r="A127" s="5" t="str">
        <f>Loads[[#This Row],[Date]]&amp;Loads[[#This Row],[Product]]</f>
        <v>44198Product3</v>
      </c>
      <c r="B127" s="5">
        <f>COUNTIF($A$1:A127,Loads[[#This Row],[Load]])</f>
        <v>2</v>
      </c>
      <c r="C127" s="3" t="str">
        <f>Loads[[#This Row],[Load]]&amp;Loads[[#This Row],[Count]]</f>
        <v>44198Product32</v>
      </c>
      <c r="D127" s="90">
        <v>44198</v>
      </c>
      <c r="E127" s="143">
        <v>0.25763888888888892</v>
      </c>
      <c r="F127" s="1" t="s">
        <v>9</v>
      </c>
      <c r="G127" s="2" t="s">
        <v>14</v>
      </c>
      <c r="H127" s="2" t="s">
        <v>42</v>
      </c>
      <c r="I127" s="1" t="s">
        <v>11</v>
      </c>
      <c r="J127" s="1" t="s">
        <v>8</v>
      </c>
      <c r="K127" s="89">
        <v>11640</v>
      </c>
      <c r="L127" s="3">
        <v>58.06</v>
      </c>
      <c r="M127" s="3">
        <v>11.28</v>
      </c>
      <c r="N127" s="3" t="s">
        <v>8</v>
      </c>
      <c r="O127" s="3" t="s">
        <v>8</v>
      </c>
    </row>
    <row r="128" spans="1:15" x14ac:dyDescent="0.35">
      <c r="A128" s="5" t="str">
        <f>Loads[[#This Row],[Date]]&amp;Loads[[#This Row],[Product]]</f>
        <v>44198Product3</v>
      </c>
      <c r="B128" s="5">
        <f>COUNTIF($A$1:A128,Loads[[#This Row],[Load]])</f>
        <v>3</v>
      </c>
      <c r="C128" s="3" t="str">
        <f>Loads[[#This Row],[Load]]&amp;Loads[[#This Row],[Count]]</f>
        <v>44198Product33</v>
      </c>
      <c r="D128" s="90">
        <v>44198</v>
      </c>
      <c r="E128" s="143">
        <v>0.2638888888888889</v>
      </c>
      <c r="F128" s="1" t="s">
        <v>9</v>
      </c>
      <c r="G128" s="2" t="s">
        <v>14</v>
      </c>
      <c r="H128" s="2" t="s">
        <v>42</v>
      </c>
      <c r="I128" s="1" t="s">
        <v>11</v>
      </c>
      <c r="J128" s="1" t="s">
        <v>8</v>
      </c>
      <c r="K128" s="89">
        <v>11800</v>
      </c>
      <c r="L128" s="3">
        <v>57.77</v>
      </c>
      <c r="M128" s="3">
        <v>11.52</v>
      </c>
      <c r="N128" s="3" t="s">
        <v>8</v>
      </c>
      <c r="O128" s="3" t="s">
        <v>8</v>
      </c>
    </row>
    <row r="129" spans="1:15" x14ac:dyDescent="0.35">
      <c r="A129" s="5" t="str">
        <f>Loads[[#This Row],[Date]]&amp;Loads[[#This Row],[Product]]</f>
        <v>44200Product3</v>
      </c>
      <c r="B129" s="5">
        <f>COUNTIF($A$1:A129,Loads[[#This Row],[Load]])</f>
        <v>1</v>
      </c>
      <c r="C129" s="3" t="str">
        <f>Loads[[#This Row],[Load]]&amp;Loads[[#This Row],[Count]]</f>
        <v>44200Product31</v>
      </c>
      <c r="D129" s="90">
        <v>44200</v>
      </c>
      <c r="E129" s="143">
        <v>0.25625000000000003</v>
      </c>
      <c r="F129" s="1" t="s">
        <v>9</v>
      </c>
      <c r="G129" s="2" t="s">
        <v>14</v>
      </c>
      <c r="H129" s="2" t="s">
        <v>42</v>
      </c>
      <c r="I129" s="1" t="s">
        <v>11</v>
      </c>
      <c r="J129" s="1" t="s">
        <v>8</v>
      </c>
      <c r="K129" s="89">
        <v>9440</v>
      </c>
      <c r="L129" s="3">
        <v>57.65</v>
      </c>
      <c r="M129" s="3">
        <v>10.96</v>
      </c>
      <c r="N129" s="3" t="s">
        <v>8</v>
      </c>
      <c r="O129" s="3" t="s">
        <v>8</v>
      </c>
    </row>
    <row r="130" spans="1:15" x14ac:dyDescent="0.35">
      <c r="A130" s="5" t="str">
        <f>Loads[[#This Row],[Date]]&amp;Loads[[#This Row],[Product]]</f>
        <v>44200Product3</v>
      </c>
      <c r="B130" s="5">
        <f>COUNTIF($A$1:A130,Loads[[#This Row],[Load]])</f>
        <v>2</v>
      </c>
      <c r="C130" s="3" t="str">
        <f>Loads[[#This Row],[Load]]&amp;Loads[[#This Row],[Count]]</f>
        <v>44200Product32</v>
      </c>
      <c r="D130" s="90">
        <v>44200</v>
      </c>
      <c r="E130" s="143">
        <v>0.79999999999999993</v>
      </c>
      <c r="F130" s="1" t="s">
        <v>9</v>
      </c>
      <c r="G130" s="2" t="s">
        <v>14</v>
      </c>
      <c r="H130" s="2" t="s">
        <v>42</v>
      </c>
      <c r="I130" s="1" t="s">
        <v>11</v>
      </c>
      <c r="J130" s="1" t="s">
        <v>8</v>
      </c>
      <c r="K130" s="89">
        <v>13140</v>
      </c>
      <c r="L130" s="3">
        <v>55.72</v>
      </c>
      <c r="M130" s="3">
        <v>11.15</v>
      </c>
      <c r="N130" s="3" t="s">
        <v>8</v>
      </c>
      <c r="O130" s="3" t="s">
        <v>8</v>
      </c>
    </row>
    <row r="131" spans="1:15" x14ac:dyDescent="0.35">
      <c r="A131" s="5" t="str">
        <f>Loads[[#This Row],[Date]]&amp;Loads[[#This Row],[Product]]</f>
        <v>44200Product3</v>
      </c>
      <c r="B131" s="5">
        <f>COUNTIF($A$1:A131,Loads[[#This Row],[Load]])</f>
        <v>3</v>
      </c>
      <c r="C131" s="3" t="str">
        <f>Loads[[#This Row],[Load]]&amp;Loads[[#This Row],[Count]]</f>
        <v>44200Product33</v>
      </c>
      <c r="D131" s="90">
        <v>44200</v>
      </c>
      <c r="E131" s="143">
        <v>0.48333333333333334</v>
      </c>
      <c r="F131" s="1" t="s">
        <v>9</v>
      </c>
      <c r="G131" s="2" t="s">
        <v>14</v>
      </c>
      <c r="H131" s="2" t="s">
        <v>42</v>
      </c>
      <c r="I131" s="1" t="s">
        <v>11</v>
      </c>
      <c r="J131" s="1" t="s">
        <v>8</v>
      </c>
      <c r="K131" s="89">
        <v>10940</v>
      </c>
      <c r="L131" s="3">
        <v>56.35</v>
      </c>
      <c r="M131" s="3">
        <v>12.36</v>
      </c>
      <c r="N131" s="3" t="s">
        <v>8</v>
      </c>
      <c r="O131" s="3" t="s">
        <v>8</v>
      </c>
    </row>
    <row r="132" spans="1:15" x14ac:dyDescent="0.35">
      <c r="A132" s="5" t="str">
        <f>Loads[[#This Row],[Date]]&amp;Loads[[#This Row],[Product]]</f>
        <v>44201Product3</v>
      </c>
      <c r="B132" s="5">
        <f>COUNTIF($A$1:A132,Loads[[#This Row],[Load]])</f>
        <v>1</v>
      </c>
      <c r="C132" s="3" t="str">
        <f>Loads[[#This Row],[Load]]&amp;Loads[[#This Row],[Count]]</f>
        <v>44201Product31</v>
      </c>
      <c r="D132" s="90">
        <v>44201</v>
      </c>
      <c r="E132" s="143">
        <v>5.2083333333333336E-2</v>
      </c>
      <c r="F132" s="1" t="s">
        <v>9</v>
      </c>
      <c r="G132" s="2" t="s">
        <v>14</v>
      </c>
      <c r="H132" s="2" t="s">
        <v>42</v>
      </c>
      <c r="I132" s="1" t="s">
        <v>11</v>
      </c>
      <c r="J132" s="1" t="s">
        <v>8</v>
      </c>
      <c r="K132" s="89">
        <v>11940</v>
      </c>
      <c r="L132" s="3">
        <v>56.35</v>
      </c>
      <c r="M132" s="3">
        <v>12.36</v>
      </c>
      <c r="N132" s="3" t="s">
        <v>8</v>
      </c>
      <c r="O132" s="3" t="s">
        <v>8</v>
      </c>
    </row>
    <row r="133" spans="1:15" x14ac:dyDescent="0.35">
      <c r="A133" s="5" t="str">
        <f>Loads[[#This Row],[Date]]&amp;Loads[[#This Row],[Product]]</f>
        <v>44201Product3</v>
      </c>
      <c r="B133" s="5">
        <f>COUNTIF($A$1:A133,Loads[[#This Row],[Load]])</f>
        <v>2</v>
      </c>
      <c r="C133" s="3" t="str">
        <f>Loads[[#This Row],[Load]]&amp;Loads[[#This Row],[Count]]</f>
        <v>44201Product32</v>
      </c>
      <c r="D133" s="90">
        <v>44201</v>
      </c>
      <c r="E133" s="143">
        <v>3.472222222222222E-3</v>
      </c>
      <c r="F133" s="1" t="s">
        <v>9</v>
      </c>
      <c r="G133" s="2" t="s">
        <v>14</v>
      </c>
      <c r="H133" s="2" t="s">
        <v>42</v>
      </c>
      <c r="I133" s="1" t="s">
        <v>11</v>
      </c>
      <c r="J133" s="1" t="s">
        <v>8</v>
      </c>
      <c r="K133" s="89">
        <v>11340</v>
      </c>
      <c r="L133" s="3">
        <v>57.15</v>
      </c>
      <c r="M133" s="3">
        <v>11.57</v>
      </c>
      <c r="N133" s="3" t="s">
        <v>8</v>
      </c>
      <c r="O133" s="3" t="s">
        <v>8</v>
      </c>
    </row>
    <row r="134" spans="1:15" x14ac:dyDescent="0.35">
      <c r="A134" s="5" t="str">
        <f>Loads[[#This Row],[Date]]&amp;Loads[[#This Row],[Product]]</f>
        <v>44201Product3</v>
      </c>
      <c r="B134" s="5">
        <f>COUNTIF($A$1:A134,Loads[[#This Row],[Load]])</f>
        <v>3</v>
      </c>
      <c r="C134" s="3" t="str">
        <f>Loads[[#This Row],[Load]]&amp;Loads[[#This Row],[Count]]</f>
        <v>44201Product33</v>
      </c>
      <c r="D134" s="90">
        <v>44201</v>
      </c>
      <c r="E134" s="143">
        <v>2.6388888888888889E-2</v>
      </c>
      <c r="F134" s="1" t="s">
        <v>9</v>
      </c>
      <c r="G134" s="2" t="s">
        <v>14</v>
      </c>
      <c r="H134" s="2" t="s">
        <v>42</v>
      </c>
      <c r="I134" s="1" t="s">
        <v>11</v>
      </c>
      <c r="J134" s="1" t="s">
        <v>8</v>
      </c>
      <c r="K134" s="89">
        <v>12700</v>
      </c>
      <c r="L134" s="3">
        <v>55.6</v>
      </c>
      <c r="M134" s="3">
        <v>10.97</v>
      </c>
      <c r="N134" s="3" t="s">
        <v>8</v>
      </c>
      <c r="O134" s="3" t="s">
        <v>8</v>
      </c>
    </row>
    <row r="135" spans="1:15" x14ac:dyDescent="0.35">
      <c r="A135" s="5" t="str">
        <f>Loads[[#This Row],[Date]]&amp;Loads[[#This Row],[Product]]</f>
        <v>44201Product3</v>
      </c>
      <c r="B135" s="5">
        <f>COUNTIF($A$1:A135,Loads[[#This Row],[Load]])</f>
        <v>4</v>
      </c>
      <c r="C135" s="3" t="str">
        <f>Loads[[#This Row],[Load]]&amp;Loads[[#This Row],[Count]]</f>
        <v>44201Product34</v>
      </c>
      <c r="D135" s="90">
        <v>44201</v>
      </c>
      <c r="E135" s="143">
        <v>0.48749999999999999</v>
      </c>
      <c r="F135" s="1" t="s">
        <v>9</v>
      </c>
      <c r="G135" s="2" t="s">
        <v>14</v>
      </c>
      <c r="H135" s="2" t="s">
        <v>42</v>
      </c>
      <c r="I135" s="1" t="s">
        <v>11</v>
      </c>
      <c r="J135" s="1" t="s">
        <v>8</v>
      </c>
      <c r="K135" s="89">
        <v>11960</v>
      </c>
      <c r="L135" s="3">
        <v>55.72</v>
      </c>
      <c r="M135" s="3">
        <v>11.15</v>
      </c>
      <c r="N135" s="3" t="s">
        <v>8</v>
      </c>
      <c r="O135" s="3" t="s">
        <v>8</v>
      </c>
    </row>
    <row r="136" spans="1:15" x14ac:dyDescent="0.35">
      <c r="A136" s="5" t="str">
        <f>Loads[[#This Row],[Date]]&amp;Loads[[#This Row],[Product]]</f>
        <v>44202Product3</v>
      </c>
      <c r="B136" s="5">
        <f>COUNTIF($A$1:A136,Loads[[#This Row],[Load]])</f>
        <v>1</v>
      </c>
      <c r="C136" s="3" t="str">
        <f>Loads[[#This Row],[Load]]&amp;Loads[[#This Row],[Count]]</f>
        <v>44202Product31</v>
      </c>
      <c r="D136" s="90">
        <v>44202</v>
      </c>
      <c r="E136" s="143">
        <v>0.67083333333333339</v>
      </c>
      <c r="F136" s="1" t="s">
        <v>9</v>
      </c>
      <c r="G136" s="2" t="s">
        <v>14</v>
      </c>
      <c r="H136" s="2" t="s">
        <v>42</v>
      </c>
      <c r="I136" s="1" t="s">
        <v>11</v>
      </c>
      <c r="J136" s="1" t="s">
        <v>8</v>
      </c>
      <c r="K136" s="89">
        <v>11100</v>
      </c>
      <c r="L136" s="3">
        <v>56.46</v>
      </c>
      <c r="M136" s="3">
        <v>12.5</v>
      </c>
      <c r="N136" s="3" t="s">
        <v>8</v>
      </c>
      <c r="O136" s="3" t="s">
        <v>8</v>
      </c>
    </row>
    <row r="137" spans="1:15" x14ac:dyDescent="0.35">
      <c r="A137" s="5" t="str">
        <f>Loads[[#This Row],[Date]]&amp;Loads[[#This Row],[Product]]</f>
        <v>44205Product3</v>
      </c>
      <c r="B137" s="5">
        <f>COUNTIF($A$1:A137,Loads[[#This Row],[Load]])</f>
        <v>1</v>
      </c>
      <c r="C137" s="3" t="str">
        <f>Loads[[#This Row],[Load]]&amp;Loads[[#This Row],[Count]]</f>
        <v>44205Product31</v>
      </c>
      <c r="D137" s="90">
        <v>44205</v>
      </c>
      <c r="E137" s="143">
        <v>2.7083333333333334E-2</v>
      </c>
      <c r="F137" s="1" t="s">
        <v>9</v>
      </c>
      <c r="G137" s="2" t="s">
        <v>14</v>
      </c>
      <c r="H137" s="2" t="s">
        <v>42</v>
      </c>
      <c r="I137" s="1" t="s">
        <v>11</v>
      </c>
      <c r="J137" s="1" t="s">
        <v>8</v>
      </c>
      <c r="K137" s="89">
        <v>11540</v>
      </c>
      <c r="L137" s="3">
        <v>57.93</v>
      </c>
      <c r="M137" s="3">
        <v>12.82</v>
      </c>
      <c r="N137" s="3" t="s">
        <v>8</v>
      </c>
      <c r="O137" s="3" t="s">
        <v>8</v>
      </c>
    </row>
    <row r="138" spans="1:15" x14ac:dyDescent="0.35">
      <c r="A138" s="5" t="str">
        <f>Loads[[#This Row],[Date]]&amp;Loads[[#This Row],[Product]]</f>
        <v>44205Product3</v>
      </c>
      <c r="B138" s="5">
        <f>COUNTIF($A$1:A138,Loads[[#This Row],[Load]])</f>
        <v>2</v>
      </c>
      <c r="C138" s="3" t="str">
        <f>Loads[[#This Row],[Load]]&amp;Loads[[#This Row],[Count]]</f>
        <v>44205Product32</v>
      </c>
      <c r="D138" s="90">
        <v>44205</v>
      </c>
      <c r="E138" s="143">
        <v>0.52430555555555558</v>
      </c>
      <c r="F138" s="1" t="s">
        <v>9</v>
      </c>
      <c r="G138" s="2" t="s">
        <v>14</v>
      </c>
      <c r="H138" s="2" t="s">
        <v>42</v>
      </c>
      <c r="I138" s="1" t="s">
        <v>11</v>
      </c>
      <c r="J138" s="1" t="s">
        <v>8</v>
      </c>
      <c r="K138" s="89">
        <v>13260</v>
      </c>
      <c r="L138" s="3">
        <v>55.95</v>
      </c>
      <c r="M138" s="3">
        <v>12.75</v>
      </c>
      <c r="N138" s="3" t="s">
        <v>8</v>
      </c>
      <c r="O138" s="3" t="s">
        <v>8</v>
      </c>
    </row>
    <row r="139" spans="1:15" x14ac:dyDescent="0.35">
      <c r="A139" s="5" t="str">
        <f>Loads[[#This Row],[Date]]&amp;Loads[[#This Row],[Product]]</f>
        <v>44205Product3</v>
      </c>
      <c r="B139" s="5">
        <f>COUNTIF($A$1:A139,Loads[[#This Row],[Load]])</f>
        <v>3</v>
      </c>
      <c r="C139" s="3" t="str">
        <f>Loads[[#This Row],[Load]]&amp;Loads[[#This Row],[Count]]</f>
        <v>44205Product33</v>
      </c>
      <c r="D139" s="90">
        <v>44205</v>
      </c>
      <c r="E139" s="143">
        <v>0.16180555555555556</v>
      </c>
      <c r="F139" s="1" t="s">
        <v>9</v>
      </c>
      <c r="G139" s="2" t="s">
        <v>14</v>
      </c>
      <c r="H139" s="2" t="s">
        <v>42</v>
      </c>
      <c r="I139" s="1" t="s">
        <v>11</v>
      </c>
      <c r="J139" s="1" t="s">
        <v>8</v>
      </c>
      <c r="K139" s="89">
        <v>12580</v>
      </c>
      <c r="L139" s="3">
        <v>49.8</v>
      </c>
      <c r="M139" s="3">
        <v>15.48</v>
      </c>
      <c r="N139" s="3" t="s">
        <v>8</v>
      </c>
      <c r="O139" s="3" t="s">
        <v>8</v>
      </c>
    </row>
    <row r="140" spans="1:15" x14ac:dyDescent="0.35">
      <c r="A140" s="5" t="str">
        <f>Loads[[#This Row],[Date]]&amp;Loads[[#This Row],[Product]]</f>
        <v>44206Product3</v>
      </c>
      <c r="B140" s="5">
        <f>COUNTIF($A$1:A140,Loads[[#This Row],[Load]])</f>
        <v>1</v>
      </c>
      <c r="C140" s="3" t="str">
        <f>Loads[[#This Row],[Load]]&amp;Loads[[#This Row],[Count]]</f>
        <v>44206Product31</v>
      </c>
      <c r="D140" s="90">
        <v>44206</v>
      </c>
      <c r="E140" s="143">
        <v>0.26180555555555557</v>
      </c>
      <c r="F140" s="1" t="s">
        <v>9</v>
      </c>
      <c r="G140" s="2" t="s">
        <v>14</v>
      </c>
      <c r="H140" s="2" t="s">
        <v>42</v>
      </c>
      <c r="I140" s="1" t="s">
        <v>11</v>
      </c>
      <c r="J140" s="1" t="s">
        <v>8</v>
      </c>
      <c r="K140" s="89">
        <v>8940</v>
      </c>
      <c r="L140" s="3">
        <v>55.08</v>
      </c>
      <c r="M140" s="3">
        <v>4.47</v>
      </c>
      <c r="N140" s="3" t="s">
        <v>8</v>
      </c>
      <c r="O140" s="3" t="s">
        <v>8</v>
      </c>
    </row>
    <row r="141" spans="1:15" x14ac:dyDescent="0.35">
      <c r="A141" s="5" t="str">
        <f>Loads[[#This Row],[Date]]&amp;Loads[[#This Row],[Product]]</f>
        <v>44207Product3</v>
      </c>
      <c r="B141" s="5">
        <f>COUNTIF($A$1:A141,Loads[[#This Row],[Load]])</f>
        <v>1</v>
      </c>
      <c r="C141" s="3" t="str">
        <f>Loads[[#This Row],[Load]]&amp;Loads[[#This Row],[Count]]</f>
        <v>44207Product31</v>
      </c>
      <c r="D141" s="90">
        <v>44207</v>
      </c>
      <c r="E141" s="143">
        <v>8.7500000000000008E-2</v>
      </c>
      <c r="F141" s="1" t="s">
        <v>9</v>
      </c>
      <c r="G141" s="2" t="s">
        <v>14</v>
      </c>
      <c r="H141" s="2" t="s">
        <v>42</v>
      </c>
      <c r="I141" s="1" t="s">
        <v>11</v>
      </c>
      <c r="J141" s="1" t="s">
        <v>8</v>
      </c>
      <c r="K141" s="89">
        <v>11540</v>
      </c>
      <c r="L141" s="3">
        <v>61.81</v>
      </c>
      <c r="M141" s="3">
        <v>5.46</v>
      </c>
      <c r="N141" s="3" t="s">
        <v>8</v>
      </c>
      <c r="O141" s="3" t="s">
        <v>8</v>
      </c>
    </row>
    <row r="142" spans="1:15" x14ac:dyDescent="0.35">
      <c r="A142" s="5" t="str">
        <f>Loads[[#This Row],[Date]]&amp;Loads[[#This Row],[Product]]</f>
        <v>44207Product3</v>
      </c>
      <c r="B142" s="5">
        <f>COUNTIF($A$1:A142,Loads[[#This Row],[Load]])</f>
        <v>2</v>
      </c>
      <c r="C142" s="3" t="str">
        <f>Loads[[#This Row],[Load]]&amp;Loads[[#This Row],[Count]]</f>
        <v>44207Product32</v>
      </c>
      <c r="D142" s="90">
        <v>44207</v>
      </c>
      <c r="E142" s="143">
        <v>9.7916666666666666E-2</v>
      </c>
      <c r="F142" s="1" t="s">
        <v>9</v>
      </c>
      <c r="G142" s="2" t="s">
        <v>14</v>
      </c>
      <c r="H142" s="2" t="s">
        <v>42</v>
      </c>
      <c r="I142" s="1" t="s">
        <v>11</v>
      </c>
      <c r="J142" s="1" t="s">
        <v>8</v>
      </c>
      <c r="K142" s="89">
        <v>12800</v>
      </c>
      <c r="L142" s="3">
        <v>57</v>
      </c>
      <c r="M142" s="3">
        <v>11.11</v>
      </c>
      <c r="N142" s="3" t="s">
        <v>8</v>
      </c>
      <c r="O142" s="3" t="s">
        <v>8</v>
      </c>
    </row>
    <row r="143" spans="1:15" x14ac:dyDescent="0.35">
      <c r="A143" s="5" t="str">
        <f>Loads[[#This Row],[Date]]&amp;Loads[[#This Row],[Product]]</f>
        <v>44208Product3</v>
      </c>
      <c r="B143" s="5">
        <f>COUNTIF($A$1:A143,Loads[[#This Row],[Load]])</f>
        <v>1</v>
      </c>
      <c r="C143" s="3" t="str">
        <f>Loads[[#This Row],[Load]]&amp;Loads[[#This Row],[Count]]</f>
        <v>44208Product31</v>
      </c>
      <c r="D143" s="90">
        <v>44208</v>
      </c>
      <c r="E143" s="143">
        <v>0.21458333333333335</v>
      </c>
      <c r="F143" s="1" t="s">
        <v>9</v>
      </c>
      <c r="G143" s="2" t="s">
        <v>14</v>
      </c>
      <c r="H143" s="2" t="s">
        <v>42</v>
      </c>
      <c r="I143" s="1" t="s">
        <v>11</v>
      </c>
      <c r="J143" s="1" t="s">
        <v>8</v>
      </c>
      <c r="K143" s="89">
        <v>12200</v>
      </c>
      <c r="L143" s="3">
        <v>59.09</v>
      </c>
      <c r="M143" s="3">
        <v>11.13</v>
      </c>
      <c r="N143" s="3" t="s">
        <v>8</v>
      </c>
      <c r="O143" s="3" t="s">
        <v>8</v>
      </c>
    </row>
    <row r="144" spans="1:15" x14ac:dyDescent="0.35">
      <c r="A144" s="5" t="str">
        <f>Loads[[#This Row],[Date]]&amp;Loads[[#This Row],[Product]]</f>
        <v>44208Product3</v>
      </c>
      <c r="B144" s="5">
        <f>COUNTIF($A$1:A144,Loads[[#This Row],[Load]])</f>
        <v>2</v>
      </c>
      <c r="C144" s="3" t="str">
        <f>Loads[[#This Row],[Load]]&amp;Loads[[#This Row],[Count]]</f>
        <v>44208Product32</v>
      </c>
      <c r="D144" s="90">
        <v>44208</v>
      </c>
      <c r="E144" s="143">
        <v>0.21597222222222223</v>
      </c>
      <c r="F144" s="1" t="s">
        <v>9</v>
      </c>
      <c r="G144" s="2" t="s">
        <v>14</v>
      </c>
      <c r="H144" s="2" t="s">
        <v>42</v>
      </c>
      <c r="I144" s="1" t="s">
        <v>11</v>
      </c>
      <c r="J144" s="1" t="s">
        <v>8</v>
      </c>
      <c r="K144" s="89">
        <v>11400</v>
      </c>
      <c r="L144" s="3">
        <v>57</v>
      </c>
      <c r="M144" s="3">
        <v>10.84</v>
      </c>
      <c r="N144" s="3" t="s">
        <v>8</v>
      </c>
      <c r="O144" s="3" t="s">
        <v>8</v>
      </c>
    </row>
    <row r="145" spans="1:15" x14ac:dyDescent="0.35">
      <c r="A145" s="5" t="str">
        <f>Loads[[#This Row],[Date]]&amp;Loads[[#This Row],[Product]]</f>
        <v>44208Product3</v>
      </c>
      <c r="B145" s="5">
        <f>COUNTIF($A$1:A145,Loads[[#This Row],[Load]])</f>
        <v>3</v>
      </c>
      <c r="C145" s="3" t="str">
        <f>Loads[[#This Row],[Load]]&amp;Loads[[#This Row],[Count]]</f>
        <v>44208Product33</v>
      </c>
      <c r="D145" s="90">
        <v>44208</v>
      </c>
      <c r="E145" s="143">
        <v>0.2902777777777778</v>
      </c>
      <c r="F145" s="1" t="s">
        <v>9</v>
      </c>
      <c r="G145" s="2" t="s">
        <v>14</v>
      </c>
      <c r="H145" s="2" t="s">
        <v>42</v>
      </c>
      <c r="I145" s="1" t="s">
        <v>11</v>
      </c>
      <c r="J145" s="1" t="s">
        <v>8</v>
      </c>
      <c r="K145" s="89">
        <v>3140</v>
      </c>
      <c r="L145" s="3">
        <v>59.33</v>
      </c>
      <c r="M145" s="3">
        <v>10.220000000000001</v>
      </c>
      <c r="N145" s="3" t="s">
        <v>8</v>
      </c>
      <c r="O145" s="3" t="s">
        <v>8</v>
      </c>
    </row>
    <row r="146" spans="1:15" x14ac:dyDescent="0.35">
      <c r="A146" s="5" t="str">
        <f>Loads[[#This Row],[Date]]&amp;Loads[[#This Row],[Product]]</f>
        <v>44209Product3</v>
      </c>
      <c r="B146" s="5">
        <f>COUNTIF($A$1:A146,Loads[[#This Row],[Load]])</f>
        <v>1</v>
      </c>
      <c r="C146" s="3" t="str">
        <f>Loads[[#This Row],[Load]]&amp;Loads[[#This Row],[Count]]</f>
        <v>44209Product31</v>
      </c>
      <c r="D146" s="90">
        <v>44209</v>
      </c>
      <c r="E146" s="143">
        <v>6.6666666666666666E-2</v>
      </c>
      <c r="F146" s="1" t="s">
        <v>9</v>
      </c>
      <c r="G146" s="2" t="s">
        <v>14</v>
      </c>
      <c r="H146" s="2" t="s">
        <v>42</v>
      </c>
      <c r="I146" s="1" t="s">
        <v>11</v>
      </c>
      <c r="J146" s="1" t="s">
        <v>8</v>
      </c>
      <c r="K146" s="89">
        <v>8400</v>
      </c>
      <c r="L146" s="3">
        <v>57.02</v>
      </c>
      <c r="M146" s="3">
        <v>10.35</v>
      </c>
      <c r="N146" s="3" t="s">
        <v>8</v>
      </c>
      <c r="O146" s="3" t="s">
        <v>8</v>
      </c>
    </row>
    <row r="147" spans="1:15" x14ac:dyDescent="0.35">
      <c r="A147" s="5" t="str">
        <f>Loads[[#This Row],[Date]]&amp;Loads[[#This Row],[Product]]</f>
        <v>44209Product3</v>
      </c>
      <c r="B147" s="5">
        <f>COUNTIF($A$1:A147,Loads[[#This Row],[Load]])</f>
        <v>2</v>
      </c>
      <c r="C147" s="3" t="str">
        <f>Loads[[#This Row],[Load]]&amp;Loads[[#This Row],[Count]]</f>
        <v>44209Product32</v>
      </c>
      <c r="D147" s="90">
        <v>44209</v>
      </c>
      <c r="E147" s="143">
        <v>6.7361111111111108E-2</v>
      </c>
      <c r="F147" s="1" t="s">
        <v>9</v>
      </c>
      <c r="G147" s="2" t="s">
        <v>14</v>
      </c>
      <c r="H147" s="2" t="s">
        <v>42</v>
      </c>
      <c r="I147" s="1" t="s">
        <v>11</v>
      </c>
      <c r="J147" s="1" t="s">
        <v>8</v>
      </c>
      <c r="K147" s="89">
        <v>11720</v>
      </c>
      <c r="L147" s="3">
        <v>58.13</v>
      </c>
      <c r="M147" s="3">
        <v>11.26</v>
      </c>
      <c r="N147" s="3" t="s">
        <v>8</v>
      </c>
      <c r="O147" s="3" t="s">
        <v>8</v>
      </c>
    </row>
    <row r="148" spans="1:15" x14ac:dyDescent="0.35">
      <c r="A148" s="5" t="str">
        <f>Loads[[#This Row],[Date]]&amp;Loads[[#This Row],[Product]]</f>
        <v>44209Product3</v>
      </c>
      <c r="B148" s="5">
        <f>COUNTIF($A$1:A148,Loads[[#This Row],[Load]])</f>
        <v>3</v>
      </c>
      <c r="C148" s="3" t="str">
        <f>Loads[[#This Row],[Load]]&amp;Loads[[#This Row],[Count]]</f>
        <v>44209Product33</v>
      </c>
      <c r="D148" s="90">
        <v>44209</v>
      </c>
      <c r="E148" s="143">
        <v>7.013888888888889E-2</v>
      </c>
      <c r="F148" s="1" t="s">
        <v>9</v>
      </c>
      <c r="G148" s="2" t="s">
        <v>14</v>
      </c>
      <c r="H148" s="2" t="s">
        <v>42</v>
      </c>
      <c r="I148" s="1" t="s">
        <v>11</v>
      </c>
      <c r="J148" s="1" t="s">
        <v>8</v>
      </c>
      <c r="K148" s="89">
        <v>9980</v>
      </c>
      <c r="L148" s="3">
        <v>58.27</v>
      </c>
      <c r="M148" s="3">
        <v>11.14</v>
      </c>
      <c r="N148" s="3" t="s">
        <v>8</v>
      </c>
      <c r="O148" s="3" t="s">
        <v>8</v>
      </c>
    </row>
    <row r="149" spans="1:15" x14ac:dyDescent="0.35">
      <c r="A149" s="5" t="str">
        <f>Loads[[#This Row],[Date]]&amp;Loads[[#This Row],[Product]]</f>
        <v>44209Product3</v>
      </c>
      <c r="B149" s="5">
        <f>COUNTIF($A$1:A149,Loads[[#This Row],[Load]])</f>
        <v>4</v>
      </c>
      <c r="C149" s="3" t="str">
        <f>Loads[[#This Row],[Load]]&amp;Loads[[#This Row],[Count]]</f>
        <v>44209Product34</v>
      </c>
      <c r="D149" s="90">
        <v>44209</v>
      </c>
      <c r="E149" s="143">
        <v>7.0833333333333331E-2</v>
      </c>
      <c r="F149" s="1" t="s">
        <v>9</v>
      </c>
      <c r="G149" s="2" t="s">
        <v>14</v>
      </c>
      <c r="H149" s="2" t="s">
        <v>42</v>
      </c>
      <c r="I149" s="1" t="s">
        <v>11</v>
      </c>
      <c r="J149" s="1" t="s">
        <v>8</v>
      </c>
      <c r="K149" s="89">
        <v>9560</v>
      </c>
      <c r="L149" s="3">
        <v>56.42</v>
      </c>
      <c r="M149" s="3">
        <v>11.31</v>
      </c>
      <c r="N149" s="3" t="s">
        <v>8</v>
      </c>
      <c r="O149" s="3" t="s">
        <v>8</v>
      </c>
    </row>
    <row r="150" spans="1:15" x14ac:dyDescent="0.35">
      <c r="A150" s="5" t="str">
        <f>Loads[[#This Row],[Date]]&amp;Loads[[#This Row],[Product]]</f>
        <v>44209Product3</v>
      </c>
      <c r="B150" s="5">
        <f>COUNTIF($A$1:A150,Loads[[#This Row],[Load]])</f>
        <v>5</v>
      </c>
      <c r="C150" s="3" t="str">
        <f>Loads[[#This Row],[Load]]&amp;Loads[[#This Row],[Count]]</f>
        <v>44209Product35</v>
      </c>
      <c r="D150" s="90">
        <v>44209</v>
      </c>
      <c r="E150" s="143">
        <v>7.1527777777777787E-2</v>
      </c>
      <c r="F150" s="1" t="s">
        <v>9</v>
      </c>
      <c r="G150" s="2" t="s">
        <v>14</v>
      </c>
      <c r="H150" s="2" t="s">
        <v>42</v>
      </c>
      <c r="I150" s="1" t="s">
        <v>11</v>
      </c>
      <c r="J150" s="1" t="s">
        <v>8</v>
      </c>
      <c r="K150" s="89">
        <v>10840</v>
      </c>
      <c r="L150" s="3">
        <v>56.51</v>
      </c>
      <c r="M150" s="3">
        <v>10.06</v>
      </c>
      <c r="N150" s="3" t="s">
        <v>8</v>
      </c>
      <c r="O150" s="3" t="s">
        <v>8</v>
      </c>
    </row>
    <row r="151" spans="1:15" x14ac:dyDescent="0.35">
      <c r="A151" s="5" t="str">
        <f>Loads[[#This Row],[Date]]&amp;Loads[[#This Row],[Product]]</f>
        <v>44209Product3</v>
      </c>
      <c r="B151" s="5">
        <f>COUNTIF($A$1:A151,Loads[[#This Row],[Load]])</f>
        <v>6</v>
      </c>
      <c r="C151" s="3" t="str">
        <f>Loads[[#This Row],[Load]]&amp;Loads[[#This Row],[Count]]</f>
        <v>44209Product36</v>
      </c>
      <c r="D151" s="90">
        <v>44209</v>
      </c>
      <c r="E151" s="143">
        <v>7.4999999999999997E-2</v>
      </c>
      <c r="F151" s="1" t="s">
        <v>9</v>
      </c>
      <c r="G151" s="2" t="s">
        <v>14</v>
      </c>
      <c r="H151" s="2" t="s">
        <v>42</v>
      </c>
      <c r="I151" s="1" t="s">
        <v>11</v>
      </c>
      <c r="J151" s="1" t="s">
        <v>8</v>
      </c>
      <c r="K151" s="89">
        <v>11160</v>
      </c>
      <c r="L151" s="3">
        <v>60.39</v>
      </c>
      <c r="M151" s="3">
        <v>8.67</v>
      </c>
      <c r="N151" s="3" t="s">
        <v>8</v>
      </c>
      <c r="O151" s="3" t="s">
        <v>8</v>
      </c>
    </row>
    <row r="152" spans="1:15" x14ac:dyDescent="0.35">
      <c r="A152" s="5" t="str">
        <f>Loads[[#This Row],[Date]]&amp;Loads[[#This Row],[Product]]</f>
        <v>44209Product3</v>
      </c>
      <c r="B152" s="5">
        <f>COUNTIF($A$1:A152,Loads[[#This Row],[Load]])</f>
        <v>7</v>
      </c>
      <c r="C152" s="3" t="str">
        <f>Loads[[#This Row],[Load]]&amp;Loads[[#This Row],[Count]]</f>
        <v>44209Product37</v>
      </c>
      <c r="D152" s="90">
        <v>44209</v>
      </c>
      <c r="E152" s="143">
        <v>7.6388888888888895E-2</v>
      </c>
      <c r="F152" s="1" t="s">
        <v>9</v>
      </c>
      <c r="G152" s="2" t="s">
        <v>14</v>
      </c>
      <c r="H152" s="2" t="s">
        <v>42</v>
      </c>
      <c r="I152" s="1" t="s">
        <v>11</v>
      </c>
      <c r="J152" s="1" t="s">
        <v>8</v>
      </c>
      <c r="K152" s="89">
        <v>10980</v>
      </c>
      <c r="L152" s="3">
        <v>57.8</v>
      </c>
      <c r="M152" s="3">
        <v>9.1300000000000008</v>
      </c>
      <c r="N152" s="3" t="s">
        <v>8</v>
      </c>
      <c r="O152" s="3" t="s">
        <v>8</v>
      </c>
    </row>
    <row r="153" spans="1:15" x14ac:dyDescent="0.35">
      <c r="A153" s="5" t="str">
        <f>Loads[[#This Row],[Date]]&amp;Loads[[#This Row],[Product]]</f>
        <v>44210Product3</v>
      </c>
      <c r="B153" s="5">
        <f>COUNTIF($A$1:A153,Loads[[#This Row],[Load]])</f>
        <v>1</v>
      </c>
      <c r="C153" s="3" t="str">
        <f>Loads[[#This Row],[Load]]&amp;Loads[[#This Row],[Count]]</f>
        <v>44210Product31</v>
      </c>
      <c r="D153" s="90">
        <v>44210</v>
      </c>
      <c r="E153" s="143">
        <v>9.9999999999999992E-2</v>
      </c>
      <c r="F153" s="1" t="s">
        <v>9</v>
      </c>
      <c r="G153" s="2" t="s">
        <v>14</v>
      </c>
      <c r="H153" s="2" t="s">
        <v>42</v>
      </c>
      <c r="I153" s="1" t="s">
        <v>11</v>
      </c>
      <c r="J153" s="1" t="s">
        <v>8</v>
      </c>
      <c r="K153" s="89">
        <v>10740</v>
      </c>
      <c r="L153" s="3">
        <v>57.02</v>
      </c>
      <c r="M153" s="3">
        <v>10.35</v>
      </c>
      <c r="N153" s="3" t="s">
        <v>8</v>
      </c>
      <c r="O153" s="3" t="s">
        <v>8</v>
      </c>
    </row>
    <row r="154" spans="1:15" x14ac:dyDescent="0.35">
      <c r="A154" s="5" t="str">
        <f>Loads[[#This Row],[Date]]&amp;Loads[[#This Row],[Product]]</f>
        <v>44210Product3</v>
      </c>
      <c r="B154" s="5">
        <f>COUNTIF($A$1:A154,Loads[[#This Row],[Load]])</f>
        <v>2</v>
      </c>
      <c r="C154" s="3" t="str">
        <f>Loads[[#This Row],[Load]]&amp;Loads[[#This Row],[Count]]</f>
        <v>44210Product32</v>
      </c>
      <c r="D154" s="90">
        <v>44210</v>
      </c>
      <c r="E154" s="143">
        <v>0.1013888888888889</v>
      </c>
      <c r="F154" s="1" t="s">
        <v>9</v>
      </c>
      <c r="G154" s="2" t="s">
        <v>14</v>
      </c>
      <c r="H154" s="2" t="s">
        <v>42</v>
      </c>
      <c r="I154" s="1" t="s">
        <v>11</v>
      </c>
      <c r="J154" s="1" t="s">
        <v>8</v>
      </c>
      <c r="K154" s="89">
        <v>10100</v>
      </c>
      <c r="L154" s="3">
        <v>56.51</v>
      </c>
      <c r="M154" s="3">
        <v>10.029999999999999</v>
      </c>
      <c r="N154" s="3" t="s">
        <v>8</v>
      </c>
      <c r="O154" s="3" t="s">
        <v>8</v>
      </c>
    </row>
    <row r="155" spans="1:15" x14ac:dyDescent="0.35">
      <c r="A155" s="5" t="str">
        <f>Loads[[#This Row],[Date]]&amp;Loads[[#This Row],[Product]]</f>
        <v>44210Product3</v>
      </c>
      <c r="B155" s="5">
        <f>COUNTIF($A$1:A155,Loads[[#This Row],[Load]])</f>
        <v>3</v>
      </c>
      <c r="C155" s="3" t="str">
        <f>Loads[[#This Row],[Load]]&amp;Loads[[#This Row],[Count]]</f>
        <v>44210Product33</v>
      </c>
      <c r="D155" s="90">
        <v>44210</v>
      </c>
      <c r="E155" s="143">
        <v>0.10347222222222223</v>
      </c>
      <c r="F155" s="1" t="s">
        <v>9</v>
      </c>
      <c r="G155" s="2" t="s">
        <v>14</v>
      </c>
      <c r="H155" s="2" t="s">
        <v>42</v>
      </c>
      <c r="I155" s="1" t="s">
        <v>11</v>
      </c>
      <c r="J155" s="1" t="s">
        <v>8</v>
      </c>
      <c r="K155" s="89">
        <v>11580</v>
      </c>
      <c r="L155" s="3">
        <v>56.64</v>
      </c>
      <c r="M155" s="3">
        <v>11.06</v>
      </c>
      <c r="N155" s="3" t="s">
        <v>8</v>
      </c>
      <c r="O155" s="3" t="s">
        <v>8</v>
      </c>
    </row>
    <row r="156" spans="1:15" x14ac:dyDescent="0.35">
      <c r="A156" s="5" t="str">
        <f>Loads[[#This Row],[Date]]&amp;Loads[[#This Row],[Product]]</f>
        <v>44210Product3</v>
      </c>
      <c r="B156" s="5">
        <f>COUNTIF($A$1:A156,Loads[[#This Row],[Load]])</f>
        <v>4</v>
      </c>
      <c r="C156" s="3" t="str">
        <f>Loads[[#This Row],[Load]]&amp;Loads[[#This Row],[Count]]</f>
        <v>44210Product34</v>
      </c>
      <c r="D156" s="90">
        <v>44210</v>
      </c>
      <c r="E156" s="143">
        <v>0.10694444444444444</v>
      </c>
      <c r="F156" s="1" t="s">
        <v>9</v>
      </c>
      <c r="G156" s="2" t="s">
        <v>14</v>
      </c>
      <c r="H156" s="2" t="s">
        <v>42</v>
      </c>
      <c r="I156" s="1" t="s">
        <v>11</v>
      </c>
      <c r="J156" s="1" t="s">
        <v>8</v>
      </c>
      <c r="K156" s="89">
        <v>10740</v>
      </c>
      <c r="L156" s="3">
        <v>58.32</v>
      </c>
      <c r="M156" s="3">
        <v>10.74</v>
      </c>
      <c r="N156" s="3" t="s">
        <v>8</v>
      </c>
      <c r="O156" s="3" t="s">
        <v>8</v>
      </c>
    </row>
    <row r="157" spans="1:15" x14ac:dyDescent="0.35">
      <c r="A157" s="5" t="str">
        <f>Loads[[#This Row],[Date]]&amp;Loads[[#This Row],[Product]]</f>
        <v>44210Product3</v>
      </c>
      <c r="B157" s="5">
        <f>COUNTIF($A$1:A157,Loads[[#This Row],[Load]])</f>
        <v>5</v>
      </c>
      <c r="C157" s="3" t="str">
        <f>Loads[[#This Row],[Load]]&amp;Loads[[#This Row],[Count]]</f>
        <v>44210Product35</v>
      </c>
      <c r="D157" s="90">
        <v>44210</v>
      </c>
      <c r="E157" s="143">
        <v>0.1076388888888889</v>
      </c>
      <c r="F157" s="1" t="s">
        <v>9</v>
      </c>
      <c r="G157" s="2" t="s">
        <v>14</v>
      </c>
      <c r="H157" s="2" t="s">
        <v>42</v>
      </c>
      <c r="I157" s="1" t="s">
        <v>11</v>
      </c>
      <c r="J157" s="1" t="s">
        <v>8</v>
      </c>
      <c r="K157" s="89">
        <v>11920</v>
      </c>
      <c r="L157" s="3">
        <v>59.82</v>
      </c>
      <c r="M157" s="3">
        <v>9.3699999999999992</v>
      </c>
      <c r="N157" s="3" t="s">
        <v>8</v>
      </c>
      <c r="O157" s="3" t="s">
        <v>8</v>
      </c>
    </row>
    <row r="158" spans="1:15" x14ac:dyDescent="0.35">
      <c r="A158" s="5" t="str">
        <f>Loads[[#This Row],[Date]]&amp;Loads[[#This Row],[Product]]</f>
        <v>44210Product3</v>
      </c>
      <c r="B158" s="5">
        <f>COUNTIF($A$1:A158,Loads[[#This Row],[Load]])</f>
        <v>6</v>
      </c>
      <c r="C158" s="3" t="str">
        <f>Loads[[#This Row],[Load]]&amp;Loads[[#This Row],[Count]]</f>
        <v>44210Product36</v>
      </c>
      <c r="D158" s="90">
        <v>44210</v>
      </c>
      <c r="E158" s="143">
        <v>0.10972222222222222</v>
      </c>
      <c r="F158" s="1" t="s">
        <v>9</v>
      </c>
      <c r="G158" s="2" t="s">
        <v>14</v>
      </c>
      <c r="H158" s="2" t="s">
        <v>42</v>
      </c>
      <c r="I158" s="1" t="s">
        <v>11</v>
      </c>
      <c r="J158" s="1" t="s">
        <v>8</v>
      </c>
      <c r="K158" s="89">
        <v>11840</v>
      </c>
      <c r="L158" s="3">
        <v>59.69</v>
      </c>
      <c r="M158" s="3">
        <v>9.2899999999999991</v>
      </c>
      <c r="N158" s="3" t="s">
        <v>8</v>
      </c>
      <c r="O158" s="3" t="s">
        <v>8</v>
      </c>
    </row>
    <row r="159" spans="1:15" x14ac:dyDescent="0.35">
      <c r="A159" s="5" t="str">
        <f>Loads[[#This Row],[Date]]&amp;Loads[[#This Row],[Product]]</f>
        <v>44222Product3</v>
      </c>
      <c r="B159" s="5">
        <f>COUNTIF($A$1:A159,Loads[[#This Row],[Load]])</f>
        <v>1</v>
      </c>
      <c r="C159" s="3" t="str">
        <f>Loads[[#This Row],[Load]]&amp;Loads[[#This Row],[Count]]</f>
        <v>44222Product31</v>
      </c>
      <c r="D159" s="90">
        <v>44222</v>
      </c>
      <c r="E159" s="143">
        <v>0.1076388888888889</v>
      </c>
      <c r="F159" s="1" t="s">
        <v>9</v>
      </c>
      <c r="G159" s="2" t="s">
        <v>14</v>
      </c>
      <c r="H159" s="2" t="s">
        <v>42</v>
      </c>
      <c r="I159" s="1" t="s">
        <v>11</v>
      </c>
      <c r="J159" s="1" t="s">
        <v>8</v>
      </c>
      <c r="K159" s="89">
        <v>11180</v>
      </c>
      <c r="L159" s="3">
        <v>57.68</v>
      </c>
      <c r="M159" s="3">
        <v>11.98</v>
      </c>
      <c r="N159" s="3" t="s">
        <v>8</v>
      </c>
      <c r="O159" s="3" t="s">
        <v>8</v>
      </c>
    </row>
    <row r="160" spans="1:15" x14ac:dyDescent="0.35">
      <c r="A160" s="5" t="str">
        <f>Loads[[#This Row],[Date]]&amp;Loads[[#This Row],[Product]]</f>
        <v>44224Product3</v>
      </c>
      <c r="B160" s="5">
        <f>COUNTIF($A$1:A160,Loads[[#This Row],[Load]])</f>
        <v>1</v>
      </c>
      <c r="C160" s="3" t="str">
        <f>Loads[[#This Row],[Load]]&amp;Loads[[#This Row],[Count]]</f>
        <v>44224Product31</v>
      </c>
      <c r="D160" s="90">
        <v>44224</v>
      </c>
      <c r="E160" s="143">
        <v>0.9291666666666667</v>
      </c>
      <c r="F160" s="1" t="s">
        <v>9</v>
      </c>
      <c r="G160" s="2" t="s">
        <v>14</v>
      </c>
      <c r="H160" s="2" t="s">
        <v>42</v>
      </c>
      <c r="I160" s="1" t="s">
        <v>11</v>
      </c>
      <c r="J160" s="1" t="s">
        <v>8</v>
      </c>
      <c r="K160" s="89">
        <v>16700</v>
      </c>
      <c r="L160" s="3">
        <v>56.71</v>
      </c>
      <c r="M160" s="3">
        <v>10.07</v>
      </c>
      <c r="N160" s="3" t="s">
        <v>8</v>
      </c>
      <c r="O160" s="3" t="s">
        <v>8</v>
      </c>
    </row>
    <row r="161" spans="1:15" x14ac:dyDescent="0.35">
      <c r="A161" s="5" t="str">
        <f>Loads[[#This Row],[Date]]&amp;Loads[[#This Row],[Product]]</f>
        <v>44224Product3</v>
      </c>
      <c r="B161" s="5">
        <f>COUNTIF($A$1:A161,Loads[[#This Row],[Load]])</f>
        <v>2</v>
      </c>
      <c r="C161" s="3" t="str">
        <f>Loads[[#This Row],[Load]]&amp;Loads[[#This Row],[Count]]</f>
        <v>44224Product32</v>
      </c>
      <c r="D161" s="90">
        <v>44224</v>
      </c>
      <c r="E161" s="143">
        <v>0.68888888888888899</v>
      </c>
      <c r="F161" s="1" t="s">
        <v>9</v>
      </c>
      <c r="G161" s="2" t="s">
        <v>14</v>
      </c>
      <c r="H161" s="2" t="s">
        <v>42</v>
      </c>
      <c r="I161" s="1" t="s">
        <v>11</v>
      </c>
      <c r="J161" s="1" t="s">
        <v>8</v>
      </c>
      <c r="K161" s="89">
        <v>12160</v>
      </c>
      <c r="L161" s="3">
        <v>57.41</v>
      </c>
      <c r="M161" s="3">
        <v>11.37</v>
      </c>
      <c r="N161" s="3" t="s">
        <v>8</v>
      </c>
      <c r="O161" s="3" t="s">
        <v>8</v>
      </c>
    </row>
    <row r="162" spans="1:15" x14ac:dyDescent="0.35">
      <c r="A162" s="5" t="str">
        <f>Loads[[#This Row],[Date]]&amp;Loads[[#This Row],[Product]]</f>
        <v>44239Product3</v>
      </c>
      <c r="B162" s="5">
        <f>COUNTIF($A$1:A162,Loads[[#This Row],[Load]])</f>
        <v>1</v>
      </c>
      <c r="C162" s="3" t="str">
        <f>Loads[[#This Row],[Load]]&amp;Loads[[#This Row],[Count]]</f>
        <v>44239Product31</v>
      </c>
      <c r="D162" s="90">
        <v>44239</v>
      </c>
      <c r="E162" s="143">
        <v>5.2083333333333336E-2</v>
      </c>
      <c r="F162" s="1" t="s">
        <v>9</v>
      </c>
      <c r="G162" s="2" t="s">
        <v>14</v>
      </c>
      <c r="H162" s="2" t="s">
        <v>42</v>
      </c>
      <c r="I162" s="1" t="s">
        <v>11</v>
      </c>
      <c r="J162" s="1" t="s">
        <v>8</v>
      </c>
      <c r="K162" s="89">
        <v>12500</v>
      </c>
      <c r="L162" s="3">
        <v>58.11</v>
      </c>
      <c r="M162" s="3">
        <v>10.42</v>
      </c>
      <c r="N162" s="3" t="s">
        <v>8</v>
      </c>
      <c r="O162" s="3" t="s">
        <v>8</v>
      </c>
    </row>
    <row r="163" spans="1:15" x14ac:dyDescent="0.35">
      <c r="A163" s="5" t="str">
        <f>Loads[[#This Row],[Date]]&amp;Loads[[#This Row],[Product]]</f>
        <v>44239Product3</v>
      </c>
      <c r="B163" s="5">
        <f>COUNTIF($A$1:A163,Loads[[#This Row],[Load]])</f>
        <v>2</v>
      </c>
      <c r="C163" s="3" t="str">
        <f>Loads[[#This Row],[Load]]&amp;Loads[[#This Row],[Count]]</f>
        <v>44239Product32</v>
      </c>
      <c r="D163" s="90">
        <v>44239</v>
      </c>
      <c r="E163" s="143">
        <v>0.29444444444444445</v>
      </c>
      <c r="F163" s="1" t="s">
        <v>9</v>
      </c>
      <c r="G163" s="2" t="s">
        <v>14</v>
      </c>
      <c r="H163" s="2" t="s">
        <v>42</v>
      </c>
      <c r="I163" s="1" t="s">
        <v>11</v>
      </c>
      <c r="J163" s="1" t="s">
        <v>8</v>
      </c>
      <c r="K163" s="89">
        <v>10180</v>
      </c>
      <c r="L163" s="3">
        <v>58.71</v>
      </c>
      <c r="M163" s="3">
        <v>9.82</v>
      </c>
      <c r="N163" s="3" t="s">
        <v>8</v>
      </c>
      <c r="O163" s="3" t="s">
        <v>8</v>
      </c>
    </row>
    <row r="164" spans="1:15" x14ac:dyDescent="0.35">
      <c r="A164" s="5" t="str">
        <f>Loads[[#This Row],[Date]]&amp;Loads[[#This Row],[Product]]</f>
        <v>44239Product3</v>
      </c>
      <c r="B164" s="5">
        <f>COUNTIF($A$1:A164,Loads[[#This Row],[Load]])</f>
        <v>3</v>
      </c>
      <c r="C164" s="3" t="str">
        <f>Loads[[#This Row],[Load]]&amp;Loads[[#This Row],[Count]]</f>
        <v>44239Product33</v>
      </c>
      <c r="D164" s="90">
        <v>44239</v>
      </c>
      <c r="E164" s="143">
        <v>0.2951388888888889</v>
      </c>
      <c r="F164" s="1" t="s">
        <v>9</v>
      </c>
      <c r="G164" s="2" t="s">
        <v>14</v>
      </c>
      <c r="H164" s="2" t="s">
        <v>42</v>
      </c>
      <c r="I164" s="1" t="s">
        <v>11</v>
      </c>
      <c r="J164" s="1" t="s">
        <v>8</v>
      </c>
      <c r="K164" s="89">
        <v>12100</v>
      </c>
      <c r="L164" s="3">
        <v>56.45</v>
      </c>
      <c r="M164" s="3">
        <v>10.62</v>
      </c>
      <c r="N164" s="3" t="s">
        <v>8</v>
      </c>
      <c r="O164" s="3" t="s">
        <v>8</v>
      </c>
    </row>
    <row r="165" spans="1:15" x14ac:dyDescent="0.35">
      <c r="A165" s="5" t="str">
        <f>Loads[[#This Row],[Date]]&amp;Loads[[#This Row],[Product]]</f>
        <v>44239Product3</v>
      </c>
      <c r="B165" s="5">
        <f>COUNTIF($A$1:A165,Loads[[#This Row],[Load]])</f>
        <v>4</v>
      </c>
      <c r="C165" s="3" t="str">
        <f>Loads[[#This Row],[Load]]&amp;Loads[[#This Row],[Count]]</f>
        <v>44239Product34</v>
      </c>
      <c r="D165" s="90">
        <v>44239</v>
      </c>
      <c r="E165" s="143">
        <v>0.29583333333333334</v>
      </c>
      <c r="F165" s="1" t="s">
        <v>9</v>
      </c>
      <c r="G165" s="2" t="s">
        <v>14</v>
      </c>
      <c r="H165" s="2" t="s">
        <v>42</v>
      </c>
      <c r="I165" s="1" t="s">
        <v>11</v>
      </c>
      <c r="J165" s="1" t="s">
        <v>8</v>
      </c>
      <c r="K165" s="89">
        <v>12120</v>
      </c>
      <c r="L165" s="3">
        <v>58.71</v>
      </c>
      <c r="M165" s="3">
        <v>11.3</v>
      </c>
      <c r="N165" s="3" t="s">
        <v>8</v>
      </c>
      <c r="O165" s="3" t="s">
        <v>8</v>
      </c>
    </row>
    <row r="166" spans="1:15" x14ac:dyDescent="0.35">
      <c r="A166" s="5" t="str">
        <f>Loads[[#This Row],[Date]]&amp;Loads[[#This Row],[Product]]</f>
        <v>44240Product3</v>
      </c>
      <c r="B166" s="5">
        <f>COUNTIF($A$1:A166,Loads[[#This Row],[Load]])</f>
        <v>1</v>
      </c>
      <c r="C166" s="3" t="str">
        <f>Loads[[#This Row],[Load]]&amp;Loads[[#This Row],[Count]]</f>
        <v>44240Product31</v>
      </c>
      <c r="D166" s="90">
        <v>44240</v>
      </c>
      <c r="E166" s="143">
        <v>6.7361111111111108E-2</v>
      </c>
      <c r="F166" s="1" t="s">
        <v>9</v>
      </c>
      <c r="G166" s="2" t="s">
        <v>14</v>
      </c>
      <c r="H166" s="2" t="s">
        <v>42</v>
      </c>
      <c r="I166" s="1" t="s">
        <v>11</v>
      </c>
      <c r="J166" s="1" t="s">
        <v>8</v>
      </c>
      <c r="K166" s="89">
        <v>12660</v>
      </c>
      <c r="L166" s="3">
        <v>56.45</v>
      </c>
      <c r="M166" s="3">
        <v>11.95</v>
      </c>
      <c r="N166" s="3" t="s">
        <v>8</v>
      </c>
      <c r="O166" s="3" t="s">
        <v>8</v>
      </c>
    </row>
    <row r="167" spans="1:15" x14ac:dyDescent="0.35">
      <c r="A167" s="5" t="str">
        <f>Loads[[#This Row],[Date]]&amp;Loads[[#This Row],[Product]]</f>
        <v>44240Product3</v>
      </c>
      <c r="B167" s="5">
        <f>COUNTIF($A$1:A167,Loads[[#This Row],[Load]])</f>
        <v>2</v>
      </c>
      <c r="C167" s="3" t="str">
        <f>Loads[[#This Row],[Load]]&amp;Loads[[#This Row],[Count]]</f>
        <v>44240Product32</v>
      </c>
      <c r="D167" s="90">
        <v>44240</v>
      </c>
      <c r="E167" s="143">
        <v>7.013888888888889E-2</v>
      </c>
      <c r="F167" s="1" t="s">
        <v>9</v>
      </c>
      <c r="G167" s="2" t="s">
        <v>14</v>
      </c>
      <c r="H167" s="2" t="s">
        <v>42</v>
      </c>
      <c r="I167" s="1" t="s">
        <v>11</v>
      </c>
      <c r="J167" s="1" t="s">
        <v>8</v>
      </c>
      <c r="K167" s="89">
        <v>11960</v>
      </c>
      <c r="L167" s="3">
        <v>54.79</v>
      </c>
      <c r="M167" s="3">
        <v>11.98</v>
      </c>
      <c r="N167" s="3" t="s">
        <v>8</v>
      </c>
      <c r="O167" s="3" t="s">
        <v>8</v>
      </c>
    </row>
    <row r="168" spans="1:15" x14ac:dyDescent="0.35">
      <c r="A168" s="5" t="str">
        <f>Loads[[#This Row],[Date]]&amp;Loads[[#This Row],[Product]]</f>
        <v>44240Product3</v>
      </c>
      <c r="B168" s="5">
        <f>COUNTIF($A$1:A168,Loads[[#This Row],[Load]])</f>
        <v>3</v>
      </c>
      <c r="C168" s="3" t="str">
        <f>Loads[[#This Row],[Load]]&amp;Loads[[#This Row],[Count]]</f>
        <v>44240Product33</v>
      </c>
      <c r="D168" s="90">
        <v>44240</v>
      </c>
      <c r="E168" s="143">
        <v>7.1527777777777787E-2</v>
      </c>
      <c r="F168" s="1" t="s">
        <v>9</v>
      </c>
      <c r="G168" s="2" t="s">
        <v>14</v>
      </c>
      <c r="H168" s="2" t="s">
        <v>42</v>
      </c>
      <c r="I168" s="1" t="s">
        <v>11</v>
      </c>
      <c r="J168" s="1" t="s">
        <v>8</v>
      </c>
      <c r="K168" s="89">
        <v>10860</v>
      </c>
      <c r="L168" s="3">
        <v>56.65</v>
      </c>
      <c r="M168" s="3">
        <v>10.72</v>
      </c>
      <c r="N168" s="3" t="s">
        <v>8</v>
      </c>
      <c r="O168" s="3" t="s">
        <v>8</v>
      </c>
    </row>
    <row r="169" spans="1:15" x14ac:dyDescent="0.35">
      <c r="A169" s="5" t="str">
        <f>Loads[[#This Row],[Date]]&amp;Loads[[#This Row],[Product]]</f>
        <v>44197Product2</v>
      </c>
      <c r="B169" s="5">
        <f>COUNTIF($A$1:A169,Loads[[#This Row],[Load]])</f>
        <v>1</v>
      </c>
      <c r="C169" s="3" t="str">
        <f>Loads[[#This Row],[Load]]&amp;Loads[[#This Row],[Count]]</f>
        <v>44197Product21</v>
      </c>
      <c r="D169" s="90">
        <v>44197</v>
      </c>
      <c r="E169" s="143">
        <v>0.27638888888888885</v>
      </c>
      <c r="F169" s="1" t="s">
        <v>9</v>
      </c>
      <c r="G169" s="2" t="s">
        <v>13</v>
      </c>
      <c r="H169" s="2" t="s">
        <v>42</v>
      </c>
      <c r="I169" s="1" t="s">
        <v>11</v>
      </c>
      <c r="J169" s="1" t="s">
        <v>8</v>
      </c>
      <c r="K169" s="89">
        <v>12300</v>
      </c>
      <c r="L169" s="3">
        <v>62.44</v>
      </c>
      <c r="M169" s="3">
        <v>9.66</v>
      </c>
      <c r="N169" s="3" t="s">
        <v>8</v>
      </c>
      <c r="O169" s="3" t="s">
        <v>8</v>
      </c>
    </row>
    <row r="170" spans="1:15" x14ac:dyDescent="0.35">
      <c r="A170" s="5" t="str">
        <f>Loads[[#This Row],[Date]]&amp;Loads[[#This Row],[Product]]</f>
        <v>44197Product2</v>
      </c>
      <c r="B170" s="5">
        <f>COUNTIF($A$1:A170,Loads[[#This Row],[Load]])</f>
        <v>2</v>
      </c>
      <c r="C170" s="3" t="str">
        <f>Loads[[#This Row],[Load]]&amp;Loads[[#This Row],[Count]]</f>
        <v>44197Product22</v>
      </c>
      <c r="D170" s="90">
        <v>44197</v>
      </c>
      <c r="E170" s="143">
        <v>0.27708333333333335</v>
      </c>
      <c r="F170" s="1" t="s">
        <v>9</v>
      </c>
      <c r="G170" s="2" t="s">
        <v>13</v>
      </c>
      <c r="H170" s="2" t="s">
        <v>42</v>
      </c>
      <c r="I170" s="1" t="s">
        <v>11</v>
      </c>
      <c r="J170" s="1" t="s">
        <v>8</v>
      </c>
      <c r="K170" s="89">
        <v>12420</v>
      </c>
      <c r="L170" s="3">
        <v>60.62</v>
      </c>
      <c r="M170" s="3">
        <v>10.93</v>
      </c>
      <c r="N170" s="3" t="s">
        <v>8</v>
      </c>
      <c r="O170" s="3" t="s">
        <v>8</v>
      </c>
    </row>
    <row r="171" spans="1:15" x14ac:dyDescent="0.35">
      <c r="A171" s="5" t="str">
        <f>Loads[[#This Row],[Date]]&amp;Loads[[#This Row],[Product]]</f>
        <v>44197Product2</v>
      </c>
      <c r="B171" s="5">
        <f>COUNTIF($A$1:A171,Loads[[#This Row],[Load]])</f>
        <v>3</v>
      </c>
      <c r="C171" s="3" t="str">
        <f>Loads[[#This Row],[Load]]&amp;Loads[[#This Row],[Count]]</f>
        <v>44197Product23</v>
      </c>
      <c r="D171" s="90">
        <v>44197</v>
      </c>
      <c r="E171" s="143">
        <v>0.27708333333333335</v>
      </c>
      <c r="F171" s="1" t="s">
        <v>9</v>
      </c>
      <c r="G171" s="2" t="s">
        <v>13</v>
      </c>
      <c r="H171" s="2" t="s">
        <v>42</v>
      </c>
      <c r="I171" s="1" t="s">
        <v>11</v>
      </c>
      <c r="J171" s="1" t="s">
        <v>8</v>
      </c>
      <c r="K171" s="89">
        <v>11580</v>
      </c>
      <c r="L171" s="3">
        <v>62.23</v>
      </c>
      <c r="M171" s="3">
        <v>9.77</v>
      </c>
      <c r="N171" s="3" t="s">
        <v>8</v>
      </c>
      <c r="O171" s="3" t="s">
        <v>8</v>
      </c>
    </row>
    <row r="172" spans="1:15" x14ac:dyDescent="0.35">
      <c r="A172" s="5" t="str">
        <f>Loads[[#This Row],[Date]]&amp;Loads[[#This Row],[Product]]</f>
        <v>44197Product2</v>
      </c>
      <c r="B172" s="5">
        <f>COUNTIF($A$1:A172,Loads[[#This Row],[Load]])</f>
        <v>4</v>
      </c>
      <c r="C172" s="3" t="str">
        <f>Loads[[#This Row],[Load]]&amp;Loads[[#This Row],[Count]]</f>
        <v>44197Product24</v>
      </c>
      <c r="D172" s="90">
        <v>44197</v>
      </c>
      <c r="E172" s="143">
        <v>0.27847222222222223</v>
      </c>
      <c r="F172" s="1" t="s">
        <v>9</v>
      </c>
      <c r="G172" s="2" t="s">
        <v>13</v>
      </c>
      <c r="H172" s="2" t="s">
        <v>42</v>
      </c>
      <c r="I172" s="1" t="s">
        <v>11</v>
      </c>
      <c r="J172" s="1" t="s">
        <v>8</v>
      </c>
      <c r="K172" s="89">
        <v>11980</v>
      </c>
      <c r="L172" s="3">
        <v>60.26</v>
      </c>
      <c r="M172" s="3">
        <v>10.34</v>
      </c>
      <c r="N172" s="3" t="s">
        <v>8</v>
      </c>
      <c r="O172" s="3" t="s">
        <v>8</v>
      </c>
    </row>
    <row r="173" spans="1:15" x14ac:dyDescent="0.35">
      <c r="A173" s="5" t="str">
        <f>Loads[[#This Row],[Date]]&amp;Loads[[#This Row],[Product]]</f>
        <v>44197Product2</v>
      </c>
      <c r="B173" s="5">
        <f>COUNTIF($A$1:A173,Loads[[#This Row],[Load]])</f>
        <v>5</v>
      </c>
      <c r="C173" s="3" t="str">
        <f>Loads[[#This Row],[Load]]&amp;Loads[[#This Row],[Count]]</f>
        <v>44197Product25</v>
      </c>
      <c r="D173" s="90">
        <v>44197</v>
      </c>
      <c r="E173" s="143">
        <v>0.27847222222222223</v>
      </c>
      <c r="F173" s="1" t="s">
        <v>9</v>
      </c>
      <c r="G173" s="2" t="s">
        <v>13</v>
      </c>
      <c r="H173" s="2" t="s">
        <v>42</v>
      </c>
      <c r="I173" s="1" t="s">
        <v>11</v>
      </c>
      <c r="J173" s="1" t="s">
        <v>8</v>
      </c>
      <c r="K173" s="89">
        <v>11520</v>
      </c>
      <c r="L173" s="3">
        <v>62.29</v>
      </c>
      <c r="M173" s="3">
        <v>9.27</v>
      </c>
      <c r="N173" s="3" t="s">
        <v>8</v>
      </c>
      <c r="O173" s="3" t="s">
        <v>8</v>
      </c>
    </row>
    <row r="174" spans="1:15" x14ac:dyDescent="0.35">
      <c r="A174" s="5" t="str">
        <f>Loads[[#This Row],[Date]]&amp;Loads[[#This Row],[Product]]</f>
        <v>44197Product2</v>
      </c>
      <c r="B174" s="5">
        <f>COUNTIF($A$1:A174,Loads[[#This Row],[Load]])</f>
        <v>6</v>
      </c>
      <c r="C174" s="3" t="str">
        <f>Loads[[#This Row],[Load]]&amp;Loads[[#This Row],[Count]]</f>
        <v>44197Product26</v>
      </c>
      <c r="D174" s="90">
        <v>44197</v>
      </c>
      <c r="E174" s="143">
        <v>0.27916666666666667</v>
      </c>
      <c r="F174" s="1" t="s">
        <v>9</v>
      </c>
      <c r="G174" s="2" t="s">
        <v>13</v>
      </c>
      <c r="H174" s="2" t="s">
        <v>42</v>
      </c>
      <c r="I174" s="1" t="s">
        <v>11</v>
      </c>
      <c r="J174" s="1" t="s">
        <v>8</v>
      </c>
      <c r="K174" s="89">
        <v>11720</v>
      </c>
      <c r="L174" s="3">
        <v>62.18</v>
      </c>
      <c r="M174" s="3">
        <v>9.11</v>
      </c>
      <c r="N174" s="3" t="s">
        <v>8</v>
      </c>
      <c r="O174" s="3" t="s">
        <v>8</v>
      </c>
    </row>
    <row r="175" spans="1:15" x14ac:dyDescent="0.35">
      <c r="A175" s="5" t="str">
        <f>Loads[[#This Row],[Date]]&amp;Loads[[#This Row],[Product]]</f>
        <v>44197Product2</v>
      </c>
      <c r="B175" s="5">
        <f>COUNTIF($A$1:A175,Loads[[#This Row],[Load]])</f>
        <v>7</v>
      </c>
      <c r="C175" s="3" t="str">
        <f>Loads[[#This Row],[Load]]&amp;Loads[[#This Row],[Count]]</f>
        <v>44197Product27</v>
      </c>
      <c r="D175" s="90">
        <v>44197</v>
      </c>
      <c r="E175" s="143">
        <v>0.28055555555555556</v>
      </c>
      <c r="F175" s="1" t="s">
        <v>9</v>
      </c>
      <c r="G175" s="2" t="s">
        <v>13</v>
      </c>
      <c r="H175" s="2" t="s">
        <v>42</v>
      </c>
      <c r="I175" s="1" t="s">
        <v>11</v>
      </c>
      <c r="J175" s="1" t="s">
        <v>8</v>
      </c>
      <c r="K175" s="89">
        <v>11900</v>
      </c>
      <c r="L175" s="3">
        <v>61.06</v>
      </c>
      <c r="M175" s="3">
        <v>10.029999999999999</v>
      </c>
      <c r="N175" s="3" t="s">
        <v>8</v>
      </c>
      <c r="O175" s="3" t="s">
        <v>8</v>
      </c>
    </row>
    <row r="176" spans="1:15" x14ac:dyDescent="0.35">
      <c r="A176" s="5" t="str">
        <f>Loads[[#This Row],[Date]]&amp;Loads[[#This Row],[Product]]</f>
        <v>44197Product2</v>
      </c>
      <c r="B176" s="5">
        <f>COUNTIF($A$1:A176,Loads[[#This Row],[Load]])</f>
        <v>8</v>
      </c>
      <c r="C176" s="3" t="str">
        <f>Loads[[#This Row],[Load]]&amp;Loads[[#This Row],[Count]]</f>
        <v>44197Product28</v>
      </c>
      <c r="D176" s="90">
        <v>44197</v>
      </c>
      <c r="E176" s="143">
        <v>0.28125</v>
      </c>
      <c r="F176" s="1" t="s">
        <v>9</v>
      </c>
      <c r="G176" s="2" t="s">
        <v>13</v>
      </c>
      <c r="H176" s="2" t="s">
        <v>42</v>
      </c>
      <c r="I176" s="1" t="s">
        <v>11</v>
      </c>
      <c r="J176" s="1" t="s">
        <v>8</v>
      </c>
      <c r="K176" s="89">
        <v>12000</v>
      </c>
      <c r="L176" s="3">
        <v>64.489999999999995</v>
      </c>
      <c r="M176" s="3">
        <v>9</v>
      </c>
      <c r="N176" s="3" t="s">
        <v>8</v>
      </c>
      <c r="O176" s="3" t="s">
        <v>8</v>
      </c>
    </row>
    <row r="177" spans="1:15" x14ac:dyDescent="0.35">
      <c r="A177" s="5" t="str">
        <f>Loads[[#This Row],[Date]]&amp;Loads[[#This Row],[Product]]</f>
        <v>44197Product2</v>
      </c>
      <c r="B177" s="5">
        <f>COUNTIF($A$1:A177,Loads[[#This Row],[Load]])</f>
        <v>9</v>
      </c>
      <c r="C177" s="3" t="str">
        <f>Loads[[#This Row],[Load]]&amp;Loads[[#This Row],[Count]]</f>
        <v>44197Product29</v>
      </c>
      <c r="D177" s="90">
        <v>44197</v>
      </c>
      <c r="E177" s="143">
        <v>0.28125</v>
      </c>
      <c r="F177" s="1" t="s">
        <v>9</v>
      </c>
      <c r="G177" s="2" t="s">
        <v>13</v>
      </c>
      <c r="H177" s="2" t="s">
        <v>42</v>
      </c>
      <c r="I177" s="1" t="s">
        <v>11</v>
      </c>
      <c r="J177" s="1" t="s">
        <v>8</v>
      </c>
      <c r="K177" s="89">
        <v>9240</v>
      </c>
      <c r="L177" s="3">
        <v>60.26</v>
      </c>
      <c r="M177" s="3">
        <v>10.34</v>
      </c>
      <c r="N177" s="3" t="s">
        <v>8</v>
      </c>
      <c r="O177" s="3" t="s">
        <v>8</v>
      </c>
    </row>
    <row r="178" spans="1:15" x14ac:dyDescent="0.35">
      <c r="A178" s="5" t="str">
        <f>Loads[[#This Row],[Date]]&amp;Loads[[#This Row],[Product]]</f>
        <v>44197Product2</v>
      </c>
      <c r="B178" s="5">
        <f>COUNTIF($A$1:A178,Loads[[#This Row],[Load]])</f>
        <v>10</v>
      </c>
      <c r="C178" s="3" t="str">
        <f>Loads[[#This Row],[Load]]&amp;Loads[[#This Row],[Count]]</f>
        <v>44197Product210</v>
      </c>
      <c r="D178" s="90">
        <v>44197</v>
      </c>
      <c r="E178" s="143">
        <v>0.28263888888888888</v>
      </c>
      <c r="F178" s="1" t="s">
        <v>9</v>
      </c>
      <c r="G178" s="2" t="s">
        <v>13</v>
      </c>
      <c r="H178" s="2" t="s">
        <v>42</v>
      </c>
      <c r="I178" s="1" t="s">
        <v>11</v>
      </c>
      <c r="J178" s="1" t="s">
        <v>8</v>
      </c>
      <c r="K178" s="89">
        <v>10720</v>
      </c>
      <c r="L178" s="3">
        <v>59.57</v>
      </c>
      <c r="M178" s="3">
        <v>9.4700000000000006</v>
      </c>
      <c r="N178" s="3" t="s">
        <v>8</v>
      </c>
      <c r="O178" s="3" t="s">
        <v>8</v>
      </c>
    </row>
    <row r="179" spans="1:15" x14ac:dyDescent="0.35">
      <c r="A179" s="5" t="str">
        <f>Loads[[#This Row],[Date]]&amp;Loads[[#This Row],[Product]]</f>
        <v>44197Product2</v>
      </c>
      <c r="B179" s="5">
        <f>COUNTIF($A$1:A179,Loads[[#This Row],[Load]])</f>
        <v>11</v>
      </c>
      <c r="C179" s="3" t="str">
        <f>Loads[[#This Row],[Load]]&amp;Loads[[#This Row],[Count]]</f>
        <v>44197Product211</v>
      </c>
      <c r="D179" s="90">
        <v>44197</v>
      </c>
      <c r="E179" s="143">
        <v>0.28472222222222221</v>
      </c>
      <c r="F179" s="1" t="s">
        <v>9</v>
      </c>
      <c r="G179" s="2" t="s">
        <v>13</v>
      </c>
      <c r="H179" s="2" t="s">
        <v>42</v>
      </c>
      <c r="I179" s="1" t="s">
        <v>11</v>
      </c>
      <c r="J179" s="1" t="s">
        <v>8</v>
      </c>
      <c r="K179" s="89">
        <v>11980</v>
      </c>
      <c r="L179" s="3">
        <v>59.32</v>
      </c>
      <c r="M179" s="3">
        <v>9.4600000000000009</v>
      </c>
      <c r="N179" s="3" t="s">
        <v>8</v>
      </c>
      <c r="O179" s="3" t="s">
        <v>8</v>
      </c>
    </row>
    <row r="180" spans="1:15" x14ac:dyDescent="0.35">
      <c r="A180" s="5" t="str">
        <f>Loads[[#This Row],[Date]]&amp;Loads[[#This Row],[Product]]</f>
        <v>44197Product2</v>
      </c>
      <c r="B180" s="5">
        <f>COUNTIF($A$1:A180,Loads[[#This Row],[Load]])</f>
        <v>12</v>
      </c>
      <c r="C180" s="3" t="str">
        <f>Loads[[#This Row],[Load]]&amp;Loads[[#This Row],[Count]]</f>
        <v>44197Product212</v>
      </c>
      <c r="D180" s="90">
        <v>44197</v>
      </c>
      <c r="E180" s="143">
        <v>0.28541666666666665</v>
      </c>
      <c r="F180" s="1" t="s">
        <v>9</v>
      </c>
      <c r="G180" s="2" t="s">
        <v>13</v>
      </c>
      <c r="H180" s="2" t="s">
        <v>42</v>
      </c>
      <c r="I180" s="1" t="s">
        <v>11</v>
      </c>
      <c r="J180" s="1" t="s">
        <v>8</v>
      </c>
      <c r="K180" s="89">
        <v>11980</v>
      </c>
      <c r="L180" s="3">
        <v>58.66</v>
      </c>
      <c r="M180" s="3">
        <v>9.1199999999999992</v>
      </c>
      <c r="N180" s="3" t="s">
        <v>8</v>
      </c>
      <c r="O180" s="3" t="s">
        <v>8</v>
      </c>
    </row>
    <row r="181" spans="1:15" x14ac:dyDescent="0.35">
      <c r="A181" s="5" t="str">
        <f>Loads[[#This Row],[Date]]&amp;Loads[[#This Row],[Product]]</f>
        <v>44197Product2</v>
      </c>
      <c r="B181" s="5">
        <f>COUNTIF($A$1:A181,Loads[[#This Row],[Load]])</f>
        <v>13</v>
      </c>
      <c r="C181" s="3" t="str">
        <f>Loads[[#This Row],[Load]]&amp;Loads[[#This Row],[Count]]</f>
        <v>44197Product213</v>
      </c>
      <c r="D181" s="90">
        <v>44197</v>
      </c>
      <c r="E181" s="143">
        <v>0.28611111111111115</v>
      </c>
      <c r="F181" s="1" t="s">
        <v>9</v>
      </c>
      <c r="G181" s="2" t="s">
        <v>13</v>
      </c>
      <c r="H181" s="2" t="s">
        <v>42</v>
      </c>
      <c r="I181" s="1" t="s">
        <v>11</v>
      </c>
      <c r="J181" s="1" t="s">
        <v>8</v>
      </c>
      <c r="K181" s="89">
        <v>8900</v>
      </c>
      <c r="L181" s="3">
        <v>58.57</v>
      </c>
      <c r="M181" s="3">
        <v>9.35</v>
      </c>
      <c r="N181" s="3" t="s">
        <v>8</v>
      </c>
      <c r="O181" s="3" t="s">
        <v>8</v>
      </c>
    </row>
    <row r="182" spans="1:15" x14ac:dyDescent="0.35">
      <c r="A182" s="5" t="str">
        <f>Loads[[#This Row],[Date]]&amp;Loads[[#This Row],[Product]]</f>
        <v>44198Product2</v>
      </c>
      <c r="B182" s="5">
        <f>COUNTIF($A$1:A182,Loads[[#This Row],[Load]])</f>
        <v>1</v>
      </c>
      <c r="C182" s="3" t="str">
        <f>Loads[[#This Row],[Load]]&amp;Loads[[#This Row],[Count]]</f>
        <v>44198Product21</v>
      </c>
      <c r="D182" s="90">
        <v>44198</v>
      </c>
      <c r="E182" s="143">
        <v>0.25833333333333336</v>
      </c>
      <c r="F182" s="1" t="s">
        <v>9</v>
      </c>
      <c r="G182" s="2" t="s">
        <v>13</v>
      </c>
      <c r="H182" s="2" t="s">
        <v>42</v>
      </c>
      <c r="I182" s="1" t="s">
        <v>11</v>
      </c>
      <c r="J182" s="1" t="s">
        <v>8</v>
      </c>
      <c r="K182" s="89">
        <v>11940</v>
      </c>
      <c r="L182" s="3">
        <v>59.57</v>
      </c>
      <c r="M182" s="3">
        <v>8.4700000000000006</v>
      </c>
      <c r="N182" s="3" t="s">
        <v>8</v>
      </c>
      <c r="O182" s="3" t="s">
        <v>8</v>
      </c>
    </row>
    <row r="183" spans="1:15" x14ac:dyDescent="0.35">
      <c r="A183" s="5" t="str">
        <f>Loads[[#This Row],[Date]]&amp;Loads[[#This Row],[Product]]</f>
        <v>44198Product2</v>
      </c>
      <c r="B183" s="5">
        <f>COUNTIF($A$1:A183,Loads[[#This Row],[Load]])</f>
        <v>2</v>
      </c>
      <c r="C183" s="3" t="str">
        <f>Loads[[#This Row],[Load]]&amp;Loads[[#This Row],[Count]]</f>
        <v>44198Product22</v>
      </c>
      <c r="D183" s="90">
        <v>44198</v>
      </c>
      <c r="E183" s="143">
        <v>0.2590277777777778</v>
      </c>
      <c r="F183" s="1" t="s">
        <v>9</v>
      </c>
      <c r="G183" s="2" t="s">
        <v>13</v>
      </c>
      <c r="H183" s="2" t="s">
        <v>42</v>
      </c>
      <c r="I183" s="1" t="s">
        <v>11</v>
      </c>
      <c r="J183" s="1" t="s">
        <v>8</v>
      </c>
      <c r="K183" s="89">
        <v>11800</v>
      </c>
      <c r="L183" s="3">
        <v>58.57</v>
      </c>
      <c r="M183" s="3">
        <v>9.35</v>
      </c>
      <c r="N183" s="3" t="s">
        <v>8</v>
      </c>
      <c r="O183" s="3" t="s">
        <v>8</v>
      </c>
    </row>
    <row r="184" spans="1:15" x14ac:dyDescent="0.35">
      <c r="A184" s="5" t="str">
        <f>Loads[[#This Row],[Date]]&amp;Loads[[#This Row],[Product]]</f>
        <v>44198Product2</v>
      </c>
      <c r="B184" s="5">
        <f>COUNTIF($A$1:A184,Loads[[#This Row],[Load]])</f>
        <v>3</v>
      </c>
      <c r="C184" s="3" t="str">
        <f>Loads[[#This Row],[Load]]&amp;Loads[[#This Row],[Count]]</f>
        <v>44198Product23</v>
      </c>
      <c r="D184" s="90">
        <v>44198</v>
      </c>
      <c r="E184" s="143">
        <v>0.2590277777777778</v>
      </c>
      <c r="F184" s="1" t="s">
        <v>9</v>
      </c>
      <c r="G184" s="2" t="s">
        <v>13</v>
      </c>
      <c r="H184" s="2" t="s">
        <v>42</v>
      </c>
      <c r="I184" s="1" t="s">
        <v>11</v>
      </c>
      <c r="J184" s="1" t="s">
        <v>8</v>
      </c>
      <c r="K184" s="89">
        <v>12000</v>
      </c>
      <c r="L184" s="3">
        <v>58.66</v>
      </c>
      <c r="M184" s="3">
        <v>9.19</v>
      </c>
      <c r="N184" s="3" t="s">
        <v>8</v>
      </c>
      <c r="O184" s="3" t="s">
        <v>8</v>
      </c>
    </row>
    <row r="185" spans="1:15" x14ac:dyDescent="0.35">
      <c r="A185" s="5" t="str">
        <f>Loads[[#This Row],[Date]]&amp;Loads[[#This Row],[Product]]</f>
        <v>44198Product2</v>
      </c>
      <c r="B185" s="5">
        <f>COUNTIF($A$1:A185,Loads[[#This Row],[Load]])</f>
        <v>4</v>
      </c>
      <c r="C185" s="3" t="str">
        <f>Loads[[#This Row],[Load]]&amp;Loads[[#This Row],[Count]]</f>
        <v>44198Product24</v>
      </c>
      <c r="D185" s="90">
        <v>44198</v>
      </c>
      <c r="E185" s="143">
        <v>0.25972222222222224</v>
      </c>
      <c r="F185" s="1" t="s">
        <v>9</v>
      </c>
      <c r="G185" s="2" t="s">
        <v>13</v>
      </c>
      <c r="H185" s="2" t="s">
        <v>42</v>
      </c>
      <c r="I185" s="1" t="s">
        <v>11</v>
      </c>
      <c r="J185" s="1" t="s">
        <v>8</v>
      </c>
      <c r="K185" s="89">
        <v>10880</v>
      </c>
      <c r="L185" s="3">
        <v>59.36</v>
      </c>
      <c r="M185" s="3">
        <v>9.48</v>
      </c>
      <c r="N185" s="3" t="s">
        <v>8</v>
      </c>
      <c r="O185" s="3" t="s">
        <v>8</v>
      </c>
    </row>
    <row r="186" spans="1:15" x14ac:dyDescent="0.35">
      <c r="A186" s="5" t="str">
        <f>Loads[[#This Row],[Date]]&amp;Loads[[#This Row],[Product]]</f>
        <v>44198Product2</v>
      </c>
      <c r="B186" s="5">
        <f>COUNTIF($A$1:A186,Loads[[#This Row],[Load]])</f>
        <v>5</v>
      </c>
      <c r="C186" s="3" t="str">
        <f>Loads[[#This Row],[Load]]&amp;Loads[[#This Row],[Count]]</f>
        <v>44198Product25</v>
      </c>
      <c r="D186" s="90">
        <v>44198</v>
      </c>
      <c r="E186" s="143">
        <v>0.26041666666666669</v>
      </c>
      <c r="F186" s="1" t="s">
        <v>9</v>
      </c>
      <c r="G186" s="2" t="s">
        <v>13</v>
      </c>
      <c r="H186" s="2" t="s">
        <v>42</v>
      </c>
      <c r="I186" s="1" t="s">
        <v>11</v>
      </c>
      <c r="J186" s="1" t="s">
        <v>8</v>
      </c>
      <c r="K186" s="89">
        <v>11660</v>
      </c>
      <c r="L186" s="3">
        <v>61.56</v>
      </c>
      <c r="M186" s="3">
        <v>9.07</v>
      </c>
      <c r="N186" s="3" t="s">
        <v>8</v>
      </c>
      <c r="O186" s="3" t="s">
        <v>8</v>
      </c>
    </row>
    <row r="187" spans="1:15" x14ac:dyDescent="0.35">
      <c r="A187" s="5" t="str">
        <f>Loads[[#This Row],[Date]]&amp;Loads[[#This Row],[Product]]</f>
        <v>44198Product2</v>
      </c>
      <c r="B187" s="5">
        <f>COUNTIF($A$1:A187,Loads[[#This Row],[Load]])</f>
        <v>6</v>
      </c>
      <c r="C187" s="3" t="str">
        <f>Loads[[#This Row],[Load]]&amp;Loads[[#This Row],[Count]]</f>
        <v>44198Product26</v>
      </c>
      <c r="D187" s="90">
        <v>44198</v>
      </c>
      <c r="E187" s="143">
        <v>0.26111111111111113</v>
      </c>
      <c r="F187" s="1" t="s">
        <v>9</v>
      </c>
      <c r="G187" s="2" t="s">
        <v>13</v>
      </c>
      <c r="H187" s="2" t="s">
        <v>42</v>
      </c>
      <c r="I187" s="1" t="s">
        <v>11</v>
      </c>
      <c r="J187" s="1" t="s">
        <v>8</v>
      </c>
      <c r="K187" s="89">
        <v>10760</v>
      </c>
      <c r="L187" s="3">
        <v>61.41</v>
      </c>
      <c r="M187" s="3">
        <v>9.26</v>
      </c>
      <c r="N187" s="3" t="s">
        <v>8</v>
      </c>
      <c r="O187" s="3" t="s">
        <v>8</v>
      </c>
    </row>
    <row r="188" spans="1:15" x14ac:dyDescent="0.35">
      <c r="A188" s="5" t="str">
        <f>Loads[[#This Row],[Date]]&amp;Loads[[#This Row],[Product]]</f>
        <v>44198Product2</v>
      </c>
      <c r="B188" s="5">
        <f>COUNTIF($A$1:A188,Loads[[#This Row],[Load]])</f>
        <v>7</v>
      </c>
      <c r="C188" s="3" t="str">
        <f>Loads[[#This Row],[Load]]&amp;Loads[[#This Row],[Count]]</f>
        <v>44198Product27</v>
      </c>
      <c r="D188" s="90">
        <v>44198</v>
      </c>
      <c r="E188" s="143">
        <v>0.26111111111111113</v>
      </c>
      <c r="F188" s="1" t="s">
        <v>9</v>
      </c>
      <c r="G188" s="2" t="s">
        <v>13</v>
      </c>
      <c r="H188" s="2" t="s">
        <v>42</v>
      </c>
      <c r="I188" s="1" t="s">
        <v>11</v>
      </c>
      <c r="J188" s="1" t="s">
        <v>8</v>
      </c>
      <c r="K188" s="89">
        <v>11560</v>
      </c>
      <c r="L188" s="3">
        <v>59.56</v>
      </c>
      <c r="M188" s="3">
        <v>9.51</v>
      </c>
      <c r="N188" s="3" t="s">
        <v>8</v>
      </c>
      <c r="O188" s="3" t="s">
        <v>8</v>
      </c>
    </row>
    <row r="189" spans="1:15" x14ac:dyDescent="0.35">
      <c r="A189" s="5" t="str">
        <f>Loads[[#This Row],[Date]]&amp;Loads[[#This Row],[Product]]</f>
        <v>44198Product2</v>
      </c>
      <c r="B189" s="5">
        <f>COUNTIF($A$1:A189,Loads[[#This Row],[Load]])</f>
        <v>8</v>
      </c>
      <c r="C189" s="3" t="str">
        <f>Loads[[#This Row],[Load]]&amp;Loads[[#This Row],[Count]]</f>
        <v>44198Product28</v>
      </c>
      <c r="D189" s="90">
        <v>44198</v>
      </c>
      <c r="E189" s="143">
        <v>0.26180555555555557</v>
      </c>
      <c r="F189" s="1" t="s">
        <v>9</v>
      </c>
      <c r="G189" s="2" t="s">
        <v>13</v>
      </c>
      <c r="H189" s="2" t="s">
        <v>42</v>
      </c>
      <c r="I189" s="1" t="s">
        <v>11</v>
      </c>
      <c r="J189" s="1" t="s">
        <v>8</v>
      </c>
      <c r="K189" s="89">
        <v>9100</v>
      </c>
      <c r="L189" s="3">
        <v>61.62</v>
      </c>
      <c r="M189" s="3">
        <v>9.43</v>
      </c>
      <c r="N189" s="3" t="s">
        <v>8</v>
      </c>
      <c r="O189" s="3" t="s">
        <v>8</v>
      </c>
    </row>
    <row r="190" spans="1:15" x14ac:dyDescent="0.35">
      <c r="A190" s="5" t="str">
        <f>Loads[[#This Row],[Date]]&amp;Loads[[#This Row],[Product]]</f>
        <v>44198Product2</v>
      </c>
      <c r="B190" s="5">
        <f>COUNTIF($A$1:A190,Loads[[#This Row],[Load]])</f>
        <v>9</v>
      </c>
      <c r="C190" s="3" t="str">
        <f>Loads[[#This Row],[Load]]&amp;Loads[[#This Row],[Count]]</f>
        <v>44198Product29</v>
      </c>
      <c r="D190" s="90">
        <v>44198</v>
      </c>
      <c r="E190" s="143">
        <v>0.26250000000000001</v>
      </c>
      <c r="F190" s="1" t="s">
        <v>9</v>
      </c>
      <c r="G190" s="2" t="s">
        <v>13</v>
      </c>
      <c r="H190" s="2" t="s">
        <v>42</v>
      </c>
      <c r="I190" s="1" t="s">
        <v>11</v>
      </c>
      <c r="J190" s="1" t="s">
        <v>8</v>
      </c>
      <c r="K190" s="89">
        <v>11080</v>
      </c>
      <c r="L190" s="3">
        <v>61.27</v>
      </c>
      <c r="M190" s="3">
        <v>8.75</v>
      </c>
      <c r="N190" s="3" t="s">
        <v>8</v>
      </c>
      <c r="O190" s="3" t="s">
        <v>8</v>
      </c>
    </row>
    <row r="191" spans="1:15" x14ac:dyDescent="0.35">
      <c r="A191" s="5" t="str">
        <f>Loads[[#This Row],[Date]]&amp;Loads[[#This Row],[Product]]</f>
        <v>44198Product2</v>
      </c>
      <c r="B191" s="5">
        <f>COUNTIF($A$1:A191,Loads[[#This Row],[Load]])</f>
        <v>10</v>
      </c>
      <c r="C191" s="3" t="str">
        <f>Loads[[#This Row],[Load]]&amp;Loads[[#This Row],[Count]]</f>
        <v>44198Product210</v>
      </c>
      <c r="D191" s="90">
        <v>44198</v>
      </c>
      <c r="E191" s="143">
        <v>0.26250000000000001</v>
      </c>
      <c r="F191" s="1" t="s">
        <v>9</v>
      </c>
      <c r="G191" s="2" t="s">
        <v>13</v>
      </c>
      <c r="H191" s="2" t="s">
        <v>42</v>
      </c>
      <c r="I191" s="1" t="s">
        <v>11</v>
      </c>
      <c r="J191" s="1" t="s">
        <v>8</v>
      </c>
      <c r="K191" s="89">
        <v>10160</v>
      </c>
      <c r="L191" s="3">
        <v>61.43</v>
      </c>
      <c r="M191" s="3">
        <v>8.35</v>
      </c>
      <c r="N191" s="3" t="s">
        <v>8</v>
      </c>
      <c r="O191" s="3" t="s">
        <v>8</v>
      </c>
    </row>
    <row r="192" spans="1:15" x14ac:dyDescent="0.35">
      <c r="A192" s="5" t="str">
        <f>Loads[[#This Row],[Date]]&amp;Loads[[#This Row],[Product]]</f>
        <v>44198Product2</v>
      </c>
      <c r="B192" s="5">
        <f>COUNTIF($A$1:A192,Loads[[#This Row],[Load]])</f>
        <v>11</v>
      </c>
      <c r="C192" s="3" t="str">
        <f>Loads[[#This Row],[Load]]&amp;Loads[[#This Row],[Count]]</f>
        <v>44198Product211</v>
      </c>
      <c r="D192" s="90">
        <v>44198</v>
      </c>
      <c r="E192" s="143">
        <v>0.26319444444444445</v>
      </c>
      <c r="F192" s="1" t="s">
        <v>9</v>
      </c>
      <c r="G192" s="2" t="s">
        <v>13</v>
      </c>
      <c r="H192" s="2" t="s">
        <v>42</v>
      </c>
      <c r="I192" s="1" t="s">
        <v>11</v>
      </c>
      <c r="J192" s="1" t="s">
        <v>8</v>
      </c>
      <c r="K192" s="89">
        <v>11020</v>
      </c>
      <c r="L192" s="3">
        <v>59.72</v>
      </c>
      <c r="M192" s="3">
        <v>9.41</v>
      </c>
      <c r="N192" s="3" t="s">
        <v>8</v>
      </c>
      <c r="O192" s="3" t="s">
        <v>8</v>
      </c>
    </row>
    <row r="193" spans="1:15" x14ac:dyDescent="0.35">
      <c r="A193" s="5" t="str">
        <f>Loads[[#This Row],[Date]]&amp;Loads[[#This Row],[Product]]</f>
        <v>44198Product2</v>
      </c>
      <c r="B193" s="5">
        <f>COUNTIF($A$1:A193,Loads[[#This Row],[Load]])</f>
        <v>12</v>
      </c>
      <c r="C193" s="3" t="str">
        <f>Loads[[#This Row],[Load]]&amp;Loads[[#This Row],[Count]]</f>
        <v>44198Product212</v>
      </c>
      <c r="D193" s="90">
        <v>44198</v>
      </c>
      <c r="E193" s="143">
        <v>0.26319444444444445</v>
      </c>
      <c r="F193" s="1" t="s">
        <v>9</v>
      </c>
      <c r="G193" s="2" t="s">
        <v>13</v>
      </c>
      <c r="H193" s="2" t="s">
        <v>42</v>
      </c>
      <c r="I193" s="1" t="s">
        <v>11</v>
      </c>
      <c r="J193" s="1" t="s">
        <v>8</v>
      </c>
      <c r="K193" s="89">
        <v>11940</v>
      </c>
      <c r="L193" s="3">
        <v>61.59</v>
      </c>
      <c r="M193" s="3">
        <v>8.35</v>
      </c>
      <c r="N193" s="3" t="s">
        <v>8</v>
      </c>
      <c r="O193" s="3" t="s">
        <v>8</v>
      </c>
    </row>
    <row r="194" spans="1:15" x14ac:dyDescent="0.35">
      <c r="A194" s="5" t="str">
        <f>Loads[[#This Row],[Date]]&amp;Loads[[#This Row],[Product]]</f>
        <v>44199Product2</v>
      </c>
      <c r="B194" s="5">
        <f>COUNTIF($A$1:A194,Loads[[#This Row],[Load]])</f>
        <v>1</v>
      </c>
      <c r="C194" s="3" t="str">
        <f>Loads[[#This Row],[Load]]&amp;Loads[[#This Row],[Count]]</f>
        <v>44199Product21</v>
      </c>
      <c r="D194" s="90">
        <v>44199</v>
      </c>
      <c r="E194" s="143">
        <v>9.7916666666666666E-2</v>
      </c>
      <c r="F194" s="1" t="s">
        <v>9</v>
      </c>
      <c r="G194" s="2" t="s">
        <v>13</v>
      </c>
      <c r="H194" s="2" t="s">
        <v>42</v>
      </c>
      <c r="I194" s="1" t="s">
        <v>11</v>
      </c>
      <c r="J194" s="1" t="s">
        <v>8</v>
      </c>
      <c r="K194" s="89">
        <v>10960</v>
      </c>
      <c r="L194" s="3">
        <v>57.77</v>
      </c>
      <c r="M194" s="3">
        <v>11.52</v>
      </c>
      <c r="N194" s="3" t="s">
        <v>8</v>
      </c>
      <c r="O194" s="3" t="s">
        <v>8</v>
      </c>
    </row>
    <row r="195" spans="1:15" x14ac:dyDescent="0.35">
      <c r="A195" s="5" t="str">
        <f>Loads[[#This Row],[Date]]&amp;Loads[[#This Row],[Product]]</f>
        <v>44199Product2</v>
      </c>
      <c r="B195" s="5">
        <f>COUNTIF($A$1:A195,Loads[[#This Row],[Load]])</f>
        <v>2</v>
      </c>
      <c r="C195" s="3" t="str">
        <f>Loads[[#This Row],[Load]]&amp;Loads[[#This Row],[Count]]</f>
        <v>44199Product22</v>
      </c>
      <c r="D195" s="90">
        <v>44199</v>
      </c>
      <c r="E195" s="143">
        <v>9.8611111111111108E-2</v>
      </c>
      <c r="F195" s="1" t="s">
        <v>9</v>
      </c>
      <c r="G195" s="2" t="s">
        <v>13</v>
      </c>
      <c r="H195" s="2" t="s">
        <v>42</v>
      </c>
      <c r="I195" s="1" t="s">
        <v>11</v>
      </c>
      <c r="J195" s="1" t="s">
        <v>8</v>
      </c>
      <c r="K195" s="89">
        <v>12120</v>
      </c>
      <c r="L195" s="3">
        <v>61.27</v>
      </c>
      <c r="M195" s="3">
        <v>8.75</v>
      </c>
      <c r="N195" s="3" t="s">
        <v>8</v>
      </c>
      <c r="O195" s="3" t="s">
        <v>8</v>
      </c>
    </row>
    <row r="196" spans="1:15" x14ac:dyDescent="0.35">
      <c r="A196" s="5" t="str">
        <f>Loads[[#This Row],[Date]]&amp;Loads[[#This Row],[Product]]</f>
        <v>44199Product2</v>
      </c>
      <c r="B196" s="5">
        <f>COUNTIF($A$1:A196,Loads[[#This Row],[Load]])</f>
        <v>3</v>
      </c>
      <c r="C196" s="3" t="str">
        <f>Loads[[#This Row],[Load]]&amp;Loads[[#This Row],[Count]]</f>
        <v>44199Product23</v>
      </c>
      <c r="D196" s="90">
        <v>44199</v>
      </c>
      <c r="E196" s="143">
        <v>9.930555555555555E-2</v>
      </c>
      <c r="F196" s="1" t="s">
        <v>9</v>
      </c>
      <c r="G196" s="2" t="s">
        <v>13</v>
      </c>
      <c r="H196" s="2" t="s">
        <v>42</v>
      </c>
      <c r="I196" s="1" t="s">
        <v>11</v>
      </c>
      <c r="J196" s="1" t="s">
        <v>8</v>
      </c>
      <c r="K196" s="89">
        <v>10860</v>
      </c>
      <c r="L196" s="3">
        <v>61.43</v>
      </c>
      <c r="M196" s="3">
        <v>8.35</v>
      </c>
      <c r="N196" s="3" t="s">
        <v>8</v>
      </c>
      <c r="O196" s="3" t="s">
        <v>8</v>
      </c>
    </row>
    <row r="197" spans="1:15" x14ac:dyDescent="0.35">
      <c r="A197" s="5" t="str">
        <f>Loads[[#This Row],[Date]]&amp;Loads[[#This Row],[Product]]</f>
        <v>44199Product2</v>
      </c>
      <c r="B197" s="5">
        <f>COUNTIF($A$1:A197,Loads[[#This Row],[Load]])</f>
        <v>4</v>
      </c>
      <c r="C197" s="3" t="str">
        <f>Loads[[#This Row],[Load]]&amp;Loads[[#This Row],[Count]]</f>
        <v>44199Product24</v>
      </c>
      <c r="D197" s="90">
        <v>44199</v>
      </c>
      <c r="E197" s="143">
        <v>9.930555555555555E-2</v>
      </c>
      <c r="F197" s="1" t="s">
        <v>9</v>
      </c>
      <c r="G197" s="2" t="s">
        <v>13</v>
      </c>
      <c r="H197" s="2" t="s">
        <v>42</v>
      </c>
      <c r="I197" s="1" t="s">
        <v>11</v>
      </c>
      <c r="J197" s="1" t="s">
        <v>8</v>
      </c>
      <c r="K197" s="89">
        <v>12380</v>
      </c>
      <c r="L197" s="3">
        <v>61.59</v>
      </c>
      <c r="M197" s="3">
        <v>8.35</v>
      </c>
      <c r="N197" s="3" t="s">
        <v>8</v>
      </c>
      <c r="O197" s="3" t="s">
        <v>8</v>
      </c>
    </row>
    <row r="198" spans="1:15" x14ac:dyDescent="0.35">
      <c r="A198" s="5" t="str">
        <f>Loads[[#This Row],[Date]]&amp;Loads[[#This Row],[Product]]</f>
        <v>44199Product2</v>
      </c>
      <c r="B198" s="5">
        <f>COUNTIF($A$1:A198,Loads[[#This Row],[Load]])</f>
        <v>5</v>
      </c>
      <c r="C198" s="3" t="str">
        <f>Loads[[#This Row],[Load]]&amp;Loads[[#This Row],[Count]]</f>
        <v>44199Product25</v>
      </c>
      <c r="D198" s="90">
        <v>44199</v>
      </c>
      <c r="E198" s="143">
        <v>9.9999999999999992E-2</v>
      </c>
      <c r="F198" s="1" t="s">
        <v>9</v>
      </c>
      <c r="G198" s="2" t="s">
        <v>13</v>
      </c>
      <c r="H198" s="2" t="s">
        <v>42</v>
      </c>
      <c r="I198" s="1" t="s">
        <v>11</v>
      </c>
      <c r="J198" s="1" t="s">
        <v>8</v>
      </c>
      <c r="K198" s="89">
        <v>8040</v>
      </c>
      <c r="L198" s="3">
        <v>62.02</v>
      </c>
      <c r="M198" s="3">
        <v>9.5</v>
      </c>
      <c r="N198" s="3" t="s">
        <v>8</v>
      </c>
      <c r="O198" s="3" t="s">
        <v>8</v>
      </c>
    </row>
    <row r="199" spans="1:15" x14ac:dyDescent="0.35">
      <c r="A199" s="5" t="str">
        <f>Loads[[#This Row],[Date]]&amp;Loads[[#This Row],[Product]]</f>
        <v>44199Product2</v>
      </c>
      <c r="B199" s="5">
        <f>COUNTIF($A$1:A199,Loads[[#This Row],[Load]])</f>
        <v>6</v>
      </c>
      <c r="C199" s="3" t="str">
        <f>Loads[[#This Row],[Load]]&amp;Loads[[#This Row],[Count]]</f>
        <v>44199Product26</v>
      </c>
      <c r="D199" s="90">
        <v>44199</v>
      </c>
      <c r="E199" s="143">
        <v>9.9999999999999992E-2</v>
      </c>
      <c r="F199" s="1" t="s">
        <v>9</v>
      </c>
      <c r="G199" s="2" t="s">
        <v>13</v>
      </c>
      <c r="H199" s="2" t="s">
        <v>42</v>
      </c>
      <c r="I199" s="1" t="s">
        <v>11</v>
      </c>
      <c r="J199" s="1" t="s">
        <v>8</v>
      </c>
      <c r="K199" s="89">
        <v>9660</v>
      </c>
      <c r="L199" s="3">
        <v>63.58</v>
      </c>
      <c r="M199" s="3">
        <v>9.7899999999999991</v>
      </c>
      <c r="N199" s="3" t="s">
        <v>8</v>
      </c>
      <c r="O199" s="3" t="s">
        <v>8</v>
      </c>
    </row>
    <row r="200" spans="1:15" x14ac:dyDescent="0.35">
      <c r="A200" s="5" t="str">
        <f>Loads[[#This Row],[Date]]&amp;Loads[[#This Row],[Product]]</f>
        <v>44199Product2</v>
      </c>
      <c r="B200" s="5">
        <f>COUNTIF($A$1:A200,Loads[[#This Row],[Load]])</f>
        <v>7</v>
      </c>
      <c r="C200" s="3" t="str">
        <f>Loads[[#This Row],[Load]]&amp;Loads[[#This Row],[Count]]</f>
        <v>44199Product27</v>
      </c>
      <c r="D200" s="90">
        <v>44199</v>
      </c>
      <c r="E200" s="143">
        <v>0.10069444444444443</v>
      </c>
      <c r="F200" s="1" t="s">
        <v>9</v>
      </c>
      <c r="G200" s="2" t="s">
        <v>13</v>
      </c>
      <c r="H200" s="2" t="s">
        <v>42</v>
      </c>
      <c r="I200" s="1" t="s">
        <v>11</v>
      </c>
      <c r="J200" s="1" t="s">
        <v>8</v>
      </c>
      <c r="K200" s="89">
        <v>9800</v>
      </c>
      <c r="L200" s="3">
        <v>64.05</v>
      </c>
      <c r="M200" s="3">
        <v>9.25</v>
      </c>
      <c r="N200" s="3" t="s">
        <v>8</v>
      </c>
      <c r="O200" s="3" t="s">
        <v>8</v>
      </c>
    </row>
    <row r="201" spans="1:15" x14ac:dyDescent="0.35">
      <c r="A201" s="5" t="str">
        <f>Loads[[#This Row],[Date]]&amp;Loads[[#This Row],[Product]]</f>
        <v>44199Product2</v>
      </c>
      <c r="B201" s="5">
        <f>COUNTIF($A$1:A201,Loads[[#This Row],[Load]])</f>
        <v>8</v>
      </c>
      <c r="C201" s="3" t="str">
        <f>Loads[[#This Row],[Load]]&amp;Loads[[#This Row],[Count]]</f>
        <v>44199Product28</v>
      </c>
      <c r="D201" s="90">
        <v>44199</v>
      </c>
      <c r="E201" s="143">
        <v>0.1013888888888889</v>
      </c>
      <c r="F201" s="1" t="s">
        <v>9</v>
      </c>
      <c r="G201" s="2" t="s">
        <v>13</v>
      </c>
      <c r="H201" s="2" t="s">
        <v>42</v>
      </c>
      <c r="I201" s="1" t="s">
        <v>11</v>
      </c>
      <c r="J201" s="1" t="s">
        <v>8</v>
      </c>
      <c r="K201" s="89">
        <v>11520</v>
      </c>
      <c r="L201" s="3">
        <v>63.04</v>
      </c>
      <c r="M201" s="3">
        <v>10.37</v>
      </c>
      <c r="N201" s="3" t="s">
        <v>8</v>
      </c>
      <c r="O201" s="3" t="s">
        <v>8</v>
      </c>
    </row>
    <row r="202" spans="1:15" x14ac:dyDescent="0.35">
      <c r="A202" s="5" t="str">
        <f>Loads[[#This Row],[Date]]&amp;Loads[[#This Row],[Product]]</f>
        <v>44199Product2</v>
      </c>
      <c r="B202" s="5">
        <f>COUNTIF($A$1:A202,Loads[[#This Row],[Load]])</f>
        <v>9</v>
      </c>
      <c r="C202" s="3" t="str">
        <f>Loads[[#This Row],[Load]]&amp;Loads[[#This Row],[Count]]</f>
        <v>44199Product29</v>
      </c>
      <c r="D202" s="90">
        <v>44199</v>
      </c>
      <c r="E202" s="143">
        <v>0.1013888888888889</v>
      </c>
      <c r="F202" s="1" t="s">
        <v>9</v>
      </c>
      <c r="G202" s="2" t="s">
        <v>13</v>
      </c>
      <c r="H202" s="2" t="s">
        <v>42</v>
      </c>
      <c r="I202" s="1" t="s">
        <v>11</v>
      </c>
      <c r="J202" s="1" t="s">
        <v>8</v>
      </c>
      <c r="K202" s="89">
        <v>11440</v>
      </c>
      <c r="L202" s="3">
        <v>60.05</v>
      </c>
      <c r="M202" s="3">
        <v>9.59</v>
      </c>
      <c r="N202" s="3" t="s">
        <v>8</v>
      </c>
      <c r="O202" s="3" t="s">
        <v>8</v>
      </c>
    </row>
    <row r="203" spans="1:15" x14ac:dyDescent="0.35">
      <c r="A203" s="5" t="str">
        <f>Loads[[#This Row],[Date]]&amp;Loads[[#This Row],[Product]]</f>
        <v>44199Product2</v>
      </c>
      <c r="B203" s="5">
        <f>COUNTIF($A$1:A203,Loads[[#This Row],[Load]])</f>
        <v>10</v>
      </c>
      <c r="C203" s="3" t="str">
        <f>Loads[[#This Row],[Load]]&amp;Loads[[#This Row],[Count]]</f>
        <v>44199Product210</v>
      </c>
      <c r="D203" s="90">
        <v>44199</v>
      </c>
      <c r="E203" s="143">
        <v>0.10208333333333335</v>
      </c>
      <c r="F203" s="1" t="s">
        <v>9</v>
      </c>
      <c r="G203" s="2" t="s">
        <v>13</v>
      </c>
      <c r="H203" s="2" t="s">
        <v>42</v>
      </c>
      <c r="I203" s="1" t="s">
        <v>11</v>
      </c>
      <c r="J203" s="1" t="s">
        <v>8</v>
      </c>
      <c r="K203" s="89">
        <v>12920</v>
      </c>
      <c r="L203" s="3">
        <v>62.54</v>
      </c>
      <c r="M203" s="3">
        <v>9.4</v>
      </c>
      <c r="N203" s="3" t="s">
        <v>8</v>
      </c>
      <c r="O203" s="3" t="s">
        <v>8</v>
      </c>
    </row>
    <row r="204" spans="1:15" x14ac:dyDescent="0.35">
      <c r="A204" s="5" t="str">
        <f>Loads[[#This Row],[Date]]&amp;Loads[[#This Row],[Product]]</f>
        <v>44199Product2</v>
      </c>
      <c r="B204" s="5">
        <f>COUNTIF($A$1:A204,Loads[[#This Row],[Load]])</f>
        <v>11</v>
      </c>
      <c r="C204" s="3" t="str">
        <f>Loads[[#This Row],[Load]]&amp;Loads[[#This Row],[Count]]</f>
        <v>44199Product211</v>
      </c>
      <c r="D204" s="90">
        <v>44199</v>
      </c>
      <c r="E204" s="143">
        <v>0.10208333333333335</v>
      </c>
      <c r="F204" s="1" t="s">
        <v>9</v>
      </c>
      <c r="G204" s="2" t="s">
        <v>13</v>
      </c>
      <c r="H204" s="2" t="s">
        <v>42</v>
      </c>
      <c r="I204" s="1" t="s">
        <v>11</v>
      </c>
      <c r="J204" s="1" t="s">
        <v>8</v>
      </c>
      <c r="K204" s="89">
        <v>11160</v>
      </c>
      <c r="L204" s="3">
        <v>62.47</v>
      </c>
      <c r="M204" s="3">
        <v>9.7899999999999991</v>
      </c>
      <c r="N204" s="3" t="s">
        <v>8</v>
      </c>
      <c r="O204" s="3" t="s">
        <v>8</v>
      </c>
    </row>
    <row r="205" spans="1:15" x14ac:dyDescent="0.35">
      <c r="A205" s="5" t="str">
        <f>Loads[[#This Row],[Date]]&amp;Loads[[#This Row],[Product]]</f>
        <v>44200Product2</v>
      </c>
      <c r="B205" s="5">
        <f>COUNTIF($A$1:A205,Loads[[#This Row],[Load]])</f>
        <v>1</v>
      </c>
      <c r="C205" s="3" t="str">
        <f>Loads[[#This Row],[Load]]&amp;Loads[[#This Row],[Count]]</f>
        <v>44200Product21</v>
      </c>
      <c r="D205" s="90">
        <v>44200</v>
      </c>
      <c r="E205" s="143">
        <v>0.65763888888888888</v>
      </c>
      <c r="F205" s="1" t="s">
        <v>9</v>
      </c>
      <c r="G205" s="2" t="s">
        <v>13</v>
      </c>
      <c r="H205" s="2" t="s">
        <v>42</v>
      </c>
      <c r="I205" s="1" t="s">
        <v>11</v>
      </c>
      <c r="J205" s="1" t="s">
        <v>8</v>
      </c>
      <c r="K205" s="89">
        <v>11880</v>
      </c>
      <c r="L205" s="3">
        <v>61.11</v>
      </c>
      <c r="M205" s="3">
        <v>9.19</v>
      </c>
      <c r="N205" s="3" t="s">
        <v>8</v>
      </c>
      <c r="O205" s="3" t="s">
        <v>8</v>
      </c>
    </row>
    <row r="206" spans="1:15" x14ac:dyDescent="0.35">
      <c r="A206" s="5" t="str">
        <f>Loads[[#This Row],[Date]]&amp;Loads[[#This Row],[Product]]</f>
        <v>44200Product2</v>
      </c>
      <c r="B206" s="5">
        <f>COUNTIF($A$1:A206,Loads[[#This Row],[Load]])</f>
        <v>2</v>
      </c>
      <c r="C206" s="3" t="str">
        <f>Loads[[#This Row],[Load]]&amp;Loads[[#This Row],[Count]]</f>
        <v>44200Product22</v>
      </c>
      <c r="D206" s="90">
        <v>44200</v>
      </c>
      <c r="E206" s="143">
        <v>2.2916666666666669E-2</v>
      </c>
      <c r="F206" s="1" t="s">
        <v>9</v>
      </c>
      <c r="G206" s="2" t="s">
        <v>13</v>
      </c>
      <c r="H206" s="2" t="s">
        <v>42</v>
      </c>
      <c r="I206" s="1" t="s">
        <v>11</v>
      </c>
      <c r="J206" s="1" t="s">
        <v>8</v>
      </c>
      <c r="K206" s="89">
        <v>8600</v>
      </c>
      <c r="L206" s="3">
        <v>61.41</v>
      </c>
      <c r="M206" s="3">
        <v>10.37</v>
      </c>
      <c r="N206" s="3" t="s">
        <v>8</v>
      </c>
      <c r="O206" s="3" t="s">
        <v>8</v>
      </c>
    </row>
    <row r="207" spans="1:15" x14ac:dyDescent="0.35">
      <c r="A207" s="5" t="str">
        <f>Loads[[#This Row],[Date]]&amp;Loads[[#This Row],[Product]]</f>
        <v>44200Product2</v>
      </c>
      <c r="B207" s="5">
        <f>COUNTIF($A$1:A207,Loads[[#This Row],[Load]])</f>
        <v>3</v>
      </c>
      <c r="C207" s="3" t="str">
        <f>Loads[[#This Row],[Load]]&amp;Loads[[#This Row],[Count]]</f>
        <v>44200Product23</v>
      </c>
      <c r="D207" s="90">
        <v>44200</v>
      </c>
      <c r="E207" s="143">
        <v>0.3756944444444445</v>
      </c>
      <c r="F207" s="1" t="s">
        <v>9</v>
      </c>
      <c r="G207" s="2" t="s">
        <v>13</v>
      </c>
      <c r="H207" s="2" t="s">
        <v>42</v>
      </c>
      <c r="I207" s="1" t="s">
        <v>11</v>
      </c>
      <c r="J207" s="1" t="s">
        <v>8</v>
      </c>
      <c r="K207" s="89">
        <v>12800</v>
      </c>
      <c r="L207" s="3">
        <v>59.12</v>
      </c>
      <c r="M207" s="3">
        <v>10.61</v>
      </c>
      <c r="N207" s="3" t="s">
        <v>8</v>
      </c>
      <c r="O207" s="3" t="s">
        <v>8</v>
      </c>
    </row>
    <row r="208" spans="1:15" x14ac:dyDescent="0.35">
      <c r="A208" s="5" t="str">
        <f>Loads[[#This Row],[Date]]&amp;Loads[[#This Row],[Product]]</f>
        <v>44200Product2</v>
      </c>
      <c r="B208" s="5">
        <f>COUNTIF($A$1:A208,Loads[[#This Row],[Load]])</f>
        <v>4</v>
      </c>
      <c r="C208" s="3" t="str">
        <f>Loads[[#This Row],[Load]]&amp;Loads[[#This Row],[Count]]</f>
        <v>44200Product24</v>
      </c>
      <c r="D208" s="90">
        <v>44200</v>
      </c>
      <c r="E208" s="143">
        <v>0.90277777777777779</v>
      </c>
      <c r="F208" s="1" t="s">
        <v>9</v>
      </c>
      <c r="G208" s="2" t="s">
        <v>13</v>
      </c>
      <c r="H208" s="2" t="s">
        <v>42</v>
      </c>
      <c r="I208" s="1" t="s">
        <v>11</v>
      </c>
      <c r="J208" s="1" t="s">
        <v>8</v>
      </c>
      <c r="K208" s="89">
        <v>10760</v>
      </c>
      <c r="L208" s="3">
        <v>60.1</v>
      </c>
      <c r="M208" s="3">
        <v>10.06</v>
      </c>
      <c r="N208" s="3" t="s">
        <v>8</v>
      </c>
      <c r="O208" s="3" t="s">
        <v>8</v>
      </c>
    </row>
    <row r="209" spans="1:15" x14ac:dyDescent="0.35">
      <c r="A209" s="5" t="str">
        <f>Loads[[#This Row],[Date]]&amp;Loads[[#This Row],[Product]]</f>
        <v>44201Product2</v>
      </c>
      <c r="B209" s="5">
        <f>COUNTIF($A$1:A209,Loads[[#This Row],[Load]])</f>
        <v>1</v>
      </c>
      <c r="C209" s="3" t="str">
        <f>Loads[[#This Row],[Load]]&amp;Loads[[#This Row],[Count]]</f>
        <v>44201Product21</v>
      </c>
      <c r="D209" s="90">
        <v>44201</v>
      </c>
      <c r="E209" s="143">
        <v>7.4999999999999997E-2</v>
      </c>
      <c r="F209" s="1" t="s">
        <v>9</v>
      </c>
      <c r="G209" s="2" t="s">
        <v>13</v>
      </c>
      <c r="H209" s="2" t="s">
        <v>42</v>
      </c>
      <c r="I209" s="1" t="s">
        <v>11</v>
      </c>
      <c r="J209" s="1" t="s">
        <v>8</v>
      </c>
      <c r="K209" s="89">
        <v>13160</v>
      </c>
      <c r="L209" s="3">
        <v>60.6</v>
      </c>
      <c r="M209" s="3">
        <v>9.64</v>
      </c>
      <c r="N209" s="3" t="s">
        <v>8</v>
      </c>
      <c r="O209" s="3" t="s">
        <v>8</v>
      </c>
    </row>
    <row r="210" spans="1:15" x14ac:dyDescent="0.35">
      <c r="A210" s="5" t="str">
        <f>Loads[[#This Row],[Date]]&amp;Loads[[#This Row],[Product]]</f>
        <v>44201Product2</v>
      </c>
      <c r="B210" s="5">
        <f>COUNTIF($A$1:A210,Loads[[#This Row],[Load]])</f>
        <v>2</v>
      </c>
      <c r="C210" s="3" t="str">
        <f>Loads[[#This Row],[Load]]&amp;Loads[[#This Row],[Count]]</f>
        <v>44201Product22</v>
      </c>
      <c r="D210" s="90">
        <v>44201</v>
      </c>
      <c r="E210" s="143">
        <v>0.2722222222222222</v>
      </c>
      <c r="F210" s="1" t="s">
        <v>9</v>
      </c>
      <c r="G210" s="2" t="s">
        <v>13</v>
      </c>
      <c r="H210" s="2" t="s">
        <v>42</v>
      </c>
      <c r="I210" s="1" t="s">
        <v>11</v>
      </c>
      <c r="J210" s="1" t="s">
        <v>8</v>
      </c>
      <c r="K210" s="89">
        <v>10100</v>
      </c>
      <c r="L210" s="3">
        <v>60.12</v>
      </c>
      <c r="M210" s="3">
        <v>10.01</v>
      </c>
      <c r="N210" s="3" t="s">
        <v>8</v>
      </c>
      <c r="O210" s="3" t="s">
        <v>8</v>
      </c>
    </row>
    <row r="211" spans="1:15" x14ac:dyDescent="0.35">
      <c r="A211" s="5" t="str">
        <f>Loads[[#This Row],[Date]]&amp;Loads[[#This Row],[Product]]</f>
        <v>44201Product2</v>
      </c>
      <c r="B211" s="5">
        <f>COUNTIF($A$1:A211,Loads[[#This Row],[Load]])</f>
        <v>3</v>
      </c>
      <c r="C211" s="3" t="str">
        <f>Loads[[#This Row],[Load]]&amp;Loads[[#This Row],[Count]]</f>
        <v>44201Product23</v>
      </c>
      <c r="D211" s="90">
        <v>44201</v>
      </c>
      <c r="E211" s="143">
        <v>0.13472222222222222</v>
      </c>
      <c r="F211" s="1" t="s">
        <v>9</v>
      </c>
      <c r="G211" s="2" t="s">
        <v>13</v>
      </c>
      <c r="H211" s="2" t="s">
        <v>42</v>
      </c>
      <c r="I211" s="1" t="s">
        <v>11</v>
      </c>
      <c r="J211" s="1" t="s">
        <v>8</v>
      </c>
      <c r="K211" s="89">
        <v>13040</v>
      </c>
      <c r="L211" s="3">
        <v>67.11</v>
      </c>
      <c r="M211" s="3">
        <v>9.18</v>
      </c>
      <c r="N211" s="3" t="s">
        <v>8</v>
      </c>
      <c r="O211" s="3" t="s">
        <v>8</v>
      </c>
    </row>
    <row r="212" spans="1:15" x14ac:dyDescent="0.35">
      <c r="A212" s="5" t="str">
        <f>Loads[[#This Row],[Date]]&amp;Loads[[#This Row],[Product]]</f>
        <v>44201Product2</v>
      </c>
      <c r="B212" s="5">
        <f>COUNTIF($A$1:A212,Loads[[#This Row],[Load]])</f>
        <v>4</v>
      </c>
      <c r="C212" s="3" t="str">
        <f>Loads[[#This Row],[Load]]&amp;Loads[[#This Row],[Count]]</f>
        <v>44201Product24</v>
      </c>
      <c r="D212" s="90">
        <v>44201</v>
      </c>
      <c r="E212" s="143">
        <v>0.3430555555555555</v>
      </c>
      <c r="F212" s="1" t="s">
        <v>9</v>
      </c>
      <c r="G212" s="2" t="s">
        <v>13</v>
      </c>
      <c r="H212" s="2" t="s">
        <v>42</v>
      </c>
      <c r="I212" s="1" t="s">
        <v>11</v>
      </c>
      <c r="J212" s="1" t="s">
        <v>8</v>
      </c>
      <c r="K212" s="89">
        <v>11060</v>
      </c>
      <c r="L212" s="3">
        <v>64.72</v>
      </c>
      <c r="M212" s="3">
        <v>9.93</v>
      </c>
      <c r="N212" s="3" t="s">
        <v>8</v>
      </c>
      <c r="O212" s="3" t="s">
        <v>8</v>
      </c>
    </row>
    <row r="213" spans="1:15" x14ac:dyDescent="0.35">
      <c r="A213" s="5" t="str">
        <f>Loads[[#This Row],[Date]]&amp;Loads[[#This Row],[Product]]</f>
        <v>44201Product2</v>
      </c>
      <c r="B213" s="5">
        <f>COUNTIF($A$1:A213,Loads[[#This Row],[Load]])</f>
        <v>5</v>
      </c>
      <c r="C213" s="3" t="str">
        <f>Loads[[#This Row],[Load]]&amp;Loads[[#This Row],[Count]]</f>
        <v>44201Product25</v>
      </c>
      <c r="D213" s="90">
        <v>44201</v>
      </c>
      <c r="E213" s="143">
        <v>0.41875000000000001</v>
      </c>
      <c r="F213" s="1" t="s">
        <v>9</v>
      </c>
      <c r="G213" s="2" t="s">
        <v>13</v>
      </c>
      <c r="H213" s="2" t="s">
        <v>42</v>
      </c>
      <c r="I213" s="1" t="s">
        <v>11</v>
      </c>
      <c r="J213" s="1" t="s">
        <v>8</v>
      </c>
      <c r="K213" s="89">
        <v>10660</v>
      </c>
      <c r="L213" s="3">
        <v>63.25</v>
      </c>
      <c r="M213" s="3">
        <v>9.0500000000000007</v>
      </c>
      <c r="N213" s="3" t="s">
        <v>8</v>
      </c>
      <c r="O213" s="3" t="s">
        <v>8</v>
      </c>
    </row>
    <row r="214" spans="1:15" x14ac:dyDescent="0.35">
      <c r="A214" s="5" t="str">
        <f>Loads[[#This Row],[Date]]&amp;Loads[[#This Row],[Product]]</f>
        <v>44201Product2</v>
      </c>
      <c r="B214" s="5">
        <f>COUNTIF($A$1:A214,Loads[[#This Row],[Load]])</f>
        <v>6</v>
      </c>
      <c r="C214" s="3" t="str">
        <f>Loads[[#This Row],[Load]]&amp;Loads[[#This Row],[Count]]</f>
        <v>44201Product26</v>
      </c>
      <c r="D214" s="90">
        <v>44201</v>
      </c>
      <c r="E214" s="143">
        <v>0.62569444444444444</v>
      </c>
      <c r="F214" s="1" t="s">
        <v>9</v>
      </c>
      <c r="G214" s="2" t="s">
        <v>13</v>
      </c>
      <c r="H214" s="2" t="s">
        <v>42</v>
      </c>
      <c r="I214" s="1" t="s">
        <v>11</v>
      </c>
      <c r="J214" s="1" t="s">
        <v>8</v>
      </c>
      <c r="K214" s="89">
        <v>12200</v>
      </c>
      <c r="L214" s="3">
        <v>59.98</v>
      </c>
      <c r="M214" s="3">
        <v>9.6300000000000008</v>
      </c>
      <c r="N214" s="3" t="s">
        <v>8</v>
      </c>
      <c r="O214" s="3" t="s">
        <v>8</v>
      </c>
    </row>
    <row r="215" spans="1:15" x14ac:dyDescent="0.35">
      <c r="A215" s="5" t="str">
        <f>Loads[[#This Row],[Date]]&amp;Loads[[#This Row],[Product]]</f>
        <v>44201Product2</v>
      </c>
      <c r="B215" s="5">
        <f>COUNTIF($A$1:A215,Loads[[#This Row],[Load]])</f>
        <v>7</v>
      </c>
      <c r="C215" s="3" t="str">
        <f>Loads[[#This Row],[Load]]&amp;Loads[[#This Row],[Count]]</f>
        <v>44201Product27</v>
      </c>
      <c r="D215" s="90">
        <v>44201</v>
      </c>
      <c r="E215" s="143">
        <v>0.55833333333333335</v>
      </c>
      <c r="F215" s="1" t="s">
        <v>9</v>
      </c>
      <c r="G215" s="2" t="s">
        <v>13</v>
      </c>
      <c r="H215" s="2" t="s">
        <v>42</v>
      </c>
      <c r="I215" s="1" t="s">
        <v>11</v>
      </c>
      <c r="J215" s="1" t="s">
        <v>8</v>
      </c>
      <c r="K215" s="89">
        <v>12640</v>
      </c>
      <c r="L215" s="3">
        <v>60.66</v>
      </c>
      <c r="M215" s="3">
        <v>9.42</v>
      </c>
      <c r="N215" s="3" t="s">
        <v>8</v>
      </c>
      <c r="O215" s="3" t="s">
        <v>8</v>
      </c>
    </row>
    <row r="216" spans="1:15" x14ac:dyDescent="0.35">
      <c r="A216" s="5" t="str">
        <f>Loads[[#This Row],[Date]]&amp;Loads[[#This Row],[Product]]</f>
        <v>44201Product2</v>
      </c>
      <c r="B216" s="5">
        <f>COUNTIF($A$1:A216,Loads[[#This Row],[Load]])</f>
        <v>8</v>
      </c>
      <c r="C216" s="3" t="str">
        <f>Loads[[#This Row],[Load]]&amp;Loads[[#This Row],[Count]]</f>
        <v>44201Product28</v>
      </c>
      <c r="D216" s="90">
        <v>44201</v>
      </c>
      <c r="E216" s="143">
        <v>0.85555555555555562</v>
      </c>
      <c r="F216" s="1" t="s">
        <v>9</v>
      </c>
      <c r="G216" s="2" t="s">
        <v>13</v>
      </c>
      <c r="H216" s="2" t="s">
        <v>42</v>
      </c>
      <c r="I216" s="1" t="s">
        <v>11</v>
      </c>
      <c r="J216" s="1" t="s">
        <v>8</v>
      </c>
      <c r="K216" s="89">
        <v>11020</v>
      </c>
      <c r="L216" s="3">
        <v>60.12</v>
      </c>
      <c r="M216" s="3">
        <v>10.61</v>
      </c>
      <c r="N216" s="3" t="s">
        <v>8</v>
      </c>
      <c r="O216" s="3" t="s">
        <v>8</v>
      </c>
    </row>
    <row r="217" spans="1:15" x14ac:dyDescent="0.35">
      <c r="A217" s="5" t="str">
        <f>Loads[[#This Row],[Date]]&amp;Loads[[#This Row],[Product]]</f>
        <v>44201Product2</v>
      </c>
      <c r="B217" s="5">
        <f>COUNTIF($A$1:A217,Loads[[#This Row],[Load]])</f>
        <v>9</v>
      </c>
      <c r="C217" s="3" t="str">
        <f>Loads[[#This Row],[Load]]&amp;Loads[[#This Row],[Count]]</f>
        <v>44201Product29</v>
      </c>
      <c r="D217" s="90">
        <v>44201</v>
      </c>
      <c r="E217" s="143">
        <v>0.79583333333333339</v>
      </c>
      <c r="F217" s="1" t="s">
        <v>9</v>
      </c>
      <c r="G217" s="2" t="s">
        <v>13</v>
      </c>
      <c r="H217" s="2" t="s">
        <v>42</v>
      </c>
      <c r="I217" s="1" t="s">
        <v>11</v>
      </c>
      <c r="J217" s="1" t="s">
        <v>8</v>
      </c>
      <c r="K217" s="89">
        <v>9440</v>
      </c>
      <c r="L217" s="3">
        <v>63.49</v>
      </c>
      <c r="M217" s="3">
        <v>9.14</v>
      </c>
      <c r="N217" s="3" t="s">
        <v>8</v>
      </c>
      <c r="O217" s="3" t="s">
        <v>8</v>
      </c>
    </row>
    <row r="218" spans="1:15" x14ac:dyDescent="0.35">
      <c r="A218" s="5" t="str">
        <f>Loads[[#This Row],[Date]]&amp;Loads[[#This Row],[Product]]</f>
        <v>44201Product2</v>
      </c>
      <c r="B218" s="5">
        <f>COUNTIF($A$1:A218,Loads[[#This Row],[Load]])</f>
        <v>10</v>
      </c>
      <c r="C218" s="3" t="str">
        <f>Loads[[#This Row],[Load]]&amp;Loads[[#This Row],[Count]]</f>
        <v>44201Product210</v>
      </c>
      <c r="D218" s="90">
        <v>44201</v>
      </c>
      <c r="E218" s="143">
        <v>0.74513888888888891</v>
      </c>
      <c r="F218" s="1" t="s">
        <v>9</v>
      </c>
      <c r="G218" s="2" t="s">
        <v>13</v>
      </c>
      <c r="H218" s="2" t="s">
        <v>42</v>
      </c>
      <c r="I218" s="1" t="s">
        <v>11</v>
      </c>
      <c r="J218" s="1" t="s">
        <v>8</v>
      </c>
      <c r="K218" s="89">
        <v>12400</v>
      </c>
      <c r="L218" s="3">
        <v>60.79</v>
      </c>
      <c r="M218" s="3">
        <v>9.02</v>
      </c>
      <c r="N218" s="3" t="s">
        <v>8</v>
      </c>
      <c r="O218" s="3" t="s">
        <v>8</v>
      </c>
    </row>
    <row r="219" spans="1:15" x14ac:dyDescent="0.35">
      <c r="A219" s="5" t="str">
        <f>Loads[[#This Row],[Date]]&amp;Loads[[#This Row],[Product]]</f>
        <v>44201Product2</v>
      </c>
      <c r="B219" s="5">
        <f>COUNTIF($A$1:A219,Loads[[#This Row],[Load]])</f>
        <v>11</v>
      </c>
      <c r="C219" s="3" t="str">
        <f>Loads[[#This Row],[Load]]&amp;Loads[[#This Row],[Count]]</f>
        <v>44201Product211</v>
      </c>
      <c r="D219" s="90">
        <v>44201</v>
      </c>
      <c r="E219" s="143">
        <v>0.92083333333333339</v>
      </c>
      <c r="F219" s="1" t="s">
        <v>9</v>
      </c>
      <c r="G219" s="2" t="s">
        <v>13</v>
      </c>
      <c r="H219" s="2" t="s">
        <v>42</v>
      </c>
      <c r="I219" s="1" t="s">
        <v>11</v>
      </c>
      <c r="J219" s="1" t="s">
        <v>8</v>
      </c>
      <c r="K219" s="89">
        <v>12140</v>
      </c>
      <c r="L219" s="3">
        <v>63.39</v>
      </c>
      <c r="M219" s="3">
        <v>8.16</v>
      </c>
      <c r="N219" s="3" t="s">
        <v>8</v>
      </c>
      <c r="O219" s="3" t="s">
        <v>8</v>
      </c>
    </row>
    <row r="220" spans="1:15" x14ac:dyDescent="0.35">
      <c r="A220" s="5" t="str">
        <f>Loads[[#This Row],[Date]]&amp;Loads[[#This Row],[Product]]</f>
        <v>44202Product2</v>
      </c>
      <c r="B220" s="5">
        <f>COUNTIF($A$1:A220,Loads[[#This Row],[Load]])</f>
        <v>1</v>
      </c>
      <c r="C220" s="3" t="str">
        <f>Loads[[#This Row],[Load]]&amp;Loads[[#This Row],[Count]]</f>
        <v>44202Product21</v>
      </c>
      <c r="D220" s="90">
        <v>44202</v>
      </c>
      <c r="E220" s="143">
        <v>4.8611111111111112E-3</v>
      </c>
      <c r="F220" s="1" t="s">
        <v>9</v>
      </c>
      <c r="G220" s="2" t="s">
        <v>13</v>
      </c>
      <c r="H220" s="2" t="s">
        <v>42</v>
      </c>
      <c r="I220" s="1" t="s">
        <v>11</v>
      </c>
      <c r="J220" s="1" t="s">
        <v>8</v>
      </c>
      <c r="K220" s="89">
        <v>9640</v>
      </c>
      <c r="L220" s="3">
        <v>60.12</v>
      </c>
      <c r="M220" s="3">
        <v>10.210000000000001</v>
      </c>
      <c r="N220" s="3" t="s">
        <v>8</v>
      </c>
      <c r="O220" s="3" t="s">
        <v>8</v>
      </c>
    </row>
    <row r="221" spans="1:15" x14ac:dyDescent="0.35">
      <c r="A221" s="5" t="str">
        <f>Loads[[#This Row],[Date]]&amp;Loads[[#This Row],[Product]]</f>
        <v>44202Product2</v>
      </c>
      <c r="B221" s="5">
        <f>COUNTIF($A$1:A221,Loads[[#This Row],[Load]])</f>
        <v>2</v>
      </c>
      <c r="C221" s="3" t="str">
        <f>Loads[[#This Row],[Load]]&amp;Loads[[#This Row],[Count]]</f>
        <v>44202Product22</v>
      </c>
      <c r="D221" s="90">
        <v>44202</v>
      </c>
      <c r="E221" s="143">
        <v>0.23680555555555557</v>
      </c>
      <c r="F221" s="1" t="s">
        <v>9</v>
      </c>
      <c r="G221" s="2" t="s">
        <v>13</v>
      </c>
      <c r="H221" s="2" t="s">
        <v>42</v>
      </c>
      <c r="I221" s="1" t="s">
        <v>11</v>
      </c>
      <c r="J221" s="1" t="s">
        <v>8</v>
      </c>
      <c r="K221" s="89">
        <v>10100</v>
      </c>
      <c r="L221" s="3">
        <v>60.79</v>
      </c>
      <c r="M221" s="3">
        <v>9.02</v>
      </c>
      <c r="N221" s="3" t="s">
        <v>8</v>
      </c>
      <c r="O221" s="3" t="s">
        <v>8</v>
      </c>
    </row>
    <row r="222" spans="1:15" x14ac:dyDescent="0.35">
      <c r="A222" s="5" t="str">
        <f>Loads[[#This Row],[Date]]&amp;Loads[[#This Row],[Product]]</f>
        <v>44202Product2</v>
      </c>
      <c r="B222" s="5">
        <f>COUNTIF($A$1:A222,Loads[[#This Row],[Load]])</f>
        <v>3</v>
      </c>
      <c r="C222" s="3" t="str">
        <f>Loads[[#This Row],[Load]]&amp;Loads[[#This Row],[Count]]</f>
        <v>44202Product23</v>
      </c>
      <c r="D222" s="90">
        <v>44202</v>
      </c>
      <c r="E222" s="143">
        <v>0.35625000000000001</v>
      </c>
      <c r="F222" s="1" t="s">
        <v>9</v>
      </c>
      <c r="G222" s="2" t="s">
        <v>13</v>
      </c>
      <c r="H222" s="2" t="s">
        <v>42</v>
      </c>
      <c r="I222" s="1" t="s">
        <v>11</v>
      </c>
      <c r="J222" s="1" t="s">
        <v>8</v>
      </c>
      <c r="K222" s="89">
        <v>10580</v>
      </c>
      <c r="L222" s="3">
        <v>59.77</v>
      </c>
      <c r="M222" s="3">
        <v>9.9600000000000009</v>
      </c>
      <c r="N222" s="3" t="s">
        <v>8</v>
      </c>
      <c r="O222" s="3" t="s">
        <v>8</v>
      </c>
    </row>
    <row r="223" spans="1:15" x14ac:dyDescent="0.35">
      <c r="A223" s="5" t="str">
        <f>Loads[[#This Row],[Date]]&amp;Loads[[#This Row],[Product]]</f>
        <v>44202Product2</v>
      </c>
      <c r="B223" s="5">
        <f>COUNTIF($A$1:A223,Loads[[#This Row],[Load]])</f>
        <v>4</v>
      </c>
      <c r="C223" s="3" t="str">
        <f>Loads[[#This Row],[Load]]&amp;Loads[[#This Row],[Count]]</f>
        <v>44202Product24</v>
      </c>
      <c r="D223" s="90">
        <v>44202</v>
      </c>
      <c r="E223" s="143">
        <v>4.5138888888888888E-2</v>
      </c>
      <c r="F223" s="1" t="s">
        <v>9</v>
      </c>
      <c r="G223" s="2" t="s">
        <v>13</v>
      </c>
      <c r="H223" s="2" t="s">
        <v>42</v>
      </c>
      <c r="I223" s="1" t="s">
        <v>11</v>
      </c>
      <c r="J223" s="1" t="s">
        <v>8</v>
      </c>
      <c r="K223" s="89">
        <v>10620</v>
      </c>
      <c r="L223" s="3">
        <v>63.49</v>
      </c>
      <c r="M223" s="3">
        <v>9.14</v>
      </c>
      <c r="N223" s="3" t="s">
        <v>8</v>
      </c>
      <c r="O223" s="3" t="s">
        <v>8</v>
      </c>
    </row>
    <row r="224" spans="1:15" x14ac:dyDescent="0.35">
      <c r="A224" s="5" t="str">
        <f>Loads[[#This Row],[Date]]&amp;Loads[[#This Row],[Product]]</f>
        <v>44202Product2</v>
      </c>
      <c r="B224" s="5">
        <f>COUNTIF($A$1:A224,Loads[[#This Row],[Load]])</f>
        <v>5</v>
      </c>
      <c r="C224" s="3" t="str">
        <f>Loads[[#This Row],[Load]]&amp;Loads[[#This Row],[Count]]</f>
        <v>44202Product25</v>
      </c>
      <c r="D224" s="90">
        <v>44202</v>
      </c>
      <c r="E224" s="143">
        <v>0.11388888888888889</v>
      </c>
      <c r="F224" s="1" t="s">
        <v>9</v>
      </c>
      <c r="G224" s="2" t="s">
        <v>13</v>
      </c>
      <c r="H224" s="2" t="s">
        <v>42</v>
      </c>
      <c r="I224" s="1" t="s">
        <v>11</v>
      </c>
      <c r="J224" s="1" t="s">
        <v>8</v>
      </c>
      <c r="K224" s="89">
        <v>9400</v>
      </c>
      <c r="L224" s="3">
        <v>61.12</v>
      </c>
      <c r="M224" s="3">
        <v>9.1300000000000008</v>
      </c>
      <c r="N224" s="3" t="s">
        <v>8</v>
      </c>
      <c r="O224" s="3" t="s">
        <v>8</v>
      </c>
    </row>
    <row r="225" spans="1:15" x14ac:dyDescent="0.35">
      <c r="A225" s="5" t="str">
        <f>Loads[[#This Row],[Date]]&amp;Loads[[#This Row],[Product]]</f>
        <v>44202Product2</v>
      </c>
      <c r="B225" s="5">
        <f>COUNTIF($A$1:A225,Loads[[#This Row],[Load]])</f>
        <v>6</v>
      </c>
      <c r="C225" s="3" t="str">
        <f>Loads[[#This Row],[Load]]&amp;Loads[[#This Row],[Count]]</f>
        <v>44202Product26</v>
      </c>
      <c r="D225" s="90">
        <v>44202</v>
      </c>
      <c r="E225" s="143">
        <v>0.27986111111111112</v>
      </c>
      <c r="F225" s="1" t="s">
        <v>9</v>
      </c>
      <c r="G225" s="2" t="s">
        <v>13</v>
      </c>
      <c r="H225" s="2" t="s">
        <v>42</v>
      </c>
      <c r="I225" s="1" t="s">
        <v>11</v>
      </c>
      <c r="J225" s="1" t="s">
        <v>8</v>
      </c>
      <c r="K225" s="89">
        <v>6440</v>
      </c>
      <c r="L225" s="3">
        <v>63.39</v>
      </c>
      <c r="M225" s="3">
        <v>8.16</v>
      </c>
      <c r="N225" s="3" t="s">
        <v>8</v>
      </c>
      <c r="O225" s="3" t="s">
        <v>8</v>
      </c>
    </row>
    <row r="226" spans="1:15" x14ac:dyDescent="0.35">
      <c r="A226" s="5" t="str">
        <f>Loads[[#This Row],[Date]]&amp;Loads[[#This Row],[Product]]</f>
        <v>44202Product2</v>
      </c>
      <c r="B226" s="5">
        <f>COUNTIF($A$1:A226,Loads[[#This Row],[Load]])</f>
        <v>7</v>
      </c>
      <c r="C226" s="3" t="str">
        <f>Loads[[#This Row],[Load]]&amp;Loads[[#This Row],[Count]]</f>
        <v>44202Product27</v>
      </c>
      <c r="D226" s="90">
        <v>44202</v>
      </c>
      <c r="E226" s="143">
        <v>0.43194444444444446</v>
      </c>
      <c r="F226" s="1" t="s">
        <v>9</v>
      </c>
      <c r="G226" s="2" t="s">
        <v>13</v>
      </c>
      <c r="H226" s="2" t="s">
        <v>42</v>
      </c>
      <c r="I226" s="1" t="s">
        <v>11</v>
      </c>
      <c r="J226" s="1" t="s">
        <v>8</v>
      </c>
      <c r="K226" s="89">
        <v>12080</v>
      </c>
      <c r="L226" s="3">
        <v>62.1</v>
      </c>
      <c r="M226" s="3">
        <v>9.59</v>
      </c>
      <c r="N226" s="3" t="s">
        <v>8</v>
      </c>
      <c r="O226" s="3" t="s">
        <v>8</v>
      </c>
    </row>
    <row r="227" spans="1:15" x14ac:dyDescent="0.35">
      <c r="A227" s="5" t="str">
        <f>Loads[[#This Row],[Date]]&amp;Loads[[#This Row],[Product]]</f>
        <v>44202Product2</v>
      </c>
      <c r="B227" s="5">
        <f>COUNTIF($A$1:A227,Loads[[#This Row],[Load]])</f>
        <v>8</v>
      </c>
      <c r="C227" s="3" t="str">
        <f>Loads[[#This Row],[Load]]&amp;Loads[[#This Row],[Count]]</f>
        <v>44202Product28</v>
      </c>
      <c r="D227" s="90">
        <v>44202</v>
      </c>
      <c r="E227" s="143">
        <v>0.5131944444444444</v>
      </c>
      <c r="F227" s="1" t="s">
        <v>9</v>
      </c>
      <c r="G227" s="2" t="s">
        <v>13</v>
      </c>
      <c r="H227" s="2" t="s">
        <v>42</v>
      </c>
      <c r="I227" s="1" t="s">
        <v>11</v>
      </c>
      <c r="J227" s="1" t="s">
        <v>8</v>
      </c>
      <c r="K227" s="89">
        <v>11880</v>
      </c>
      <c r="L227" s="3">
        <v>61.51</v>
      </c>
      <c r="M227" s="3">
        <v>8.59</v>
      </c>
      <c r="N227" s="3" t="s">
        <v>8</v>
      </c>
      <c r="O227" s="3" t="s">
        <v>8</v>
      </c>
    </row>
    <row r="228" spans="1:15" x14ac:dyDescent="0.35">
      <c r="A228" s="5" t="str">
        <f>Loads[[#This Row],[Date]]&amp;Loads[[#This Row],[Product]]</f>
        <v>44202Product2</v>
      </c>
      <c r="B228" s="5">
        <f>COUNTIF($A$1:A228,Loads[[#This Row],[Load]])</f>
        <v>9</v>
      </c>
      <c r="C228" s="3" t="str">
        <f>Loads[[#This Row],[Load]]&amp;Loads[[#This Row],[Count]]</f>
        <v>44202Product29</v>
      </c>
      <c r="D228" s="90">
        <v>44202</v>
      </c>
      <c r="E228" s="143">
        <v>0.58472222222222225</v>
      </c>
      <c r="F228" s="1" t="s">
        <v>9</v>
      </c>
      <c r="G228" s="2" t="s">
        <v>13</v>
      </c>
      <c r="H228" s="2" t="s">
        <v>42</v>
      </c>
      <c r="I228" s="1" t="s">
        <v>11</v>
      </c>
      <c r="J228" s="1" t="s">
        <v>8</v>
      </c>
      <c r="K228" s="89">
        <v>9800</v>
      </c>
      <c r="L228" s="3">
        <v>67.8</v>
      </c>
      <c r="M228" s="3">
        <v>8.57</v>
      </c>
      <c r="N228" s="3" t="s">
        <v>8</v>
      </c>
      <c r="O228" s="3" t="s">
        <v>8</v>
      </c>
    </row>
    <row r="229" spans="1:15" x14ac:dyDescent="0.35">
      <c r="A229" s="5" t="str">
        <f>Loads[[#This Row],[Date]]&amp;Loads[[#This Row],[Product]]</f>
        <v>44202Product2</v>
      </c>
      <c r="B229" s="5">
        <f>COUNTIF($A$1:A229,Loads[[#This Row],[Load]])</f>
        <v>10</v>
      </c>
      <c r="C229" s="3" t="str">
        <f>Loads[[#This Row],[Load]]&amp;Loads[[#This Row],[Count]]</f>
        <v>44202Product210</v>
      </c>
      <c r="D229" s="90">
        <v>44202</v>
      </c>
      <c r="E229" s="143">
        <v>0.71666666666666667</v>
      </c>
      <c r="F229" s="1" t="s">
        <v>9</v>
      </c>
      <c r="G229" s="2" t="s">
        <v>13</v>
      </c>
      <c r="H229" s="2" t="s">
        <v>42</v>
      </c>
      <c r="I229" s="1" t="s">
        <v>11</v>
      </c>
      <c r="J229" s="1" t="s">
        <v>8</v>
      </c>
      <c r="K229" s="89">
        <v>10820</v>
      </c>
      <c r="L229" s="3">
        <v>63.17</v>
      </c>
      <c r="M229" s="3">
        <v>8.92</v>
      </c>
      <c r="N229" s="3" t="s">
        <v>8</v>
      </c>
      <c r="O229" s="3" t="s">
        <v>8</v>
      </c>
    </row>
    <row r="230" spans="1:15" x14ac:dyDescent="0.35">
      <c r="A230" s="5" t="str">
        <f>Loads[[#This Row],[Date]]&amp;Loads[[#This Row],[Product]]</f>
        <v>44202Product2</v>
      </c>
      <c r="B230" s="5">
        <f>COUNTIF($A$1:A230,Loads[[#This Row],[Load]])</f>
        <v>11</v>
      </c>
      <c r="C230" s="3" t="str">
        <f>Loads[[#This Row],[Load]]&amp;Loads[[#This Row],[Count]]</f>
        <v>44202Product211</v>
      </c>
      <c r="D230" s="90">
        <v>44202</v>
      </c>
      <c r="E230" s="143">
        <v>0.87569444444444444</v>
      </c>
      <c r="F230" s="1" t="s">
        <v>9</v>
      </c>
      <c r="G230" s="2" t="s">
        <v>13</v>
      </c>
      <c r="H230" s="2" t="s">
        <v>42</v>
      </c>
      <c r="I230" s="1" t="s">
        <v>11</v>
      </c>
      <c r="J230" s="1" t="s">
        <v>8</v>
      </c>
      <c r="K230" s="89">
        <v>12140</v>
      </c>
      <c r="L230" s="3">
        <v>63.87</v>
      </c>
      <c r="M230" s="3">
        <v>8.68</v>
      </c>
      <c r="N230" s="3" t="s">
        <v>8</v>
      </c>
      <c r="O230" s="3" t="s">
        <v>8</v>
      </c>
    </row>
    <row r="231" spans="1:15" x14ac:dyDescent="0.35">
      <c r="A231" s="5" t="str">
        <f>Loads[[#This Row],[Date]]&amp;Loads[[#This Row],[Product]]</f>
        <v>44202Product2</v>
      </c>
      <c r="B231" s="5">
        <f>COUNTIF($A$1:A231,Loads[[#This Row],[Load]])</f>
        <v>12</v>
      </c>
      <c r="C231" s="3" t="str">
        <f>Loads[[#This Row],[Load]]&amp;Loads[[#This Row],[Count]]</f>
        <v>44202Product212</v>
      </c>
      <c r="D231" s="90">
        <v>44202</v>
      </c>
      <c r="E231" s="143">
        <v>0.77500000000000002</v>
      </c>
      <c r="F231" s="1" t="s">
        <v>9</v>
      </c>
      <c r="G231" s="2" t="s">
        <v>13</v>
      </c>
      <c r="H231" s="2" t="s">
        <v>42</v>
      </c>
      <c r="I231" s="1" t="s">
        <v>11</v>
      </c>
      <c r="J231" s="1" t="s">
        <v>8</v>
      </c>
      <c r="K231" s="89">
        <v>11800</v>
      </c>
      <c r="L231" s="3">
        <v>64.17</v>
      </c>
      <c r="M231" s="3">
        <v>8.8699999999999992</v>
      </c>
      <c r="N231" s="3" t="s">
        <v>8</v>
      </c>
      <c r="O231" s="3" t="s">
        <v>8</v>
      </c>
    </row>
    <row r="232" spans="1:15" x14ac:dyDescent="0.35">
      <c r="A232" s="5" t="str">
        <f>Loads[[#This Row],[Date]]&amp;Loads[[#This Row],[Product]]</f>
        <v>44202Product2</v>
      </c>
      <c r="B232" s="5">
        <f>COUNTIF($A$1:A232,Loads[[#This Row],[Load]])</f>
        <v>13</v>
      </c>
      <c r="C232" s="3" t="str">
        <f>Loads[[#This Row],[Load]]&amp;Loads[[#This Row],[Count]]</f>
        <v>44202Product213</v>
      </c>
      <c r="D232" s="90">
        <v>44202</v>
      </c>
      <c r="E232" s="143">
        <v>0.79305555555555562</v>
      </c>
      <c r="F232" s="1" t="s">
        <v>9</v>
      </c>
      <c r="G232" s="2" t="s">
        <v>13</v>
      </c>
      <c r="H232" s="2" t="s">
        <v>42</v>
      </c>
      <c r="I232" s="1" t="s">
        <v>11</v>
      </c>
      <c r="J232" s="1" t="s">
        <v>8</v>
      </c>
      <c r="K232" s="89">
        <v>10760</v>
      </c>
      <c r="L232" s="3">
        <v>64.03</v>
      </c>
      <c r="M232" s="3">
        <v>9.2100000000000009</v>
      </c>
      <c r="N232" s="3" t="s">
        <v>8</v>
      </c>
      <c r="O232" s="3" t="s">
        <v>8</v>
      </c>
    </row>
    <row r="233" spans="1:15" x14ac:dyDescent="0.35">
      <c r="A233" s="5" t="str">
        <f>Loads[[#This Row],[Date]]&amp;Loads[[#This Row],[Product]]</f>
        <v>44203Product2</v>
      </c>
      <c r="B233" s="5">
        <f>COUNTIF($A$1:A233,Loads[[#This Row],[Load]])</f>
        <v>1</v>
      </c>
      <c r="C233" s="3" t="str">
        <f>Loads[[#This Row],[Load]]&amp;Loads[[#This Row],[Count]]</f>
        <v>44203Product21</v>
      </c>
      <c r="D233" s="90">
        <v>44203</v>
      </c>
      <c r="E233" s="143">
        <v>9.4444444444444442E-2</v>
      </c>
      <c r="F233" s="1" t="s">
        <v>9</v>
      </c>
      <c r="G233" s="2" t="s">
        <v>13</v>
      </c>
      <c r="H233" s="2" t="s">
        <v>42</v>
      </c>
      <c r="I233" s="1" t="s">
        <v>11</v>
      </c>
      <c r="J233" s="1" t="s">
        <v>8</v>
      </c>
      <c r="K233" s="89">
        <v>17580</v>
      </c>
      <c r="L233" s="3">
        <v>62.02</v>
      </c>
      <c r="M233" s="3">
        <v>8.83</v>
      </c>
      <c r="N233" s="3" t="s">
        <v>8</v>
      </c>
      <c r="O233" s="3" t="s">
        <v>8</v>
      </c>
    </row>
    <row r="234" spans="1:15" x14ac:dyDescent="0.35">
      <c r="A234" s="5" t="str">
        <f>Loads[[#This Row],[Date]]&amp;Loads[[#This Row],[Product]]</f>
        <v>44203Product2</v>
      </c>
      <c r="B234" s="5">
        <f>COUNTIF($A$1:A234,Loads[[#This Row],[Load]])</f>
        <v>2</v>
      </c>
      <c r="C234" s="3" t="str">
        <f>Loads[[#This Row],[Load]]&amp;Loads[[#This Row],[Count]]</f>
        <v>44203Product22</v>
      </c>
      <c r="D234" s="90">
        <v>44203</v>
      </c>
      <c r="E234" s="143">
        <v>2.7777777777777779E-3</v>
      </c>
      <c r="F234" s="1" t="s">
        <v>9</v>
      </c>
      <c r="G234" s="2" t="s">
        <v>13</v>
      </c>
      <c r="H234" s="2" t="s">
        <v>42</v>
      </c>
      <c r="I234" s="1" t="s">
        <v>11</v>
      </c>
      <c r="J234" s="1" t="s">
        <v>8</v>
      </c>
      <c r="K234" s="89">
        <v>12240</v>
      </c>
      <c r="L234" s="3">
        <v>63.17</v>
      </c>
      <c r="M234" s="3">
        <v>8.92</v>
      </c>
      <c r="N234" s="3" t="s">
        <v>8</v>
      </c>
      <c r="O234" s="3" t="s">
        <v>8</v>
      </c>
    </row>
    <row r="235" spans="1:15" x14ac:dyDescent="0.35">
      <c r="A235" s="5" t="str">
        <f>Loads[[#This Row],[Date]]&amp;Loads[[#This Row],[Product]]</f>
        <v>44203Product2</v>
      </c>
      <c r="B235" s="5">
        <f>COUNTIF($A$1:A235,Loads[[#This Row],[Load]])</f>
        <v>3</v>
      </c>
      <c r="C235" s="3" t="str">
        <f>Loads[[#This Row],[Load]]&amp;Loads[[#This Row],[Count]]</f>
        <v>44203Product23</v>
      </c>
      <c r="D235" s="90">
        <v>44203</v>
      </c>
      <c r="E235" s="143">
        <v>0.36874999999999997</v>
      </c>
      <c r="F235" s="1" t="s">
        <v>9</v>
      </c>
      <c r="G235" s="2" t="s">
        <v>13</v>
      </c>
      <c r="H235" s="2" t="s">
        <v>42</v>
      </c>
      <c r="I235" s="1" t="s">
        <v>11</v>
      </c>
      <c r="J235" s="1" t="s">
        <v>8</v>
      </c>
      <c r="K235" s="89">
        <v>11680</v>
      </c>
      <c r="L235" s="3">
        <v>64.17</v>
      </c>
      <c r="M235" s="3">
        <v>8.8699999999999992</v>
      </c>
      <c r="N235" s="3" t="s">
        <v>8</v>
      </c>
      <c r="O235" s="3" t="s">
        <v>8</v>
      </c>
    </row>
    <row r="236" spans="1:15" x14ac:dyDescent="0.35">
      <c r="A236" s="5" t="str">
        <f>Loads[[#This Row],[Date]]&amp;Loads[[#This Row],[Product]]</f>
        <v>44203Product2</v>
      </c>
      <c r="B236" s="5">
        <f>COUNTIF($A$1:A236,Loads[[#This Row],[Load]])</f>
        <v>4</v>
      </c>
      <c r="C236" s="3" t="str">
        <f>Loads[[#This Row],[Load]]&amp;Loads[[#This Row],[Count]]</f>
        <v>44203Product24</v>
      </c>
      <c r="D236" s="90">
        <v>44203</v>
      </c>
      <c r="E236" s="143">
        <v>0.11319444444444444</v>
      </c>
      <c r="F236" s="1" t="s">
        <v>9</v>
      </c>
      <c r="G236" s="2" t="s">
        <v>13</v>
      </c>
      <c r="H236" s="2" t="s">
        <v>42</v>
      </c>
      <c r="I236" s="1" t="s">
        <v>11</v>
      </c>
      <c r="J236" s="1" t="s">
        <v>8</v>
      </c>
      <c r="K236" s="89">
        <v>9580</v>
      </c>
      <c r="L236" s="3">
        <v>64.03</v>
      </c>
      <c r="M236" s="3">
        <v>9.2100000000000009</v>
      </c>
      <c r="N236" s="3" t="s">
        <v>8</v>
      </c>
      <c r="O236" s="3" t="s">
        <v>8</v>
      </c>
    </row>
    <row r="237" spans="1:15" x14ac:dyDescent="0.35">
      <c r="A237" s="5" t="str">
        <f>Loads[[#This Row],[Date]]&amp;Loads[[#This Row],[Product]]</f>
        <v>44203Product2</v>
      </c>
      <c r="B237" s="5">
        <f>COUNTIF($A$1:A237,Loads[[#This Row],[Load]])</f>
        <v>5</v>
      </c>
      <c r="C237" s="3" t="str">
        <f>Loads[[#This Row],[Load]]&amp;Loads[[#This Row],[Count]]</f>
        <v>44203Product25</v>
      </c>
      <c r="D237" s="90">
        <v>44203</v>
      </c>
      <c r="E237" s="143">
        <v>0.38819444444444445</v>
      </c>
      <c r="F237" s="1" t="s">
        <v>9</v>
      </c>
      <c r="G237" s="2" t="s">
        <v>13</v>
      </c>
      <c r="H237" s="2" t="s">
        <v>42</v>
      </c>
      <c r="I237" s="1" t="s">
        <v>11</v>
      </c>
      <c r="J237" s="1" t="s">
        <v>8</v>
      </c>
      <c r="K237" s="89">
        <v>10240</v>
      </c>
      <c r="L237" s="3">
        <v>63.87</v>
      </c>
      <c r="M237" s="3">
        <v>8.68</v>
      </c>
      <c r="N237" s="3" t="s">
        <v>8</v>
      </c>
      <c r="O237" s="3" t="s">
        <v>8</v>
      </c>
    </row>
    <row r="238" spans="1:15" x14ac:dyDescent="0.35">
      <c r="A238" s="5" t="str">
        <f>Loads[[#This Row],[Date]]&amp;Loads[[#This Row],[Product]]</f>
        <v>44203Product2</v>
      </c>
      <c r="B238" s="5">
        <f>COUNTIF($A$1:A238,Loads[[#This Row],[Load]])</f>
        <v>6</v>
      </c>
      <c r="C238" s="3" t="str">
        <f>Loads[[#This Row],[Load]]&amp;Loads[[#This Row],[Count]]</f>
        <v>44203Product26</v>
      </c>
      <c r="D238" s="90">
        <v>44203</v>
      </c>
      <c r="E238" s="143">
        <v>0.16944444444444443</v>
      </c>
      <c r="F238" s="1" t="s">
        <v>9</v>
      </c>
      <c r="G238" s="2" t="s">
        <v>13</v>
      </c>
      <c r="H238" s="2" t="s">
        <v>42</v>
      </c>
      <c r="I238" s="1" t="s">
        <v>11</v>
      </c>
      <c r="J238" s="1" t="s">
        <v>8</v>
      </c>
      <c r="K238" s="89">
        <v>9940</v>
      </c>
      <c r="L238" s="3">
        <v>63.02</v>
      </c>
      <c r="M238" s="3">
        <v>9.1</v>
      </c>
      <c r="N238" s="3" t="s">
        <v>8</v>
      </c>
      <c r="O238" s="3" t="s">
        <v>8</v>
      </c>
    </row>
    <row r="239" spans="1:15" x14ac:dyDescent="0.35">
      <c r="A239" s="5" t="str">
        <f>Loads[[#This Row],[Date]]&amp;Loads[[#This Row],[Product]]</f>
        <v>44203Product2</v>
      </c>
      <c r="B239" s="5">
        <f>COUNTIF($A$1:A239,Loads[[#This Row],[Load]])</f>
        <v>7</v>
      </c>
      <c r="C239" s="3" t="str">
        <f>Loads[[#This Row],[Load]]&amp;Loads[[#This Row],[Count]]</f>
        <v>44203Product27</v>
      </c>
      <c r="D239" s="90">
        <v>44203</v>
      </c>
      <c r="E239" s="143">
        <v>0.22291666666666665</v>
      </c>
      <c r="F239" s="1" t="s">
        <v>9</v>
      </c>
      <c r="G239" s="2" t="s">
        <v>13</v>
      </c>
      <c r="H239" s="2" t="s">
        <v>42</v>
      </c>
      <c r="I239" s="1" t="s">
        <v>11</v>
      </c>
      <c r="J239" s="1" t="s">
        <v>8</v>
      </c>
      <c r="K239" s="89">
        <v>8700</v>
      </c>
      <c r="L239" s="3">
        <v>61.71</v>
      </c>
      <c r="M239" s="3">
        <v>9.84</v>
      </c>
      <c r="N239" s="3" t="s">
        <v>8</v>
      </c>
      <c r="O239" s="3" t="s">
        <v>8</v>
      </c>
    </row>
    <row r="240" spans="1:15" x14ac:dyDescent="0.35">
      <c r="A240" s="5" t="str">
        <f>Loads[[#This Row],[Date]]&amp;Loads[[#This Row],[Product]]</f>
        <v>44203Product2</v>
      </c>
      <c r="B240" s="5">
        <f>COUNTIF($A$1:A240,Loads[[#This Row],[Load]])</f>
        <v>8</v>
      </c>
      <c r="C240" s="3" t="str">
        <f>Loads[[#This Row],[Load]]&amp;Loads[[#This Row],[Count]]</f>
        <v>44203Product28</v>
      </c>
      <c r="D240" s="90">
        <v>44203</v>
      </c>
      <c r="E240" s="143">
        <v>0.46249999999999997</v>
      </c>
      <c r="F240" s="1" t="s">
        <v>9</v>
      </c>
      <c r="G240" s="2" t="s">
        <v>13</v>
      </c>
      <c r="H240" s="2" t="s">
        <v>42</v>
      </c>
      <c r="I240" s="1" t="s">
        <v>11</v>
      </c>
      <c r="J240" s="1" t="s">
        <v>8</v>
      </c>
      <c r="K240" s="89">
        <v>11620</v>
      </c>
      <c r="L240" s="3">
        <v>63.73</v>
      </c>
      <c r="M240" s="3">
        <v>8.89</v>
      </c>
      <c r="N240" s="3" t="s">
        <v>8</v>
      </c>
      <c r="O240" s="3" t="s">
        <v>8</v>
      </c>
    </row>
    <row r="241" spans="1:15" x14ac:dyDescent="0.35">
      <c r="A241" s="5" t="str">
        <f>Loads[[#This Row],[Date]]&amp;Loads[[#This Row],[Product]]</f>
        <v>44203Product2</v>
      </c>
      <c r="B241" s="5">
        <f>COUNTIF($A$1:A241,Loads[[#This Row],[Load]])</f>
        <v>9</v>
      </c>
      <c r="C241" s="3" t="str">
        <f>Loads[[#This Row],[Load]]&amp;Loads[[#This Row],[Count]]</f>
        <v>44203Product29</v>
      </c>
      <c r="D241" s="90">
        <v>44203</v>
      </c>
      <c r="E241" s="143">
        <v>0.53819444444444442</v>
      </c>
      <c r="F241" s="1" t="s">
        <v>9</v>
      </c>
      <c r="G241" s="2" t="s">
        <v>13</v>
      </c>
      <c r="H241" s="2" t="s">
        <v>42</v>
      </c>
      <c r="I241" s="1" t="s">
        <v>11</v>
      </c>
      <c r="J241" s="1" t="s">
        <v>8</v>
      </c>
      <c r="K241" s="89">
        <v>11160</v>
      </c>
      <c r="L241" s="3">
        <v>62.17</v>
      </c>
      <c r="M241" s="3">
        <v>9.36</v>
      </c>
      <c r="N241" s="3" t="s">
        <v>8</v>
      </c>
      <c r="O241" s="3" t="s">
        <v>8</v>
      </c>
    </row>
    <row r="242" spans="1:15" x14ac:dyDescent="0.35">
      <c r="A242" s="5" t="str">
        <f>Loads[[#This Row],[Date]]&amp;Loads[[#This Row],[Product]]</f>
        <v>44203Product2</v>
      </c>
      <c r="B242" s="5">
        <f>COUNTIF($A$1:A242,Loads[[#This Row],[Load]])</f>
        <v>10</v>
      </c>
      <c r="C242" s="3" t="str">
        <f>Loads[[#This Row],[Load]]&amp;Loads[[#This Row],[Count]]</f>
        <v>44203Product210</v>
      </c>
      <c r="D242" s="90">
        <v>44203</v>
      </c>
      <c r="E242" s="143">
        <v>0.66041666666666665</v>
      </c>
      <c r="F242" s="1" t="s">
        <v>9</v>
      </c>
      <c r="G242" s="2" t="s">
        <v>13</v>
      </c>
      <c r="H242" s="2" t="s">
        <v>42</v>
      </c>
      <c r="I242" s="1" t="s">
        <v>11</v>
      </c>
      <c r="J242" s="1" t="s">
        <v>8</v>
      </c>
      <c r="K242" s="89">
        <v>11800</v>
      </c>
      <c r="L242" s="3">
        <v>60.12</v>
      </c>
      <c r="M242" s="3">
        <v>10.01</v>
      </c>
      <c r="N242" s="3" t="s">
        <v>8</v>
      </c>
      <c r="O242" s="3" t="s">
        <v>8</v>
      </c>
    </row>
    <row r="243" spans="1:15" x14ac:dyDescent="0.35">
      <c r="A243" s="5" t="str">
        <f>Loads[[#This Row],[Date]]&amp;Loads[[#This Row],[Product]]</f>
        <v>44203Product2</v>
      </c>
      <c r="B243" s="5">
        <f>COUNTIF($A$1:A243,Loads[[#This Row],[Load]])</f>
        <v>11</v>
      </c>
      <c r="C243" s="3" t="str">
        <f>Loads[[#This Row],[Load]]&amp;Loads[[#This Row],[Count]]</f>
        <v>44203Product211</v>
      </c>
      <c r="D243" s="90">
        <v>44203</v>
      </c>
      <c r="E243" s="143">
        <v>0.90833333333333333</v>
      </c>
      <c r="F243" s="1" t="s">
        <v>9</v>
      </c>
      <c r="G243" s="2" t="s">
        <v>13</v>
      </c>
      <c r="H243" s="2" t="s">
        <v>42</v>
      </c>
      <c r="I243" s="1" t="s">
        <v>11</v>
      </c>
      <c r="J243" s="1" t="s">
        <v>8</v>
      </c>
      <c r="K243" s="89">
        <v>10840</v>
      </c>
      <c r="L243" s="3">
        <v>65.010000000000005</v>
      </c>
      <c r="M243" s="3">
        <v>8.4</v>
      </c>
      <c r="N243" s="3" t="s">
        <v>8</v>
      </c>
      <c r="O243" s="3" t="s">
        <v>8</v>
      </c>
    </row>
    <row r="244" spans="1:15" x14ac:dyDescent="0.35">
      <c r="A244" s="5" t="str">
        <f>Loads[[#This Row],[Date]]&amp;Loads[[#This Row],[Product]]</f>
        <v>44203Product2</v>
      </c>
      <c r="B244" s="5">
        <f>COUNTIF($A$1:A244,Loads[[#This Row],[Load]])</f>
        <v>12</v>
      </c>
      <c r="C244" s="3" t="str">
        <f>Loads[[#This Row],[Load]]&amp;Loads[[#This Row],[Count]]</f>
        <v>44203Product212</v>
      </c>
      <c r="D244" s="90">
        <v>44203</v>
      </c>
      <c r="E244" s="143">
        <v>0.83750000000000002</v>
      </c>
      <c r="F244" s="1" t="s">
        <v>9</v>
      </c>
      <c r="G244" s="2" t="s">
        <v>13</v>
      </c>
      <c r="H244" s="2" t="s">
        <v>42</v>
      </c>
      <c r="I244" s="1" t="s">
        <v>11</v>
      </c>
      <c r="J244" s="1" t="s">
        <v>8</v>
      </c>
      <c r="K244" s="89">
        <v>10540</v>
      </c>
      <c r="L244" s="3">
        <v>62.67</v>
      </c>
      <c r="M244" s="3">
        <v>9.1199999999999992</v>
      </c>
      <c r="N244" s="3" t="s">
        <v>8</v>
      </c>
      <c r="O244" s="3" t="s">
        <v>8</v>
      </c>
    </row>
    <row r="245" spans="1:15" x14ac:dyDescent="0.35">
      <c r="A245" s="5" t="str">
        <f>Loads[[#This Row],[Date]]&amp;Loads[[#This Row],[Product]]</f>
        <v>44203Product2</v>
      </c>
      <c r="B245" s="5">
        <f>COUNTIF($A$1:A245,Loads[[#This Row],[Load]])</f>
        <v>13</v>
      </c>
      <c r="C245" s="3" t="str">
        <f>Loads[[#This Row],[Load]]&amp;Loads[[#This Row],[Count]]</f>
        <v>44203Product213</v>
      </c>
      <c r="D245" s="90">
        <v>44203</v>
      </c>
      <c r="E245" s="143">
        <v>0.78125</v>
      </c>
      <c r="F245" s="1" t="s">
        <v>9</v>
      </c>
      <c r="G245" s="2" t="s">
        <v>13</v>
      </c>
      <c r="H245" s="2" t="s">
        <v>42</v>
      </c>
      <c r="I245" s="1" t="s">
        <v>11</v>
      </c>
      <c r="J245" s="1" t="s">
        <v>8</v>
      </c>
      <c r="K245" s="89">
        <v>11220</v>
      </c>
      <c r="L245" s="3">
        <v>61.97</v>
      </c>
      <c r="M245" s="3">
        <v>9.32</v>
      </c>
      <c r="N245" s="3" t="s">
        <v>8</v>
      </c>
      <c r="O245" s="3" t="s">
        <v>8</v>
      </c>
    </row>
    <row r="246" spans="1:15" x14ac:dyDescent="0.35">
      <c r="A246" s="5" t="str">
        <f>Loads[[#This Row],[Date]]&amp;Loads[[#This Row],[Product]]</f>
        <v>44203Product2</v>
      </c>
      <c r="B246" s="5">
        <f>COUNTIF($A$1:A246,Loads[[#This Row],[Load]])</f>
        <v>14</v>
      </c>
      <c r="C246" s="3" t="str">
        <f>Loads[[#This Row],[Load]]&amp;Loads[[#This Row],[Count]]</f>
        <v>44203Product214</v>
      </c>
      <c r="D246" s="90">
        <v>44203</v>
      </c>
      <c r="E246" s="143">
        <v>0.69791666666666663</v>
      </c>
      <c r="F246" s="1" t="s">
        <v>9</v>
      </c>
      <c r="G246" s="2" t="s">
        <v>13</v>
      </c>
      <c r="H246" s="2" t="s">
        <v>42</v>
      </c>
      <c r="I246" s="1" t="s">
        <v>11</v>
      </c>
      <c r="J246" s="1" t="s">
        <v>8</v>
      </c>
      <c r="K246" s="89">
        <v>12960</v>
      </c>
      <c r="L246" s="3">
        <v>61.93</v>
      </c>
      <c r="M246" s="3">
        <v>9.48</v>
      </c>
      <c r="N246" s="3" t="s">
        <v>8</v>
      </c>
      <c r="O246" s="3" t="s">
        <v>8</v>
      </c>
    </row>
    <row r="247" spans="1:15" x14ac:dyDescent="0.35">
      <c r="A247" s="5" t="str">
        <f>Loads[[#This Row],[Date]]&amp;Loads[[#This Row],[Product]]</f>
        <v>44203Product2</v>
      </c>
      <c r="B247" s="5">
        <f>COUNTIF($A$1:A247,Loads[[#This Row],[Load]])</f>
        <v>15</v>
      </c>
      <c r="C247" s="3" t="str">
        <f>Loads[[#This Row],[Load]]&amp;Loads[[#This Row],[Count]]</f>
        <v>44203Product215</v>
      </c>
      <c r="D247" s="90">
        <v>44203</v>
      </c>
      <c r="E247" s="143">
        <v>0.82291666666666663</v>
      </c>
      <c r="F247" s="1" t="s">
        <v>9</v>
      </c>
      <c r="G247" s="2" t="s">
        <v>13</v>
      </c>
      <c r="H247" s="2" t="s">
        <v>42</v>
      </c>
      <c r="I247" s="1" t="s">
        <v>11</v>
      </c>
      <c r="J247" s="1" t="s">
        <v>8</v>
      </c>
      <c r="K247" s="89">
        <v>11020</v>
      </c>
      <c r="L247" s="3">
        <v>61.94</v>
      </c>
      <c r="M247" s="3">
        <v>9.32</v>
      </c>
      <c r="N247" s="3" t="s">
        <v>8</v>
      </c>
      <c r="O247" s="3" t="s">
        <v>8</v>
      </c>
    </row>
    <row r="248" spans="1:15" x14ac:dyDescent="0.35">
      <c r="A248" s="5" t="str">
        <f>Loads[[#This Row],[Date]]&amp;Loads[[#This Row],[Product]]</f>
        <v>44204Product2</v>
      </c>
      <c r="B248" s="5">
        <f>COUNTIF($A$1:A248,Loads[[#This Row],[Load]])</f>
        <v>1</v>
      </c>
      <c r="C248" s="3" t="str">
        <f>Loads[[#This Row],[Load]]&amp;Loads[[#This Row],[Count]]</f>
        <v>44204Product21</v>
      </c>
      <c r="D248" s="90">
        <v>44204</v>
      </c>
      <c r="E248" s="143">
        <v>0.12986111111111112</v>
      </c>
      <c r="F248" s="1" t="s">
        <v>9</v>
      </c>
      <c r="G248" s="2" t="s">
        <v>13</v>
      </c>
      <c r="H248" s="2" t="s">
        <v>42</v>
      </c>
      <c r="I248" s="1" t="s">
        <v>11</v>
      </c>
      <c r="J248" s="1" t="s">
        <v>8</v>
      </c>
      <c r="K248" s="89">
        <v>10620</v>
      </c>
      <c r="L248" s="3">
        <v>65.569999999999993</v>
      </c>
      <c r="M248" s="3">
        <v>7.64</v>
      </c>
      <c r="N248" s="3" t="s">
        <v>8</v>
      </c>
      <c r="O248" s="3" t="s">
        <v>8</v>
      </c>
    </row>
    <row r="249" spans="1:15" x14ac:dyDescent="0.35">
      <c r="A249" s="5" t="str">
        <f>Loads[[#This Row],[Date]]&amp;Loads[[#This Row],[Product]]</f>
        <v>44204Product2</v>
      </c>
      <c r="B249" s="5">
        <f>COUNTIF($A$1:A249,Loads[[#This Row],[Load]])</f>
        <v>2</v>
      </c>
      <c r="C249" s="3" t="str">
        <f>Loads[[#This Row],[Load]]&amp;Loads[[#This Row],[Count]]</f>
        <v>44204Product22</v>
      </c>
      <c r="D249" s="90">
        <v>44204</v>
      </c>
      <c r="E249" s="143">
        <v>0.20486111111111113</v>
      </c>
      <c r="F249" s="1" t="s">
        <v>9</v>
      </c>
      <c r="G249" s="2" t="s">
        <v>13</v>
      </c>
      <c r="H249" s="2" t="s">
        <v>42</v>
      </c>
      <c r="I249" s="1" t="s">
        <v>11</v>
      </c>
      <c r="J249" s="1" t="s">
        <v>8</v>
      </c>
      <c r="K249" s="89">
        <v>11680</v>
      </c>
      <c r="L249" s="3">
        <v>62.17</v>
      </c>
      <c r="M249" s="3">
        <v>8.73</v>
      </c>
      <c r="N249" s="3" t="s">
        <v>8</v>
      </c>
      <c r="O249" s="3" t="s">
        <v>8</v>
      </c>
    </row>
    <row r="250" spans="1:15" x14ac:dyDescent="0.35">
      <c r="A250" s="5" t="str">
        <f>Loads[[#This Row],[Date]]&amp;Loads[[#This Row],[Product]]</f>
        <v>44204Product2</v>
      </c>
      <c r="B250" s="5">
        <f>COUNTIF($A$1:A250,Loads[[#This Row],[Load]])</f>
        <v>3</v>
      </c>
      <c r="C250" s="3" t="str">
        <f>Loads[[#This Row],[Load]]&amp;Loads[[#This Row],[Count]]</f>
        <v>44204Product23</v>
      </c>
      <c r="D250" s="90">
        <v>44204</v>
      </c>
      <c r="E250" s="143">
        <v>0.50902777777777775</v>
      </c>
      <c r="F250" s="1" t="s">
        <v>9</v>
      </c>
      <c r="G250" s="2" t="s">
        <v>13</v>
      </c>
      <c r="H250" s="2" t="s">
        <v>42</v>
      </c>
      <c r="I250" s="1" t="s">
        <v>11</v>
      </c>
      <c r="J250" s="1" t="s">
        <v>8</v>
      </c>
      <c r="K250" s="89">
        <v>10600</v>
      </c>
      <c r="L250" s="3">
        <v>63.7</v>
      </c>
      <c r="M250" s="3">
        <v>8.2899999999999991</v>
      </c>
      <c r="N250" s="3" t="s">
        <v>8</v>
      </c>
      <c r="O250" s="3" t="s">
        <v>8</v>
      </c>
    </row>
    <row r="251" spans="1:15" x14ac:dyDescent="0.35">
      <c r="A251" s="5" t="str">
        <f>Loads[[#This Row],[Date]]&amp;Loads[[#This Row],[Product]]</f>
        <v>44204Product2</v>
      </c>
      <c r="B251" s="5">
        <f>COUNTIF($A$1:A251,Loads[[#This Row],[Load]])</f>
        <v>4</v>
      </c>
      <c r="C251" s="3" t="str">
        <f>Loads[[#This Row],[Load]]&amp;Loads[[#This Row],[Count]]</f>
        <v>44204Product24</v>
      </c>
      <c r="D251" s="90">
        <v>44204</v>
      </c>
      <c r="E251" s="143">
        <v>0.27708333333333335</v>
      </c>
      <c r="F251" s="1" t="s">
        <v>9</v>
      </c>
      <c r="G251" s="2" t="s">
        <v>13</v>
      </c>
      <c r="H251" s="2" t="s">
        <v>42</v>
      </c>
      <c r="I251" s="1" t="s">
        <v>11</v>
      </c>
      <c r="J251" s="1" t="s">
        <v>8</v>
      </c>
      <c r="K251" s="89">
        <v>11160</v>
      </c>
      <c r="L251" s="3">
        <v>62.22</v>
      </c>
      <c r="M251" s="3">
        <v>8.74</v>
      </c>
      <c r="N251" s="3" t="s">
        <v>8</v>
      </c>
      <c r="O251" s="3" t="s">
        <v>8</v>
      </c>
    </row>
    <row r="252" spans="1:15" x14ac:dyDescent="0.35">
      <c r="A252" s="5" t="str">
        <f>Loads[[#This Row],[Date]]&amp;Loads[[#This Row],[Product]]</f>
        <v>44204Product2</v>
      </c>
      <c r="B252" s="5">
        <f>COUNTIF($A$1:A252,Loads[[#This Row],[Load]])</f>
        <v>5</v>
      </c>
      <c r="C252" s="3" t="str">
        <f>Loads[[#This Row],[Load]]&amp;Loads[[#This Row],[Count]]</f>
        <v>44204Product25</v>
      </c>
      <c r="D252" s="90">
        <v>44204</v>
      </c>
      <c r="E252" s="143">
        <v>0.35833333333333334</v>
      </c>
      <c r="F252" s="1" t="s">
        <v>9</v>
      </c>
      <c r="G252" s="2" t="s">
        <v>13</v>
      </c>
      <c r="H252" s="2" t="s">
        <v>42</v>
      </c>
      <c r="I252" s="1" t="s">
        <v>11</v>
      </c>
      <c r="J252" s="1" t="s">
        <v>8</v>
      </c>
      <c r="K252" s="89">
        <v>12040</v>
      </c>
      <c r="L252" s="3">
        <v>62.82</v>
      </c>
      <c r="M252" s="3">
        <v>8.76</v>
      </c>
      <c r="N252" s="3" t="s">
        <v>8</v>
      </c>
      <c r="O252" s="3" t="s">
        <v>8</v>
      </c>
    </row>
    <row r="253" spans="1:15" x14ac:dyDescent="0.35">
      <c r="A253" s="5" t="str">
        <f>Loads[[#This Row],[Date]]&amp;Loads[[#This Row],[Product]]</f>
        <v>44204Product2</v>
      </c>
      <c r="B253" s="5">
        <f>COUNTIF($A$1:A253,Loads[[#This Row],[Load]])</f>
        <v>6</v>
      </c>
      <c r="C253" s="3" t="str">
        <f>Loads[[#This Row],[Load]]&amp;Loads[[#This Row],[Count]]</f>
        <v>44204Product26</v>
      </c>
      <c r="D253" s="90">
        <v>44204</v>
      </c>
      <c r="E253" s="143">
        <v>0.53472222222222221</v>
      </c>
      <c r="F253" s="1" t="s">
        <v>9</v>
      </c>
      <c r="G253" s="2" t="s">
        <v>13</v>
      </c>
      <c r="H253" s="2" t="s">
        <v>42</v>
      </c>
      <c r="I253" s="1" t="s">
        <v>11</v>
      </c>
      <c r="J253" s="1" t="s">
        <v>8</v>
      </c>
      <c r="K253" s="89">
        <v>9360</v>
      </c>
      <c r="L253" s="3">
        <v>65.17</v>
      </c>
      <c r="M253" s="3">
        <v>8.36</v>
      </c>
      <c r="N253" s="3" t="s">
        <v>8</v>
      </c>
      <c r="O253" s="3" t="s">
        <v>8</v>
      </c>
    </row>
    <row r="254" spans="1:15" x14ac:dyDescent="0.35">
      <c r="A254" s="5" t="str">
        <f>Loads[[#This Row],[Date]]&amp;Loads[[#This Row],[Product]]</f>
        <v>44204Product2</v>
      </c>
      <c r="B254" s="5">
        <f>COUNTIF($A$1:A254,Loads[[#This Row],[Load]])</f>
        <v>7</v>
      </c>
      <c r="C254" s="3" t="str">
        <f>Loads[[#This Row],[Load]]&amp;Loads[[#This Row],[Count]]</f>
        <v>44204Product27</v>
      </c>
      <c r="D254" s="90">
        <v>44204</v>
      </c>
      <c r="E254" s="143">
        <v>0.70277777777777783</v>
      </c>
      <c r="F254" s="1" t="s">
        <v>9</v>
      </c>
      <c r="G254" s="2" t="s">
        <v>13</v>
      </c>
      <c r="H254" s="2" t="s">
        <v>42</v>
      </c>
      <c r="I254" s="1" t="s">
        <v>11</v>
      </c>
      <c r="J254" s="1" t="s">
        <v>8</v>
      </c>
      <c r="K254" s="89">
        <v>11640</v>
      </c>
      <c r="L254" s="3">
        <v>64.12</v>
      </c>
      <c r="M254" s="3">
        <v>8.98</v>
      </c>
      <c r="N254" s="3" t="s">
        <v>8</v>
      </c>
      <c r="O254" s="3" t="s">
        <v>8</v>
      </c>
    </row>
    <row r="255" spans="1:15" x14ac:dyDescent="0.35">
      <c r="A255" s="5" t="str">
        <f>Loads[[#This Row],[Date]]&amp;Loads[[#This Row],[Product]]</f>
        <v>44204Product2</v>
      </c>
      <c r="B255" s="5">
        <f>COUNTIF($A$1:A255,Loads[[#This Row],[Load]])</f>
        <v>8</v>
      </c>
      <c r="C255" s="3" t="str">
        <f>Loads[[#This Row],[Load]]&amp;Loads[[#This Row],[Count]]</f>
        <v>44204Product28</v>
      </c>
      <c r="D255" s="90">
        <v>44204</v>
      </c>
      <c r="E255" s="143">
        <v>0.45555555555555555</v>
      </c>
      <c r="F255" s="1" t="s">
        <v>9</v>
      </c>
      <c r="G255" s="2" t="s">
        <v>13</v>
      </c>
      <c r="H255" s="2" t="s">
        <v>42</v>
      </c>
      <c r="I255" s="1" t="s">
        <v>11</v>
      </c>
      <c r="J255" s="1" t="s">
        <v>8</v>
      </c>
      <c r="K255" s="89">
        <v>11720</v>
      </c>
      <c r="L255" s="3">
        <v>63.89</v>
      </c>
      <c r="M255" s="3">
        <v>8.83</v>
      </c>
      <c r="N255" s="3" t="s">
        <v>8</v>
      </c>
      <c r="O255" s="3" t="s">
        <v>8</v>
      </c>
    </row>
    <row r="256" spans="1:15" x14ac:dyDescent="0.35">
      <c r="A256" s="5" t="str">
        <f>Loads[[#This Row],[Date]]&amp;Loads[[#This Row],[Product]]</f>
        <v>44204Product2</v>
      </c>
      <c r="B256" s="5">
        <f>COUNTIF($A$1:A256,Loads[[#This Row],[Load]])</f>
        <v>9</v>
      </c>
      <c r="C256" s="3" t="str">
        <f>Loads[[#This Row],[Load]]&amp;Loads[[#This Row],[Count]]</f>
        <v>44204Product29</v>
      </c>
      <c r="D256" s="90">
        <v>44204</v>
      </c>
      <c r="E256" s="143">
        <v>0.59375</v>
      </c>
      <c r="F256" s="1" t="s">
        <v>9</v>
      </c>
      <c r="G256" s="2" t="s">
        <v>13</v>
      </c>
      <c r="H256" s="2" t="s">
        <v>42</v>
      </c>
      <c r="I256" s="1" t="s">
        <v>11</v>
      </c>
      <c r="J256" s="1" t="s">
        <v>8</v>
      </c>
      <c r="K256" s="89">
        <v>12880</v>
      </c>
      <c r="L256" s="3">
        <v>64.349999999999994</v>
      </c>
      <c r="M256" s="3">
        <v>9.2200000000000006</v>
      </c>
      <c r="N256" s="3" t="s">
        <v>8</v>
      </c>
      <c r="O256" s="3" t="s">
        <v>8</v>
      </c>
    </row>
    <row r="257" spans="1:15" x14ac:dyDescent="0.35">
      <c r="A257" s="5" t="str">
        <f>Loads[[#This Row],[Date]]&amp;Loads[[#This Row],[Product]]</f>
        <v>44204Product2</v>
      </c>
      <c r="B257" s="5">
        <f>COUNTIF($A$1:A257,Loads[[#This Row],[Load]])</f>
        <v>10</v>
      </c>
      <c r="C257" s="3" t="str">
        <f>Loads[[#This Row],[Load]]&amp;Loads[[#This Row],[Count]]</f>
        <v>44204Product210</v>
      </c>
      <c r="D257" s="90">
        <v>44204</v>
      </c>
      <c r="E257" s="143">
        <v>0.6777777777777777</v>
      </c>
      <c r="F257" s="1" t="s">
        <v>9</v>
      </c>
      <c r="G257" s="2" t="s">
        <v>13</v>
      </c>
      <c r="H257" s="2" t="s">
        <v>42</v>
      </c>
      <c r="I257" s="1" t="s">
        <v>11</v>
      </c>
      <c r="J257" s="1" t="s">
        <v>8</v>
      </c>
      <c r="K257" s="89">
        <v>12280</v>
      </c>
      <c r="L257" s="3">
        <v>64.760000000000005</v>
      </c>
      <c r="M257" s="3">
        <v>9.16</v>
      </c>
      <c r="N257" s="3" t="s">
        <v>8</v>
      </c>
      <c r="O257" s="3" t="s">
        <v>8</v>
      </c>
    </row>
    <row r="258" spans="1:15" x14ac:dyDescent="0.35">
      <c r="A258" s="5" t="str">
        <f>Loads[[#This Row],[Date]]&amp;Loads[[#This Row],[Product]]</f>
        <v>44204Product2</v>
      </c>
      <c r="B258" s="5">
        <f>COUNTIF($A$1:A258,Loads[[#This Row],[Load]])</f>
        <v>11</v>
      </c>
      <c r="C258" s="3" t="str">
        <f>Loads[[#This Row],[Load]]&amp;Loads[[#This Row],[Count]]</f>
        <v>44204Product211</v>
      </c>
      <c r="D258" s="90">
        <v>44204</v>
      </c>
      <c r="E258" s="143">
        <v>0.87361111111111101</v>
      </c>
      <c r="F258" s="1" t="s">
        <v>9</v>
      </c>
      <c r="G258" s="2" t="s">
        <v>13</v>
      </c>
      <c r="H258" s="2" t="s">
        <v>42</v>
      </c>
      <c r="I258" s="1" t="s">
        <v>11</v>
      </c>
      <c r="J258" s="1" t="s">
        <v>8</v>
      </c>
      <c r="K258" s="89">
        <v>13100</v>
      </c>
      <c r="L258" s="3">
        <v>61.94</v>
      </c>
      <c r="M258" s="3">
        <v>9.32</v>
      </c>
      <c r="N258" s="3" t="s">
        <v>8</v>
      </c>
      <c r="O258" s="3" t="s">
        <v>8</v>
      </c>
    </row>
    <row r="259" spans="1:15" x14ac:dyDescent="0.35">
      <c r="A259" s="5" t="str">
        <f>Loads[[#This Row],[Date]]&amp;Loads[[#This Row],[Product]]</f>
        <v>44204Product2</v>
      </c>
      <c r="B259" s="5">
        <f>COUNTIF($A$1:A259,Loads[[#This Row],[Load]])</f>
        <v>12</v>
      </c>
      <c r="C259" s="3" t="str">
        <f>Loads[[#This Row],[Load]]&amp;Loads[[#This Row],[Count]]</f>
        <v>44204Product212</v>
      </c>
      <c r="D259" s="90">
        <v>44204</v>
      </c>
      <c r="E259" s="143">
        <v>0.80208333333333337</v>
      </c>
      <c r="F259" s="1" t="s">
        <v>9</v>
      </c>
      <c r="G259" s="2" t="s">
        <v>13</v>
      </c>
      <c r="H259" s="2" t="s">
        <v>42</v>
      </c>
      <c r="I259" s="1" t="s">
        <v>11</v>
      </c>
      <c r="J259" s="1" t="s">
        <v>8</v>
      </c>
      <c r="K259" s="89">
        <v>12200</v>
      </c>
      <c r="L259" s="3">
        <v>65.38</v>
      </c>
      <c r="M259" s="3">
        <v>8.9600000000000009</v>
      </c>
      <c r="N259" s="3" t="s">
        <v>8</v>
      </c>
      <c r="O259" s="3" t="s">
        <v>8</v>
      </c>
    </row>
    <row r="260" spans="1:15" x14ac:dyDescent="0.35">
      <c r="A260" s="5" t="str">
        <f>Loads[[#This Row],[Date]]&amp;Loads[[#This Row],[Product]]</f>
        <v>44204Product2</v>
      </c>
      <c r="B260" s="5">
        <f>COUNTIF($A$1:A260,Loads[[#This Row],[Load]])</f>
        <v>13</v>
      </c>
      <c r="C260" s="3" t="str">
        <f>Loads[[#This Row],[Load]]&amp;Loads[[#This Row],[Count]]</f>
        <v>44204Product213</v>
      </c>
      <c r="D260" s="90">
        <v>44204</v>
      </c>
      <c r="E260" s="143">
        <v>0.73749999999999993</v>
      </c>
      <c r="F260" s="1" t="s">
        <v>9</v>
      </c>
      <c r="G260" s="2" t="s">
        <v>13</v>
      </c>
      <c r="H260" s="2" t="s">
        <v>42</v>
      </c>
      <c r="I260" s="1" t="s">
        <v>11</v>
      </c>
      <c r="J260" s="1" t="s">
        <v>8</v>
      </c>
      <c r="K260" s="89">
        <v>10300</v>
      </c>
      <c r="L260" s="3">
        <v>64.569999999999993</v>
      </c>
      <c r="M260" s="3">
        <v>9.1199999999999992</v>
      </c>
      <c r="N260" s="3" t="s">
        <v>8</v>
      </c>
      <c r="O260" s="3" t="s">
        <v>8</v>
      </c>
    </row>
    <row r="261" spans="1:15" x14ac:dyDescent="0.35">
      <c r="A261" s="5" t="str">
        <f>Loads[[#This Row],[Date]]&amp;Loads[[#This Row],[Product]]</f>
        <v>44204Product2</v>
      </c>
      <c r="B261" s="5">
        <f>COUNTIF($A$1:A261,Loads[[#This Row],[Load]])</f>
        <v>14</v>
      </c>
      <c r="C261" s="3" t="str">
        <f>Loads[[#This Row],[Load]]&amp;Loads[[#This Row],[Count]]</f>
        <v>44204Product214</v>
      </c>
      <c r="D261" s="90">
        <v>44204</v>
      </c>
      <c r="E261" s="143">
        <v>0.9243055555555556</v>
      </c>
      <c r="F261" s="1" t="s">
        <v>9</v>
      </c>
      <c r="G261" s="2" t="s">
        <v>13</v>
      </c>
      <c r="H261" s="2" t="s">
        <v>42</v>
      </c>
      <c r="I261" s="1" t="s">
        <v>11</v>
      </c>
      <c r="J261" s="1" t="s">
        <v>8</v>
      </c>
      <c r="K261" s="89">
        <v>11780</v>
      </c>
      <c r="L261" s="3">
        <v>61.93</v>
      </c>
      <c r="M261" s="3">
        <v>9.48</v>
      </c>
      <c r="N261" s="3" t="s">
        <v>8</v>
      </c>
      <c r="O261" s="3" t="s">
        <v>8</v>
      </c>
    </row>
    <row r="262" spans="1:15" x14ac:dyDescent="0.35">
      <c r="A262" s="5" t="str">
        <f>Loads[[#This Row],[Date]]&amp;Loads[[#This Row],[Product]]</f>
        <v>44204Product2</v>
      </c>
      <c r="B262" s="5">
        <f>COUNTIF($A$1:A262,Loads[[#This Row],[Load]])</f>
        <v>15</v>
      </c>
      <c r="C262" s="3" t="str">
        <f>Loads[[#This Row],[Load]]&amp;Loads[[#This Row],[Count]]</f>
        <v>44204Product215</v>
      </c>
      <c r="D262" s="90">
        <v>44204</v>
      </c>
      <c r="E262" s="143">
        <v>0.85763888888888884</v>
      </c>
      <c r="F262" s="1" t="s">
        <v>9</v>
      </c>
      <c r="G262" s="2" t="s">
        <v>13</v>
      </c>
      <c r="H262" s="2" t="s">
        <v>42</v>
      </c>
      <c r="I262" s="1" t="s">
        <v>11</v>
      </c>
      <c r="J262" s="1" t="s">
        <v>8</v>
      </c>
      <c r="K262" s="89">
        <v>11640</v>
      </c>
      <c r="L262" s="3">
        <v>64</v>
      </c>
      <c r="M262" s="3">
        <v>8.31</v>
      </c>
      <c r="N262" s="3" t="s">
        <v>8</v>
      </c>
      <c r="O262" s="3" t="s">
        <v>8</v>
      </c>
    </row>
    <row r="263" spans="1:15" x14ac:dyDescent="0.35">
      <c r="A263" s="5" t="str">
        <f>Loads[[#This Row],[Date]]&amp;Loads[[#This Row],[Product]]</f>
        <v>44205Product2</v>
      </c>
      <c r="B263" s="5">
        <f>COUNTIF($A$1:A263,Loads[[#This Row],[Load]])</f>
        <v>1</v>
      </c>
      <c r="C263" s="3" t="str">
        <f>Loads[[#This Row],[Load]]&amp;Loads[[#This Row],[Count]]</f>
        <v>44205Product21</v>
      </c>
      <c r="D263" s="90">
        <v>44205</v>
      </c>
      <c r="E263" s="143">
        <v>2.7777777777777779E-3</v>
      </c>
      <c r="F263" s="1" t="s">
        <v>9</v>
      </c>
      <c r="G263" s="2" t="s">
        <v>13</v>
      </c>
      <c r="H263" s="2" t="s">
        <v>42</v>
      </c>
      <c r="I263" s="1" t="s">
        <v>11</v>
      </c>
      <c r="J263" s="1" t="s">
        <v>8</v>
      </c>
      <c r="K263" s="89">
        <v>12200</v>
      </c>
      <c r="L263" s="3">
        <v>62.37</v>
      </c>
      <c r="M263" s="3">
        <v>8.1300000000000008</v>
      </c>
      <c r="N263" s="3" t="s">
        <v>8</v>
      </c>
      <c r="O263" s="3" t="s">
        <v>8</v>
      </c>
    </row>
    <row r="264" spans="1:15" x14ac:dyDescent="0.35">
      <c r="A264" s="5" t="str">
        <f>Loads[[#This Row],[Date]]&amp;Loads[[#This Row],[Product]]</f>
        <v>44205Product2</v>
      </c>
      <c r="B264" s="5">
        <f>COUNTIF($A$1:A264,Loads[[#This Row],[Load]])</f>
        <v>2</v>
      </c>
      <c r="C264" s="3" t="str">
        <f>Loads[[#This Row],[Load]]&amp;Loads[[#This Row],[Count]]</f>
        <v>44205Product22</v>
      </c>
      <c r="D264" s="90">
        <v>44205</v>
      </c>
      <c r="E264" s="143">
        <v>6.1805555555555558E-2</v>
      </c>
      <c r="F264" s="1" t="s">
        <v>9</v>
      </c>
      <c r="G264" s="2" t="s">
        <v>13</v>
      </c>
      <c r="H264" s="2" t="s">
        <v>42</v>
      </c>
      <c r="I264" s="1" t="s">
        <v>11</v>
      </c>
      <c r="J264" s="1" t="s">
        <v>8</v>
      </c>
      <c r="K264" s="89">
        <v>10060</v>
      </c>
      <c r="L264" s="3">
        <v>62.73</v>
      </c>
      <c r="M264" s="3">
        <v>8.52</v>
      </c>
      <c r="N264" s="3" t="s">
        <v>8</v>
      </c>
      <c r="O264" s="3" t="s">
        <v>8</v>
      </c>
    </row>
    <row r="265" spans="1:15" x14ac:dyDescent="0.35">
      <c r="A265" s="5" t="str">
        <f>Loads[[#This Row],[Date]]&amp;Loads[[#This Row],[Product]]</f>
        <v>44205Product2</v>
      </c>
      <c r="B265" s="5">
        <f>COUNTIF($A$1:A265,Loads[[#This Row],[Load]])</f>
        <v>3</v>
      </c>
      <c r="C265" s="3" t="str">
        <f>Loads[[#This Row],[Load]]&amp;Loads[[#This Row],[Count]]</f>
        <v>44205Product23</v>
      </c>
      <c r="D265" s="90">
        <v>44205</v>
      </c>
      <c r="E265" s="143">
        <v>0.12986111111111112</v>
      </c>
      <c r="F265" s="1" t="s">
        <v>9</v>
      </c>
      <c r="G265" s="2" t="s">
        <v>13</v>
      </c>
      <c r="H265" s="2" t="s">
        <v>42</v>
      </c>
      <c r="I265" s="1" t="s">
        <v>11</v>
      </c>
      <c r="J265" s="1" t="s">
        <v>8</v>
      </c>
      <c r="K265" s="89">
        <v>9540</v>
      </c>
      <c r="L265" s="3">
        <v>62.13</v>
      </c>
      <c r="M265" s="3">
        <v>10.61</v>
      </c>
      <c r="N265" s="3" t="s">
        <v>8</v>
      </c>
      <c r="O265" s="3" t="s">
        <v>8</v>
      </c>
    </row>
    <row r="266" spans="1:15" x14ac:dyDescent="0.35">
      <c r="A266" s="5" t="str">
        <f>Loads[[#This Row],[Date]]&amp;Loads[[#This Row],[Product]]</f>
        <v>44205Product2</v>
      </c>
      <c r="B266" s="5">
        <f>COUNTIF($A$1:A266,Loads[[#This Row],[Load]])</f>
        <v>4</v>
      </c>
      <c r="C266" s="3" t="str">
        <f>Loads[[#This Row],[Load]]&amp;Loads[[#This Row],[Count]]</f>
        <v>44205Product24</v>
      </c>
      <c r="D266" s="90">
        <v>44205</v>
      </c>
      <c r="E266" s="143">
        <v>0.29930555555555555</v>
      </c>
      <c r="F266" s="1" t="s">
        <v>9</v>
      </c>
      <c r="G266" s="2" t="s">
        <v>13</v>
      </c>
      <c r="H266" s="2" t="s">
        <v>42</v>
      </c>
      <c r="I266" s="1" t="s">
        <v>11</v>
      </c>
      <c r="J266" s="1" t="s">
        <v>8</v>
      </c>
      <c r="K266" s="89">
        <v>11920</v>
      </c>
      <c r="L266" s="3">
        <v>57.21</v>
      </c>
      <c r="M266" s="3">
        <v>12.61</v>
      </c>
      <c r="N266" s="3" t="s">
        <v>8</v>
      </c>
      <c r="O266" s="3" t="s">
        <v>8</v>
      </c>
    </row>
    <row r="267" spans="1:15" x14ac:dyDescent="0.35">
      <c r="A267" s="5" t="str">
        <f>Loads[[#This Row],[Date]]&amp;Loads[[#This Row],[Product]]</f>
        <v>44205Product2</v>
      </c>
      <c r="B267" s="5">
        <f>COUNTIF($A$1:A267,Loads[[#This Row],[Load]])</f>
        <v>5</v>
      </c>
      <c r="C267" s="3" t="str">
        <f>Loads[[#This Row],[Load]]&amp;Loads[[#This Row],[Count]]</f>
        <v>44205Product25</v>
      </c>
      <c r="D267" s="90">
        <v>44205</v>
      </c>
      <c r="E267" s="143">
        <v>0.19930555555555554</v>
      </c>
      <c r="F267" s="1" t="s">
        <v>9</v>
      </c>
      <c r="G267" s="2" t="s">
        <v>13</v>
      </c>
      <c r="H267" s="2" t="s">
        <v>42</v>
      </c>
      <c r="I267" s="1" t="s">
        <v>11</v>
      </c>
      <c r="J267" s="1" t="s">
        <v>8</v>
      </c>
      <c r="K267" s="89">
        <v>10420</v>
      </c>
      <c r="L267" s="3">
        <v>64.53</v>
      </c>
      <c r="M267" s="3">
        <v>8</v>
      </c>
      <c r="N267" s="3" t="s">
        <v>8</v>
      </c>
      <c r="O267" s="3" t="s">
        <v>8</v>
      </c>
    </row>
    <row r="268" spans="1:15" x14ac:dyDescent="0.35">
      <c r="A268" s="5" t="str">
        <f>Loads[[#This Row],[Date]]&amp;Loads[[#This Row],[Product]]</f>
        <v>44205Product2</v>
      </c>
      <c r="B268" s="5">
        <f>COUNTIF($A$1:A268,Loads[[#This Row],[Load]])</f>
        <v>6</v>
      </c>
      <c r="C268" s="3" t="str">
        <f>Loads[[#This Row],[Load]]&amp;Loads[[#This Row],[Count]]</f>
        <v>44205Product26</v>
      </c>
      <c r="D268" s="90">
        <v>44205</v>
      </c>
      <c r="E268" s="143">
        <v>0.27986111111111112</v>
      </c>
      <c r="F268" s="1" t="s">
        <v>9</v>
      </c>
      <c r="G268" s="2" t="s">
        <v>13</v>
      </c>
      <c r="H268" s="2" t="s">
        <v>42</v>
      </c>
      <c r="I268" s="1" t="s">
        <v>11</v>
      </c>
      <c r="J268" s="1" t="s">
        <v>8</v>
      </c>
      <c r="K268" s="89">
        <v>10840</v>
      </c>
      <c r="L268" s="3">
        <v>60.15</v>
      </c>
      <c r="M268" s="3">
        <v>10.53</v>
      </c>
      <c r="N268" s="3" t="s">
        <v>8</v>
      </c>
      <c r="O268" s="3" t="s">
        <v>8</v>
      </c>
    </row>
    <row r="269" spans="1:15" x14ac:dyDescent="0.35">
      <c r="A269" s="5" t="str">
        <f>Loads[[#This Row],[Date]]&amp;Loads[[#This Row],[Product]]</f>
        <v>44205Product2</v>
      </c>
      <c r="B269" s="5">
        <f>COUNTIF($A$1:A269,Loads[[#This Row],[Load]])</f>
        <v>7</v>
      </c>
      <c r="C269" s="3" t="str">
        <f>Loads[[#This Row],[Load]]&amp;Loads[[#This Row],[Count]]</f>
        <v>44205Product27</v>
      </c>
      <c r="D269" s="90">
        <v>44205</v>
      </c>
      <c r="E269" s="143">
        <v>0.66666666666666663</v>
      </c>
      <c r="F269" s="1" t="s">
        <v>9</v>
      </c>
      <c r="G269" s="2" t="s">
        <v>13</v>
      </c>
      <c r="H269" s="2" t="s">
        <v>42</v>
      </c>
      <c r="I269" s="1" t="s">
        <v>11</v>
      </c>
      <c r="J269" s="1" t="s">
        <v>8</v>
      </c>
      <c r="K269" s="89">
        <v>12440</v>
      </c>
      <c r="L269" s="3">
        <v>62.97</v>
      </c>
      <c r="M269" s="3">
        <v>8.99</v>
      </c>
      <c r="N269" s="3" t="s">
        <v>8</v>
      </c>
      <c r="O269" s="3" t="s">
        <v>8</v>
      </c>
    </row>
    <row r="270" spans="1:15" x14ac:dyDescent="0.35">
      <c r="A270" s="5" t="str">
        <f>Loads[[#This Row],[Date]]&amp;Loads[[#This Row],[Product]]</f>
        <v>44205Product2</v>
      </c>
      <c r="B270" s="5">
        <f>COUNTIF($A$1:A270,Loads[[#This Row],[Load]])</f>
        <v>8</v>
      </c>
      <c r="C270" s="3" t="str">
        <f>Loads[[#This Row],[Load]]&amp;Loads[[#This Row],[Count]]</f>
        <v>44205Product28</v>
      </c>
      <c r="D270" s="90">
        <v>44205</v>
      </c>
      <c r="E270" s="143">
        <v>0.35416666666666669</v>
      </c>
      <c r="F270" s="1" t="s">
        <v>9</v>
      </c>
      <c r="G270" s="2" t="s">
        <v>13</v>
      </c>
      <c r="H270" s="2" t="s">
        <v>42</v>
      </c>
      <c r="I270" s="1" t="s">
        <v>11</v>
      </c>
      <c r="J270" s="1" t="s">
        <v>8</v>
      </c>
      <c r="K270" s="89">
        <v>12140</v>
      </c>
      <c r="L270" s="3">
        <v>61.8</v>
      </c>
      <c r="M270" s="3">
        <v>7.04</v>
      </c>
      <c r="N270" s="3" t="s">
        <v>8</v>
      </c>
      <c r="O270" s="3" t="s">
        <v>8</v>
      </c>
    </row>
    <row r="271" spans="1:15" x14ac:dyDescent="0.35">
      <c r="A271" s="5" t="str">
        <f>Loads[[#This Row],[Date]]&amp;Loads[[#This Row],[Product]]</f>
        <v>44205Product2</v>
      </c>
      <c r="B271" s="5">
        <f>COUNTIF($A$1:A271,Loads[[#This Row],[Load]])</f>
        <v>9</v>
      </c>
      <c r="C271" s="3" t="str">
        <f>Loads[[#This Row],[Load]]&amp;Loads[[#This Row],[Count]]</f>
        <v>44205Product29</v>
      </c>
      <c r="D271" s="90">
        <v>44205</v>
      </c>
      <c r="E271" s="143">
        <v>0.73749999999999993</v>
      </c>
      <c r="F271" s="1" t="s">
        <v>9</v>
      </c>
      <c r="G271" s="2" t="s">
        <v>13</v>
      </c>
      <c r="H271" s="2" t="s">
        <v>42</v>
      </c>
      <c r="I271" s="1" t="s">
        <v>11</v>
      </c>
      <c r="J271" s="1" t="s">
        <v>8</v>
      </c>
      <c r="K271" s="89">
        <v>11920</v>
      </c>
      <c r="L271" s="3">
        <v>61.18</v>
      </c>
      <c r="M271" s="3">
        <v>8.7100000000000009</v>
      </c>
      <c r="N271" s="3" t="s">
        <v>8</v>
      </c>
      <c r="O271" s="3" t="s">
        <v>8</v>
      </c>
    </row>
    <row r="272" spans="1:15" x14ac:dyDescent="0.35">
      <c r="A272" s="5" t="str">
        <f>Loads[[#This Row],[Date]]&amp;Loads[[#This Row],[Product]]</f>
        <v>44205Product2</v>
      </c>
      <c r="B272" s="5">
        <f>COUNTIF($A$1:A272,Loads[[#This Row],[Load]])</f>
        <v>10</v>
      </c>
      <c r="C272" s="3" t="str">
        <f>Loads[[#This Row],[Load]]&amp;Loads[[#This Row],[Count]]</f>
        <v>44205Product210</v>
      </c>
      <c r="D272" s="90">
        <v>44205</v>
      </c>
      <c r="E272" s="143">
        <v>0.8618055555555556</v>
      </c>
      <c r="F272" s="1" t="s">
        <v>9</v>
      </c>
      <c r="G272" s="2" t="s">
        <v>13</v>
      </c>
      <c r="H272" s="2" t="s">
        <v>42</v>
      </c>
      <c r="I272" s="1" t="s">
        <v>11</v>
      </c>
      <c r="J272" s="1" t="s">
        <v>8</v>
      </c>
      <c r="K272" s="89">
        <v>10500</v>
      </c>
      <c r="L272" s="3">
        <v>64</v>
      </c>
      <c r="M272" s="3">
        <v>8.31</v>
      </c>
      <c r="N272" s="3" t="s">
        <v>8</v>
      </c>
      <c r="O272" s="3" t="s">
        <v>8</v>
      </c>
    </row>
    <row r="273" spans="1:15" x14ac:dyDescent="0.35">
      <c r="A273" s="5" t="str">
        <f>Loads[[#This Row],[Date]]&amp;Loads[[#This Row],[Product]]</f>
        <v>44205Product2</v>
      </c>
      <c r="B273" s="5">
        <f>COUNTIF($A$1:A273,Loads[[#This Row],[Load]])</f>
        <v>11</v>
      </c>
      <c r="C273" s="3" t="str">
        <f>Loads[[#This Row],[Load]]&amp;Loads[[#This Row],[Count]]</f>
        <v>44205Product211</v>
      </c>
      <c r="D273" s="90">
        <v>44205</v>
      </c>
      <c r="E273" s="143">
        <v>0.80694444444444446</v>
      </c>
      <c r="F273" s="1" t="s">
        <v>9</v>
      </c>
      <c r="G273" s="2" t="s">
        <v>13</v>
      </c>
      <c r="H273" s="2" t="s">
        <v>42</v>
      </c>
      <c r="I273" s="1" t="s">
        <v>11</v>
      </c>
      <c r="J273" s="1" t="s">
        <v>8</v>
      </c>
      <c r="K273" s="89">
        <v>12780</v>
      </c>
      <c r="L273" s="3">
        <v>63.72</v>
      </c>
      <c r="M273" s="3">
        <v>8.4600000000000009</v>
      </c>
      <c r="N273" s="3" t="s">
        <v>8</v>
      </c>
      <c r="O273" s="3" t="s">
        <v>8</v>
      </c>
    </row>
    <row r="274" spans="1:15" x14ac:dyDescent="0.35">
      <c r="A274" s="5" t="str">
        <f>Loads[[#This Row],[Date]]&amp;Loads[[#This Row],[Product]]</f>
        <v>44205Product2</v>
      </c>
      <c r="B274" s="5">
        <f>COUNTIF($A$1:A274,Loads[[#This Row],[Load]])</f>
        <v>12</v>
      </c>
      <c r="C274" s="3" t="str">
        <f>Loads[[#This Row],[Load]]&amp;Loads[[#This Row],[Count]]</f>
        <v>44205Product212</v>
      </c>
      <c r="D274" s="90">
        <v>44205</v>
      </c>
      <c r="E274" s="143">
        <v>0.92847222222222225</v>
      </c>
      <c r="F274" s="1" t="s">
        <v>9</v>
      </c>
      <c r="G274" s="2" t="s">
        <v>13</v>
      </c>
      <c r="H274" s="2" t="s">
        <v>42</v>
      </c>
      <c r="I274" s="1" t="s">
        <v>11</v>
      </c>
      <c r="J274" s="1" t="s">
        <v>8</v>
      </c>
      <c r="K274" s="89">
        <v>10340</v>
      </c>
      <c r="L274" s="3">
        <v>62.76</v>
      </c>
      <c r="M274" s="3">
        <v>8.4600000000000009</v>
      </c>
      <c r="N274" s="3" t="s">
        <v>8</v>
      </c>
      <c r="O274" s="3" t="s">
        <v>8</v>
      </c>
    </row>
    <row r="275" spans="1:15" x14ac:dyDescent="0.35">
      <c r="A275" s="5" t="str">
        <f>Loads[[#This Row],[Date]]&amp;Loads[[#This Row],[Product]]</f>
        <v>44206Product2</v>
      </c>
      <c r="B275" s="5">
        <f>COUNTIF($A$1:A275,Loads[[#This Row],[Load]])</f>
        <v>1</v>
      </c>
      <c r="C275" s="3" t="str">
        <f>Loads[[#This Row],[Load]]&amp;Loads[[#This Row],[Count]]</f>
        <v>44206Product21</v>
      </c>
      <c r="D275" s="90">
        <v>44206</v>
      </c>
      <c r="E275" s="143">
        <v>0.26041666666666669</v>
      </c>
      <c r="F275" s="1" t="s">
        <v>9</v>
      </c>
      <c r="G275" s="2" t="s">
        <v>13</v>
      </c>
      <c r="H275" s="2" t="s">
        <v>42</v>
      </c>
      <c r="I275" s="1" t="s">
        <v>11</v>
      </c>
      <c r="J275" s="1" t="s">
        <v>8</v>
      </c>
      <c r="K275" s="89">
        <v>10640</v>
      </c>
      <c r="L275" s="3">
        <v>61.99</v>
      </c>
      <c r="M275" s="3">
        <v>9.31</v>
      </c>
      <c r="N275" s="3" t="s">
        <v>8</v>
      </c>
      <c r="O275" s="3" t="s">
        <v>8</v>
      </c>
    </row>
    <row r="276" spans="1:15" x14ac:dyDescent="0.35">
      <c r="A276" s="5" t="str">
        <f>Loads[[#This Row],[Date]]&amp;Loads[[#This Row],[Product]]</f>
        <v>44206Product2</v>
      </c>
      <c r="B276" s="5">
        <f>COUNTIF($A$1:A276,Loads[[#This Row],[Load]])</f>
        <v>2</v>
      </c>
      <c r="C276" s="3" t="str">
        <f>Loads[[#This Row],[Load]]&amp;Loads[[#This Row],[Count]]</f>
        <v>44206Product22</v>
      </c>
      <c r="D276" s="90">
        <v>44206</v>
      </c>
      <c r="E276" s="143">
        <v>0.26111111111111113</v>
      </c>
      <c r="F276" s="1" t="s">
        <v>9</v>
      </c>
      <c r="G276" s="2" t="s">
        <v>13</v>
      </c>
      <c r="H276" s="2" t="s">
        <v>42</v>
      </c>
      <c r="I276" s="1" t="s">
        <v>11</v>
      </c>
      <c r="J276" s="1" t="s">
        <v>8</v>
      </c>
      <c r="K276" s="89">
        <v>9860</v>
      </c>
      <c r="L276" s="3">
        <v>63.72</v>
      </c>
      <c r="M276" s="3">
        <v>8.4600000000000009</v>
      </c>
      <c r="N276" s="3" t="s">
        <v>8</v>
      </c>
      <c r="O276" s="3" t="s">
        <v>8</v>
      </c>
    </row>
    <row r="277" spans="1:15" x14ac:dyDescent="0.35">
      <c r="A277" s="5" t="str">
        <f>Loads[[#This Row],[Date]]&amp;Loads[[#This Row],[Product]]</f>
        <v>44206Product2</v>
      </c>
      <c r="B277" s="5">
        <f>COUNTIF($A$1:A277,Loads[[#This Row],[Load]])</f>
        <v>3</v>
      </c>
      <c r="C277" s="3" t="str">
        <f>Loads[[#This Row],[Load]]&amp;Loads[[#This Row],[Count]]</f>
        <v>44206Product23</v>
      </c>
      <c r="D277" s="90">
        <v>44206</v>
      </c>
      <c r="E277" s="143">
        <v>0.26180555555555557</v>
      </c>
      <c r="F277" s="1" t="s">
        <v>9</v>
      </c>
      <c r="G277" s="2" t="s">
        <v>13</v>
      </c>
      <c r="H277" s="2" t="s">
        <v>42</v>
      </c>
      <c r="I277" s="1" t="s">
        <v>11</v>
      </c>
      <c r="J277" s="1" t="s">
        <v>8</v>
      </c>
      <c r="K277" s="89">
        <v>10540</v>
      </c>
      <c r="L277" s="3">
        <v>63.42</v>
      </c>
      <c r="M277" s="3">
        <v>7.97</v>
      </c>
      <c r="N277" s="3" t="s">
        <v>8</v>
      </c>
      <c r="O277" s="3" t="s">
        <v>8</v>
      </c>
    </row>
    <row r="278" spans="1:15" x14ac:dyDescent="0.35">
      <c r="A278" s="5" t="str">
        <f>Loads[[#This Row],[Date]]&amp;Loads[[#This Row],[Product]]</f>
        <v>44206Product2</v>
      </c>
      <c r="B278" s="5">
        <f>COUNTIF($A$1:A278,Loads[[#This Row],[Load]])</f>
        <v>4</v>
      </c>
      <c r="C278" s="3" t="str">
        <f>Loads[[#This Row],[Load]]&amp;Loads[[#This Row],[Count]]</f>
        <v>44206Product24</v>
      </c>
      <c r="D278" s="90">
        <v>44206</v>
      </c>
      <c r="E278" s="143">
        <v>0.26319444444444445</v>
      </c>
      <c r="F278" s="1" t="s">
        <v>9</v>
      </c>
      <c r="G278" s="2" t="s">
        <v>13</v>
      </c>
      <c r="H278" s="2" t="s">
        <v>42</v>
      </c>
      <c r="I278" s="1" t="s">
        <v>11</v>
      </c>
      <c r="J278" s="1" t="s">
        <v>8</v>
      </c>
      <c r="K278" s="89">
        <v>9440</v>
      </c>
      <c r="L278" s="3">
        <v>61.47</v>
      </c>
      <c r="M278" s="3">
        <v>7.23</v>
      </c>
      <c r="N278" s="3" t="s">
        <v>8</v>
      </c>
      <c r="O278" s="3" t="s">
        <v>8</v>
      </c>
    </row>
    <row r="279" spans="1:15" x14ac:dyDescent="0.35">
      <c r="A279" s="5" t="str">
        <f>Loads[[#This Row],[Date]]&amp;Loads[[#This Row],[Product]]</f>
        <v>44206Product2</v>
      </c>
      <c r="B279" s="5">
        <f>COUNTIF($A$1:A279,Loads[[#This Row],[Load]])</f>
        <v>5</v>
      </c>
      <c r="C279" s="3" t="str">
        <f>Loads[[#This Row],[Load]]&amp;Loads[[#This Row],[Count]]</f>
        <v>44206Product25</v>
      </c>
      <c r="D279" s="90">
        <v>44206</v>
      </c>
      <c r="E279" s="143">
        <v>0.2638888888888889</v>
      </c>
      <c r="F279" s="1" t="s">
        <v>9</v>
      </c>
      <c r="G279" s="2" t="s">
        <v>13</v>
      </c>
      <c r="H279" s="2" t="s">
        <v>42</v>
      </c>
      <c r="I279" s="1" t="s">
        <v>11</v>
      </c>
      <c r="J279" s="1" t="s">
        <v>8</v>
      </c>
      <c r="K279" s="89">
        <v>11380</v>
      </c>
      <c r="L279" s="3">
        <v>60.1</v>
      </c>
      <c r="M279" s="3">
        <v>9.33</v>
      </c>
      <c r="N279" s="3" t="s">
        <v>8</v>
      </c>
      <c r="O279" s="3" t="s">
        <v>8</v>
      </c>
    </row>
    <row r="280" spans="1:15" x14ac:dyDescent="0.35">
      <c r="A280" s="5" t="str">
        <f>Loads[[#This Row],[Date]]&amp;Loads[[#This Row],[Product]]</f>
        <v>44206Product2</v>
      </c>
      <c r="B280" s="5">
        <f>COUNTIF($A$1:A280,Loads[[#This Row],[Load]])</f>
        <v>6</v>
      </c>
      <c r="C280" s="3" t="str">
        <f>Loads[[#This Row],[Load]]&amp;Loads[[#This Row],[Count]]</f>
        <v>44206Product26</v>
      </c>
      <c r="D280" s="90">
        <v>44206</v>
      </c>
      <c r="E280" s="143">
        <v>0.2638888888888889</v>
      </c>
      <c r="F280" s="1" t="s">
        <v>9</v>
      </c>
      <c r="G280" s="2" t="s">
        <v>13</v>
      </c>
      <c r="H280" s="2" t="s">
        <v>42</v>
      </c>
      <c r="I280" s="1" t="s">
        <v>11</v>
      </c>
      <c r="J280" s="1" t="s">
        <v>8</v>
      </c>
      <c r="K280" s="89">
        <v>11220</v>
      </c>
      <c r="L280" s="3">
        <v>62.36</v>
      </c>
      <c r="M280" s="3">
        <v>6.33</v>
      </c>
      <c r="N280" s="3" t="s">
        <v>8</v>
      </c>
      <c r="O280" s="3" t="s">
        <v>8</v>
      </c>
    </row>
    <row r="281" spans="1:15" x14ac:dyDescent="0.35">
      <c r="A281" s="5" t="str">
        <f>Loads[[#This Row],[Date]]&amp;Loads[[#This Row],[Product]]</f>
        <v>44206Product2</v>
      </c>
      <c r="B281" s="5">
        <f>COUNTIF($A$1:A281,Loads[[#This Row],[Load]])</f>
        <v>7</v>
      </c>
      <c r="C281" s="3" t="str">
        <f>Loads[[#This Row],[Load]]&amp;Loads[[#This Row],[Count]]</f>
        <v>44206Product27</v>
      </c>
      <c r="D281" s="90">
        <v>44206</v>
      </c>
      <c r="E281" s="143">
        <v>0.26458333333333334</v>
      </c>
      <c r="F281" s="1" t="s">
        <v>9</v>
      </c>
      <c r="G281" s="2" t="s">
        <v>13</v>
      </c>
      <c r="H281" s="2" t="s">
        <v>42</v>
      </c>
      <c r="I281" s="1" t="s">
        <v>11</v>
      </c>
      <c r="J281" s="1" t="s">
        <v>8</v>
      </c>
      <c r="K281" s="89">
        <v>12100</v>
      </c>
      <c r="L281" s="3">
        <v>60.59</v>
      </c>
      <c r="M281" s="3">
        <v>9.94</v>
      </c>
      <c r="N281" s="3" t="s">
        <v>8</v>
      </c>
      <c r="O281" s="3" t="s">
        <v>8</v>
      </c>
    </row>
    <row r="282" spans="1:15" x14ac:dyDescent="0.35">
      <c r="A282" s="5" t="str">
        <f>Loads[[#This Row],[Date]]&amp;Loads[[#This Row],[Product]]</f>
        <v>44206Product2</v>
      </c>
      <c r="B282" s="5">
        <f>COUNTIF($A$1:A282,Loads[[#This Row],[Load]])</f>
        <v>8</v>
      </c>
      <c r="C282" s="3" t="str">
        <f>Loads[[#This Row],[Load]]&amp;Loads[[#This Row],[Count]]</f>
        <v>44206Product28</v>
      </c>
      <c r="D282" s="90">
        <v>44206</v>
      </c>
      <c r="E282" s="143">
        <v>0.26597222222222222</v>
      </c>
      <c r="F282" s="1" t="s">
        <v>9</v>
      </c>
      <c r="G282" s="2" t="s">
        <v>13</v>
      </c>
      <c r="H282" s="2" t="s">
        <v>42</v>
      </c>
      <c r="I282" s="1" t="s">
        <v>11</v>
      </c>
      <c r="J282" s="1" t="s">
        <v>8</v>
      </c>
      <c r="K282" s="89">
        <v>11860</v>
      </c>
      <c r="L282" s="3">
        <v>61.36</v>
      </c>
      <c r="M282" s="3">
        <v>8.9499999999999993</v>
      </c>
      <c r="N282" s="3" t="s">
        <v>8</v>
      </c>
      <c r="O282" s="3" t="s">
        <v>8</v>
      </c>
    </row>
    <row r="283" spans="1:15" x14ac:dyDescent="0.35">
      <c r="A283" s="5" t="str">
        <f>Loads[[#This Row],[Date]]&amp;Loads[[#This Row],[Product]]</f>
        <v>44206Product2</v>
      </c>
      <c r="B283" s="5">
        <f>COUNTIF($A$1:A283,Loads[[#This Row],[Load]])</f>
        <v>9</v>
      </c>
      <c r="C283" s="3" t="str">
        <f>Loads[[#This Row],[Load]]&amp;Loads[[#This Row],[Count]]</f>
        <v>44206Product29</v>
      </c>
      <c r="D283" s="90">
        <v>44206</v>
      </c>
      <c r="E283" s="143">
        <v>0.26666666666666666</v>
      </c>
      <c r="F283" s="1" t="s">
        <v>9</v>
      </c>
      <c r="G283" s="2" t="s">
        <v>13</v>
      </c>
      <c r="H283" s="2" t="s">
        <v>42</v>
      </c>
      <c r="I283" s="1" t="s">
        <v>11</v>
      </c>
      <c r="J283" s="1" t="s">
        <v>8</v>
      </c>
      <c r="K283" s="89">
        <v>12180</v>
      </c>
      <c r="L283" s="3">
        <v>61.61</v>
      </c>
      <c r="M283" s="3">
        <v>9.4600000000000009</v>
      </c>
      <c r="N283" s="3" t="s">
        <v>8</v>
      </c>
      <c r="O283" s="3" t="s">
        <v>8</v>
      </c>
    </row>
    <row r="284" spans="1:15" x14ac:dyDescent="0.35">
      <c r="A284" s="5" t="str">
        <f>Loads[[#This Row],[Date]]&amp;Loads[[#This Row],[Product]]</f>
        <v>44206Product2</v>
      </c>
      <c r="B284" s="5">
        <f>COUNTIF($A$1:A284,Loads[[#This Row],[Load]])</f>
        <v>10</v>
      </c>
      <c r="C284" s="3" t="str">
        <f>Loads[[#This Row],[Load]]&amp;Loads[[#This Row],[Count]]</f>
        <v>44206Product210</v>
      </c>
      <c r="D284" s="90">
        <v>44206</v>
      </c>
      <c r="E284" s="143">
        <v>0.26805555555555555</v>
      </c>
      <c r="F284" s="1" t="s">
        <v>9</v>
      </c>
      <c r="G284" s="2" t="s">
        <v>13</v>
      </c>
      <c r="H284" s="2" t="s">
        <v>42</v>
      </c>
      <c r="I284" s="1" t="s">
        <v>11</v>
      </c>
      <c r="J284" s="1" t="s">
        <v>8</v>
      </c>
      <c r="K284" s="89">
        <v>12860</v>
      </c>
      <c r="L284" s="3">
        <v>62.74</v>
      </c>
      <c r="M284" s="3">
        <v>8.25</v>
      </c>
      <c r="N284" s="3" t="s">
        <v>8</v>
      </c>
      <c r="O284" s="3" t="s">
        <v>8</v>
      </c>
    </row>
    <row r="285" spans="1:15" x14ac:dyDescent="0.35">
      <c r="A285" s="5" t="str">
        <f>Loads[[#This Row],[Date]]&amp;Loads[[#This Row],[Product]]</f>
        <v>44206Product2</v>
      </c>
      <c r="B285" s="5">
        <f>COUNTIF($A$1:A285,Loads[[#This Row],[Load]])</f>
        <v>11</v>
      </c>
      <c r="C285" s="3" t="str">
        <f>Loads[[#This Row],[Load]]&amp;Loads[[#This Row],[Count]]</f>
        <v>44206Product211</v>
      </c>
      <c r="D285" s="90">
        <v>44206</v>
      </c>
      <c r="E285" s="143">
        <v>0.26874999999999999</v>
      </c>
      <c r="F285" s="1" t="s">
        <v>9</v>
      </c>
      <c r="G285" s="2" t="s">
        <v>13</v>
      </c>
      <c r="H285" s="2" t="s">
        <v>42</v>
      </c>
      <c r="I285" s="1" t="s">
        <v>11</v>
      </c>
      <c r="J285" s="1" t="s">
        <v>8</v>
      </c>
      <c r="K285" s="89">
        <v>12400</v>
      </c>
      <c r="L285" s="3">
        <v>60.19</v>
      </c>
      <c r="M285" s="3">
        <v>9.3000000000000007</v>
      </c>
      <c r="N285" s="3" t="s">
        <v>8</v>
      </c>
      <c r="O285" s="3" t="s">
        <v>8</v>
      </c>
    </row>
    <row r="286" spans="1:15" x14ac:dyDescent="0.35">
      <c r="A286" s="5" t="str">
        <f>Loads[[#This Row],[Date]]&amp;Loads[[#This Row],[Product]]</f>
        <v>44206Product2</v>
      </c>
      <c r="B286" s="5">
        <f>COUNTIF($A$1:A286,Loads[[#This Row],[Load]])</f>
        <v>12</v>
      </c>
      <c r="C286" s="3" t="str">
        <f>Loads[[#This Row],[Load]]&amp;Loads[[#This Row],[Count]]</f>
        <v>44206Product212</v>
      </c>
      <c r="D286" s="90">
        <v>44206</v>
      </c>
      <c r="E286" s="143">
        <v>0.26944444444444443</v>
      </c>
      <c r="F286" s="1" t="s">
        <v>9</v>
      </c>
      <c r="G286" s="2" t="s">
        <v>13</v>
      </c>
      <c r="H286" s="2" t="s">
        <v>42</v>
      </c>
      <c r="I286" s="1" t="s">
        <v>11</v>
      </c>
      <c r="J286" s="1" t="s">
        <v>8</v>
      </c>
      <c r="K286" s="89">
        <v>11200</v>
      </c>
      <c r="L286" s="3">
        <v>61.78</v>
      </c>
      <c r="M286" s="3">
        <v>9.4499999999999993</v>
      </c>
      <c r="N286" s="3" t="s">
        <v>8</v>
      </c>
      <c r="O286" s="3" t="s">
        <v>8</v>
      </c>
    </row>
    <row r="287" spans="1:15" x14ac:dyDescent="0.35">
      <c r="A287" s="5" t="str">
        <f>Loads[[#This Row],[Date]]&amp;Loads[[#This Row],[Product]]</f>
        <v>44207Product2</v>
      </c>
      <c r="B287" s="5">
        <f>COUNTIF($A$1:A287,Loads[[#This Row],[Load]])</f>
        <v>1</v>
      </c>
      <c r="C287" s="3" t="str">
        <f>Loads[[#This Row],[Load]]&amp;Loads[[#This Row],[Count]]</f>
        <v>44207Product21</v>
      </c>
      <c r="D287" s="90">
        <v>44207</v>
      </c>
      <c r="E287" s="143">
        <v>9.0277777777777776E-2</v>
      </c>
      <c r="F287" s="1" t="s">
        <v>9</v>
      </c>
      <c r="G287" s="2" t="s">
        <v>13</v>
      </c>
      <c r="H287" s="2" t="s">
        <v>42</v>
      </c>
      <c r="I287" s="1" t="s">
        <v>11</v>
      </c>
      <c r="J287" s="1" t="s">
        <v>8</v>
      </c>
      <c r="K287" s="89">
        <v>11700</v>
      </c>
      <c r="L287" s="3">
        <v>60.1</v>
      </c>
      <c r="M287" s="3">
        <v>9.33</v>
      </c>
      <c r="N287" s="3" t="s">
        <v>8</v>
      </c>
      <c r="O287" s="3" t="s">
        <v>8</v>
      </c>
    </row>
    <row r="288" spans="1:15" x14ac:dyDescent="0.35">
      <c r="A288" s="5" t="str">
        <f>Loads[[#This Row],[Date]]&amp;Loads[[#This Row],[Product]]</f>
        <v>44207Product2</v>
      </c>
      <c r="B288" s="5">
        <f>COUNTIF($A$1:A288,Loads[[#This Row],[Load]])</f>
        <v>2</v>
      </c>
      <c r="C288" s="3" t="str">
        <f>Loads[[#This Row],[Load]]&amp;Loads[[#This Row],[Count]]</f>
        <v>44207Product22</v>
      </c>
      <c r="D288" s="90">
        <v>44207</v>
      </c>
      <c r="E288" s="143">
        <v>9.0277777777777776E-2</v>
      </c>
      <c r="F288" s="1" t="s">
        <v>9</v>
      </c>
      <c r="G288" s="2" t="s">
        <v>13</v>
      </c>
      <c r="H288" s="2" t="s">
        <v>42</v>
      </c>
      <c r="I288" s="1" t="s">
        <v>11</v>
      </c>
      <c r="J288" s="1" t="s">
        <v>8</v>
      </c>
      <c r="K288" s="89">
        <v>11420</v>
      </c>
      <c r="L288" s="3">
        <v>63.79</v>
      </c>
      <c r="M288" s="3">
        <v>9.6300000000000008</v>
      </c>
      <c r="N288" s="3" t="s">
        <v>8</v>
      </c>
      <c r="O288" s="3" t="s">
        <v>8</v>
      </c>
    </row>
    <row r="289" spans="1:15" x14ac:dyDescent="0.35">
      <c r="A289" s="5" t="str">
        <f>Loads[[#This Row],[Date]]&amp;Loads[[#This Row],[Product]]</f>
        <v>44207Product2</v>
      </c>
      <c r="B289" s="5">
        <f>COUNTIF($A$1:A289,Loads[[#This Row],[Load]])</f>
        <v>3</v>
      </c>
      <c r="C289" s="3" t="str">
        <f>Loads[[#This Row],[Load]]&amp;Loads[[#This Row],[Count]]</f>
        <v>44207Product23</v>
      </c>
      <c r="D289" s="90">
        <v>44207</v>
      </c>
      <c r="E289" s="143">
        <v>9.0972222222222218E-2</v>
      </c>
      <c r="F289" s="1" t="s">
        <v>9</v>
      </c>
      <c r="G289" s="2" t="s">
        <v>13</v>
      </c>
      <c r="H289" s="2" t="s">
        <v>42</v>
      </c>
      <c r="I289" s="1" t="s">
        <v>11</v>
      </c>
      <c r="J289" s="1" t="s">
        <v>8</v>
      </c>
      <c r="K289" s="89">
        <v>11300</v>
      </c>
      <c r="L289" s="3">
        <v>62.74</v>
      </c>
      <c r="M289" s="3">
        <v>8.25</v>
      </c>
      <c r="N289" s="3" t="s">
        <v>8</v>
      </c>
      <c r="O289" s="3" t="s">
        <v>8</v>
      </c>
    </row>
    <row r="290" spans="1:15" x14ac:dyDescent="0.35">
      <c r="A290" s="5" t="str">
        <f>Loads[[#This Row],[Date]]&amp;Loads[[#This Row],[Product]]</f>
        <v>44207Product2</v>
      </c>
      <c r="B290" s="5">
        <f>COUNTIF($A$1:A290,Loads[[#This Row],[Load]])</f>
        <v>4</v>
      </c>
      <c r="C290" s="3" t="str">
        <f>Loads[[#This Row],[Load]]&amp;Loads[[#This Row],[Count]]</f>
        <v>44207Product24</v>
      </c>
      <c r="D290" s="90">
        <v>44207</v>
      </c>
      <c r="E290" s="143">
        <v>9.1666666666666674E-2</v>
      </c>
      <c r="F290" s="1" t="s">
        <v>9</v>
      </c>
      <c r="G290" s="2" t="s">
        <v>13</v>
      </c>
      <c r="H290" s="2" t="s">
        <v>42</v>
      </c>
      <c r="I290" s="1" t="s">
        <v>11</v>
      </c>
      <c r="J290" s="1" t="s">
        <v>8</v>
      </c>
      <c r="K290" s="89">
        <v>11080</v>
      </c>
      <c r="L290" s="3">
        <v>63.91</v>
      </c>
      <c r="M290" s="3">
        <v>9.02</v>
      </c>
      <c r="N290" s="3" t="s">
        <v>8</v>
      </c>
      <c r="O290" s="3" t="s">
        <v>8</v>
      </c>
    </row>
    <row r="291" spans="1:15" x14ac:dyDescent="0.35">
      <c r="A291" s="5" t="str">
        <f>Loads[[#This Row],[Date]]&amp;Loads[[#This Row],[Product]]</f>
        <v>44207Product2</v>
      </c>
      <c r="B291" s="5">
        <f>COUNTIF($A$1:A291,Loads[[#This Row],[Load]])</f>
        <v>5</v>
      </c>
      <c r="C291" s="3" t="str">
        <f>Loads[[#This Row],[Load]]&amp;Loads[[#This Row],[Count]]</f>
        <v>44207Product25</v>
      </c>
      <c r="D291" s="90">
        <v>44207</v>
      </c>
      <c r="E291" s="143">
        <v>9.2361111111111116E-2</v>
      </c>
      <c r="F291" s="1" t="s">
        <v>9</v>
      </c>
      <c r="G291" s="2" t="s">
        <v>13</v>
      </c>
      <c r="H291" s="2" t="s">
        <v>42</v>
      </c>
      <c r="I291" s="1" t="s">
        <v>11</v>
      </c>
      <c r="J291" s="1" t="s">
        <v>8</v>
      </c>
      <c r="K291" s="89">
        <v>7540</v>
      </c>
      <c r="L291" s="3">
        <v>61.99</v>
      </c>
      <c r="M291" s="3">
        <v>9.31</v>
      </c>
      <c r="N291" s="3" t="s">
        <v>8</v>
      </c>
      <c r="O291" s="3" t="s">
        <v>8</v>
      </c>
    </row>
    <row r="292" spans="1:15" x14ac:dyDescent="0.35">
      <c r="A292" s="5" t="str">
        <f>Loads[[#This Row],[Date]]&amp;Loads[[#This Row],[Product]]</f>
        <v>44207Product2</v>
      </c>
      <c r="B292" s="5">
        <f>COUNTIF($A$1:A292,Loads[[#This Row],[Load]])</f>
        <v>6</v>
      </c>
      <c r="C292" s="3" t="str">
        <f>Loads[[#This Row],[Load]]&amp;Loads[[#This Row],[Count]]</f>
        <v>44207Product26</v>
      </c>
      <c r="D292" s="90">
        <v>44207</v>
      </c>
      <c r="E292" s="143">
        <v>9.5138888888888884E-2</v>
      </c>
      <c r="F292" s="1" t="s">
        <v>9</v>
      </c>
      <c r="G292" s="2" t="s">
        <v>13</v>
      </c>
      <c r="H292" s="2" t="s">
        <v>42</v>
      </c>
      <c r="I292" s="1" t="s">
        <v>11</v>
      </c>
      <c r="J292" s="1" t="s">
        <v>8</v>
      </c>
      <c r="K292" s="89">
        <v>10640</v>
      </c>
      <c r="L292" s="3">
        <v>62.82</v>
      </c>
      <c r="M292" s="3">
        <v>8.99</v>
      </c>
      <c r="N292" s="3" t="s">
        <v>8</v>
      </c>
      <c r="O292" s="3" t="s">
        <v>8</v>
      </c>
    </row>
    <row r="293" spans="1:15" x14ac:dyDescent="0.35">
      <c r="A293" s="5" t="str">
        <f>Loads[[#This Row],[Date]]&amp;Loads[[#This Row],[Product]]</f>
        <v>44207Product2</v>
      </c>
      <c r="B293" s="5">
        <f>COUNTIF($A$1:A293,Loads[[#This Row],[Load]])</f>
        <v>7</v>
      </c>
      <c r="C293" s="3" t="str">
        <f>Loads[[#This Row],[Load]]&amp;Loads[[#This Row],[Count]]</f>
        <v>44207Product27</v>
      </c>
      <c r="D293" s="90">
        <v>44207</v>
      </c>
      <c r="E293" s="143">
        <v>9.5833333333333326E-2</v>
      </c>
      <c r="F293" s="1" t="s">
        <v>9</v>
      </c>
      <c r="G293" s="2" t="s">
        <v>13</v>
      </c>
      <c r="H293" s="2" t="s">
        <v>42</v>
      </c>
      <c r="I293" s="1" t="s">
        <v>11</v>
      </c>
      <c r="J293" s="1" t="s">
        <v>8</v>
      </c>
      <c r="K293" s="89">
        <v>12420</v>
      </c>
      <c r="L293" s="3">
        <v>63.8</v>
      </c>
      <c r="M293" s="3">
        <v>9.3800000000000008</v>
      </c>
      <c r="N293" s="3" t="s">
        <v>8</v>
      </c>
      <c r="O293" s="3" t="s">
        <v>8</v>
      </c>
    </row>
    <row r="294" spans="1:15" x14ac:dyDescent="0.35">
      <c r="A294" s="5" t="str">
        <f>Loads[[#This Row],[Date]]&amp;Loads[[#This Row],[Product]]</f>
        <v>44207Product2</v>
      </c>
      <c r="B294" s="5">
        <f>COUNTIF($A$1:A294,Loads[[#This Row],[Load]])</f>
        <v>8</v>
      </c>
      <c r="C294" s="3" t="str">
        <f>Loads[[#This Row],[Load]]&amp;Loads[[#This Row],[Count]]</f>
        <v>44207Product28</v>
      </c>
      <c r="D294" s="90">
        <v>44207</v>
      </c>
      <c r="E294" s="143">
        <v>9.5833333333333326E-2</v>
      </c>
      <c r="F294" s="1" t="s">
        <v>9</v>
      </c>
      <c r="G294" s="2" t="s">
        <v>13</v>
      </c>
      <c r="H294" s="2" t="s">
        <v>42</v>
      </c>
      <c r="I294" s="1" t="s">
        <v>11</v>
      </c>
      <c r="J294" s="1" t="s">
        <v>8</v>
      </c>
      <c r="K294" s="89">
        <v>11580</v>
      </c>
      <c r="L294" s="3">
        <v>61.97</v>
      </c>
      <c r="M294" s="3">
        <v>9.33</v>
      </c>
      <c r="N294" s="3" t="s">
        <v>8</v>
      </c>
      <c r="O294" s="3" t="s">
        <v>8</v>
      </c>
    </row>
    <row r="295" spans="1:15" x14ac:dyDescent="0.35">
      <c r="A295" s="5" t="str">
        <f>Loads[[#This Row],[Date]]&amp;Loads[[#This Row],[Product]]</f>
        <v>44207Product2</v>
      </c>
      <c r="B295" s="5">
        <f>COUNTIF($A$1:A295,Loads[[#This Row],[Load]])</f>
        <v>9</v>
      </c>
      <c r="C295" s="3" t="str">
        <f>Loads[[#This Row],[Load]]&amp;Loads[[#This Row],[Count]]</f>
        <v>44207Product29</v>
      </c>
      <c r="D295" s="90">
        <v>44207</v>
      </c>
      <c r="E295" s="143">
        <v>9.6527777777777768E-2</v>
      </c>
      <c r="F295" s="1" t="s">
        <v>9</v>
      </c>
      <c r="G295" s="2" t="s">
        <v>13</v>
      </c>
      <c r="H295" s="2" t="s">
        <v>42</v>
      </c>
      <c r="I295" s="1" t="s">
        <v>11</v>
      </c>
      <c r="J295" s="1" t="s">
        <v>8</v>
      </c>
      <c r="K295" s="89">
        <v>8860</v>
      </c>
      <c r="L295" s="3">
        <v>62.44</v>
      </c>
      <c r="M295" s="3">
        <v>9.14</v>
      </c>
      <c r="N295" s="3" t="s">
        <v>8</v>
      </c>
      <c r="O295" s="3" t="s">
        <v>8</v>
      </c>
    </row>
    <row r="296" spans="1:15" x14ac:dyDescent="0.35">
      <c r="A296" s="5" t="str">
        <f>Loads[[#This Row],[Date]]&amp;Loads[[#This Row],[Product]]</f>
        <v>44207Product2</v>
      </c>
      <c r="B296" s="5">
        <f>COUNTIF($A$1:A296,Loads[[#This Row],[Load]])</f>
        <v>10</v>
      </c>
      <c r="C296" s="3" t="str">
        <f>Loads[[#This Row],[Load]]&amp;Loads[[#This Row],[Count]]</f>
        <v>44207Product210</v>
      </c>
      <c r="D296" s="90">
        <v>44207</v>
      </c>
      <c r="E296" s="143">
        <v>9.7222222222222224E-2</v>
      </c>
      <c r="F296" s="1" t="s">
        <v>9</v>
      </c>
      <c r="G296" s="2" t="s">
        <v>13</v>
      </c>
      <c r="H296" s="2" t="s">
        <v>42</v>
      </c>
      <c r="I296" s="1" t="s">
        <v>11</v>
      </c>
      <c r="J296" s="1" t="s">
        <v>8</v>
      </c>
      <c r="K296" s="89">
        <v>12500</v>
      </c>
      <c r="L296" s="3">
        <v>63.33</v>
      </c>
      <c r="M296" s="3">
        <v>9.36</v>
      </c>
      <c r="N296" s="3" t="s">
        <v>8</v>
      </c>
      <c r="O296" s="3" t="s">
        <v>8</v>
      </c>
    </row>
    <row r="297" spans="1:15" x14ac:dyDescent="0.35">
      <c r="A297" s="5" t="str">
        <f>Loads[[#This Row],[Date]]&amp;Loads[[#This Row],[Product]]</f>
        <v>44207Product2</v>
      </c>
      <c r="B297" s="5">
        <f>COUNTIF($A$1:A297,Loads[[#This Row],[Load]])</f>
        <v>11</v>
      </c>
      <c r="C297" s="3" t="str">
        <f>Loads[[#This Row],[Load]]&amp;Loads[[#This Row],[Count]]</f>
        <v>44207Product211</v>
      </c>
      <c r="D297" s="90">
        <v>44207</v>
      </c>
      <c r="E297" s="143">
        <v>9.7916666666666666E-2</v>
      </c>
      <c r="F297" s="1" t="s">
        <v>9</v>
      </c>
      <c r="G297" s="2" t="s">
        <v>13</v>
      </c>
      <c r="H297" s="2" t="s">
        <v>42</v>
      </c>
      <c r="I297" s="1" t="s">
        <v>11</v>
      </c>
      <c r="J297" s="1" t="s">
        <v>8</v>
      </c>
      <c r="K297" s="89">
        <v>12200</v>
      </c>
      <c r="L297" s="3">
        <v>62.34</v>
      </c>
      <c r="M297" s="3">
        <v>9.8800000000000008</v>
      </c>
      <c r="N297" s="3" t="s">
        <v>8</v>
      </c>
      <c r="O297" s="3" t="s">
        <v>8</v>
      </c>
    </row>
    <row r="298" spans="1:15" x14ac:dyDescent="0.35">
      <c r="A298" s="5" t="str">
        <f>Loads[[#This Row],[Date]]&amp;Loads[[#This Row],[Product]]</f>
        <v>44208Product2</v>
      </c>
      <c r="B298" s="5">
        <f>COUNTIF($A$1:A298,Loads[[#This Row],[Load]])</f>
        <v>1</v>
      </c>
      <c r="C298" s="3" t="str">
        <f>Loads[[#This Row],[Load]]&amp;Loads[[#This Row],[Count]]</f>
        <v>44208Product21</v>
      </c>
      <c r="D298" s="90">
        <v>44208</v>
      </c>
      <c r="E298" s="143">
        <v>0.21319444444444444</v>
      </c>
      <c r="F298" s="1" t="s">
        <v>9</v>
      </c>
      <c r="G298" s="2" t="s">
        <v>13</v>
      </c>
      <c r="H298" s="2" t="s">
        <v>42</v>
      </c>
      <c r="I298" s="1" t="s">
        <v>11</v>
      </c>
      <c r="J298" s="1" t="s">
        <v>8</v>
      </c>
      <c r="K298" s="89">
        <v>12100</v>
      </c>
      <c r="L298" s="3">
        <v>64.959999999999994</v>
      </c>
      <c r="M298" s="3">
        <v>8.81</v>
      </c>
      <c r="N298" s="3" t="s">
        <v>8</v>
      </c>
      <c r="O298" s="3" t="s">
        <v>8</v>
      </c>
    </row>
    <row r="299" spans="1:15" x14ac:dyDescent="0.35">
      <c r="A299" s="5" t="str">
        <f>Loads[[#This Row],[Date]]&amp;Loads[[#This Row],[Product]]</f>
        <v>44208Product2</v>
      </c>
      <c r="B299" s="5">
        <f>COUNTIF($A$1:A299,Loads[[#This Row],[Load]])</f>
        <v>2</v>
      </c>
      <c r="C299" s="3" t="str">
        <f>Loads[[#This Row],[Load]]&amp;Loads[[#This Row],[Count]]</f>
        <v>44208Product22</v>
      </c>
      <c r="D299" s="90">
        <v>44208</v>
      </c>
      <c r="E299" s="143">
        <v>0.21875</v>
      </c>
      <c r="F299" s="1" t="s">
        <v>9</v>
      </c>
      <c r="G299" s="2" t="s">
        <v>13</v>
      </c>
      <c r="H299" s="2" t="s">
        <v>42</v>
      </c>
      <c r="I299" s="1" t="s">
        <v>11</v>
      </c>
      <c r="J299" s="1" t="s">
        <v>8</v>
      </c>
      <c r="K299" s="89">
        <v>10900</v>
      </c>
      <c r="L299" s="3">
        <v>67.23</v>
      </c>
      <c r="M299" s="3">
        <v>8.6999999999999993</v>
      </c>
      <c r="N299" s="3" t="s">
        <v>8</v>
      </c>
      <c r="O299" s="3" t="s">
        <v>8</v>
      </c>
    </row>
    <row r="300" spans="1:15" x14ac:dyDescent="0.35">
      <c r="A300" s="5" t="str">
        <f>Loads[[#This Row],[Date]]&amp;Loads[[#This Row],[Product]]</f>
        <v>44208Product2</v>
      </c>
      <c r="B300" s="5">
        <f>COUNTIF($A$1:A300,Loads[[#This Row],[Load]])</f>
        <v>3</v>
      </c>
      <c r="C300" s="3" t="str">
        <f>Loads[[#This Row],[Load]]&amp;Loads[[#This Row],[Count]]</f>
        <v>44208Product23</v>
      </c>
      <c r="D300" s="90">
        <v>44208</v>
      </c>
      <c r="E300" s="143">
        <v>0.22013888888888888</v>
      </c>
      <c r="F300" s="1" t="s">
        <v>9</v>
      </c>
      <c r="G300" s="2" t="s">
        <v>13</v>
      </c>
      <c r="H300" s="2" t="s">
        <v>42</v>
      </c>
      <c r="I300" s="1" t="s">
        <v>11</v>
      </c>
      <c r="J300" s="1" t="s">
        <v>8</v>
      </c>
      <c r="K300" s="89">
        <v>11820</v>
      </c>
      <c r="L300" s="3">
        <v>63.18</v>
      </c>
      <c r="M300" s="3">
        <v>8.98</v>
      </c>
      <c r="N300" s="3" t="s">
        <v>8</v>
      </c>
      <c r="O300" s="3" t="s">
        <v>8</v>
      </c>
    </row>
    <row r="301" spans="1:15" x14ac:dyDescent="0.35">
      <c r="A301" s="5" t="str">
        <f>Loads[[#This Row],[Date]]&amp;Loads[[#This Row],[Product]]</f>
        <v>44208Product2</v>
      </c>
      <c r="B301" s="5">
        <f>COUNTIF($A$1:A301,Loads[[#This Row],[Load]])</f>
        <v>4</v>
      </c>
      <c r="C301" s="3" t="str">
        <f>Loads[[#This Row],[Load]]&amp;Loads[[#This Row],[Count]]</f>
        <v>44208Product24</v>
      </c>
      <c r="D301" s="90">
        <v>44208</v>
      </c>
      <c r="E301" s="143">
        <v>0.22013888888888888</v>
      </c>
      <c r="F301" s="1" t="s">
        <v>9</v>
      </c>
      <c r="G301" s="2" t="s">
        <v>13</v>
      </c>
      <c r="H301" s="2" t="s">
        <v>42</v>
      </c>
      <c r="I301" s="1" t="s">
        <v>11</v>
      </c>
      <c r="J301" s="1" t="s">
        <v>8</v>
      </c>
      <c r="K301" s="89">
        <v>10320</v>
      </c>
      <c r="L301" s="3">
        <v>63.89</v>
      </c>
      <c r="M301" s="3">
        <v>9.74</v>
      </c>
      <c r="N301" s="3" t="s">
        <v>8</v>
      </c>
      <c r="O301" s="3" t="s">
        <v>8</v>
      </c>
    </row>
    <row r="302" spans="1:15" x14ac:dyDescent="0.35">
      <c r="A302" s="5" t="str">
        <f>Loads[[#This Row],[Date]]&amp;Loads[[#This Row],[Product]]</f>
        <v>44209Product2</v>
      </c>
      <c r="B302" s="5">
        <f>COUNTIF($A$1:A302,Loads[[#This Row],[Load]])</f>
        <v>1</v>
      </c>
      <c r="C302" s="3" t="str">
        <f>Loads[[#This Row],[Load]]&amp;Loads[[#This Row],[Count]]</f>
        <v>44209Product21</v>
      </c>
      <c r="D302" s="90">
        <v>44209</v>
      </c>
      <c r="E302" s="143">
        <v>6.6666666666666666E-2</v>
      </c>
      <c r="F302" s="1" t="s">
        <v>9</v>
      </c>
      <c r="G302" s="2" t="s">
        <v>13</v>
      </c>
      <c r="H302" s="2" t="s">
        <v>42</v>
      </c>
      <c r="I302" s="1" t="s">
        <v>11</v>
      </c>
      <c r="J302" s="1" t="s">
        <v>8</v>
      </c>
      <c r="K302" s="89">
        <v>10260</v>
      </c>
      <c r="L302" s="3">
        <v>63.64</v>
      </c>
      <c r="M302" s="3">
        <v>9.1</v>
      </c>
      <c r="N302" s="3" t="s">
        <v>8</v>
      </c>
      <c r="O302" s="3" t="s">
        <v>8</v>
      </c>
    </row>
    <row r="303" spans="1:15" x14ac:dyDescent="0.35">
      <c r="A303" s="5" t="str">
        <f>Loads[[#This Row],[Date]]&amp;Loads[[#This Row],[Product]]</f>
        <v>44209Product2</v>
      </c>
      <c r="B303" s="5">
        <f>COUNTIF($A$1:A303,Loads[[#This Row],[Load]])</f>
        <v>2</v>
      </c>
      <c r="C303" s="3" t="str">
        <f>Loads[[#This Row],[Load]]&amp;Loads[[#This Row],[Count]]</f>
        <v>44209Product22</v>
      </c>
      <c r="D303" s="90">
        <v>44209</v>
      </c>
      <c r="E303" s="143">
        <v>7.5694444444444439E-2</v>
      </c>
      <c r="F303" s="1" t="s">
        <v>9</v>
      </c>
      <c r="G303" s="2" t="s">
        <v>13</v>
      </c>
      <c r="H303" s="2" t="s">
        <v>42</v>
      </c>
      <c r="I303" s="1" t="s">
        <v>11</v>
      </c>
      <c r="J303" s="1" t="s">
        <v>8</v>
      </c>
      <c r="K303" s="89">
        <v>6900</v>
      </c>
      <c r="L303" s="3">
        <v>59.02</v>
      </c>
      <c r="M303" s="3">
        <v>8.02</v>
      </c>
      <c r="N303" s="3" t="s">
        <v>8</v>
      </c>
      <c r="O303" s="3" t="s">
        <v>8</v>
      </c>
    </row>
    <row r="304" spans="1:15" x14ac:dyDescent="0.35">
      <c r="A304" s="5" t="str">
        <f>Loads[[#This Row],[Date]]&amp;Loads[[#This Row],[Product]]</f>
        <v>44209Product2</v>
      </c>
      <c r="B304" s="5">
        <f>COUNTIF($A$1:A304,Loads[[#This Row],[Load]])</f>
        <v>3</v>
      </c>
      <c r="C304" s="3" t="str">
        <f>Loads[[#This Row],[Load]]&amp;Loads[[#This Row],[Count]]</f>
        <v>44209Product23</v>
      </c>
      <c r="D304" s="90">
        <v>44209</v>
      </c>
      <c r="E304" s="143">
        <v>7.7083333333333337E-2</v>
      </c>
      <c r="F304" s="1" t="s">
        <v>9</v>
      </c>
      <c r="G304" s="2" t="s">
        <v>13</v>
      </c>
      <c r="H304" s="2" t="s">
        <v>42</v>
      </c>
      <c r="I304" s="1" t="s">
        <v>11</v>
      </c>
      <c r="J304" s="1" t="s">
        <v>8</v>
      </c>
      <c r="K304" s="89">
        <v>7100</v>
      </c>
      <c r="L304" s="3">
        <v>59.09</v>
      </c>
      <c r="M304" s="3">
        <v>8.64</v>
      </c>
      <c r="N304" s="3" t="s">
        <v>8</v>
      </c>
      <c r="O304" s="3" t="s">
        <v>8</v>
      </c>
    </row>
    <row r="305" spans="1:15" x14ac:dyDescent="0.35">
      <c r="A305" s="5" t="str">
        <f>Loads[[#This Row],[Date]]&amp;Loads[[#This Row],[Product]]</f>
        <v>44209Product2</v>
      </c>
      <c r="B305" s="5">
        <f>COUNTIF($A$1:A305,Loads[[#This Row],[Load]])</f>
        <v>4</v>
      </c>
      <c r="C305" s="3" t="str">
        <f>Loads[[#This Row],[Load]]&amp;Loads[[#This Row],[Count]]</f>
        <v>44209Product24</v>
      </c>
      <c r="D305" s="90">
        <v>44209</v>
      </c>
      <c r="E305" s="143">
        <v>7.7777777777777779E-2</v>
      </c>
      <c r="F305" s="1" t="s">
        <v>9</v>
      </c>
      <c r="G305" s="2" t="s">
        <v>13</v>
      </c>
      <c r="H305" s="2" t="s">
        <v>42</v>
      </c>
      <c r="I305" s="1" t="s">
        <v>11</v>
      </c>
      <c r="J305" s="1" t="s">
        <v>8</v>
      </c>
      <c r="K305" s="89">
        <v>8020</v>
      </c>
      <c r="L305" s="3">
        <v>55.86</v>
      </c>
      <c r="M305" s="3">
        <v>7.85</v>
      </c>
      <c r="N305" s="3" t="s">
        <v>8</v>
      </c>
      <c r="O305" s="3" t="s">
        <v>8</v>
      </c>
    </row>
    <row r="306" spans="1:15" x14ac:dyDescent="0.35">
      <c r="A306" s="5" t="str">
        <f>Loads[[#This Row],[Date]]&amp;Loads[[#This Row],[Product]]</f>
        <v>44210Product2</v>
      </c>
      <c r="B306" s="5">
        <f>COUNTIF($A$1:A306,Loads[[#This Row],[Load]])</f>
        <v>1</v>
      </c>
      <c r="C306" s="3" t="str">
        <f>Loads[[#This Row],[Load]]&amp;Loads[[#This Row],[Count]]</f>
        <v>44210Product21</v>
      </c>
      <c r="D306" s="90">
        <v>44210</v>
      </c>
      <c r="E306" s="143">
        <v>9.930555555555555E-2</v>
      </c>
      <c r="F306" s="1" t="s">
        <v>9</v>
      </c>
      <c r="G306" s="2" t="s">
        <v>13</v>
      </c>
      <c r="H306" s="2" t="s">
        <v>42</v>
      </c>
      <c r="I306" s="1" t="s">
        <v>11</v>
      </c>
      <c r="J306" s="1" t="s">
        <v>8</v>
      </c>
      <c r="K306" s="89">
        <v>10860</v>
      </c>
      <c r="L306" s="3">
        <v>59.05</v>
      </c>
      <c r="M306" s="3">
        <v>8.64</v>
      </c>
      <c r="N306" s="3" t="s">
        <v>8</v>
      </c>
      <c r="O306" s="3" t="s">
        <v>8</v>
      </c>
    </row>
    <row r="307" spans="1:15" x14ac:dyDescent="0.35">
      <c r="A307" s="5" t="str">
        <f>Loads[[#This Row],[Date]]&amp;Loads[[#This Row],[Product]]</f>
        <v>44210Product2</v>
      </c>
      <c r="B307" s="5">
        <f>COUNTIF($A$1:A307,Loads[[#This Row],[Load]])</f>
        <v>2</v>
      </c>
      <c r="C307" s="3" t="str">
        <f>Loads[[#This Row],[Load]]&amp;Loads[[#This Row],[Count]]</f>
        <v>44210Product22</v>
      </c>
      <c r="D307" s="90">
        <v>44210</v>
      </c>
      <c r="E307" s="143">
        <v>0.10069444444444443</v>
      </c>
      <c r="F307" s="1" t="s">
        <v>9</v>
      </c>
      <c r="G307" s="2" t="s">
        <v>13</v>
      </c>
      <c r="H307" s="2" t="s">
        <v>42</v>
      </c>
      <c r="I307" s="1" t="s">
        <v>11</v>
      </c>
      <c r="J307" s="1" t="s">
        <v>8</v>
      </c>
      <c r="K307" s="89">
        <v>9420</v>
      </c>
      <c r="L307" s="3">
        <v>57.51</v>
      </c>
      <c r="M307" s="3">
        <v>10.1</v>
      </c>
      <c r="N307" s="3" t="s">
        <v>8</v>
      </c>
      <c r="O307" s="3" t="s">
        <v>8</v>
      </c>
    </row>
    <row r="308" spans="1:15" x14ac:dyDescent="0.35">
      <c r="A308" s="5" t="str">
        <f>Loads[[#This Row],[Date]]&amp;Loads[[#This Row],[Product]]</f>
        <v>44210Product2</v>
      </c>
      <c r="B308" s="5">
        <f>COUNTIF($A$1:A308,Loads[[#This Row],[Load]])</f>
        <v>3</v>
      </c>
      <c r="C308" s="3" t="str">
        <f>Loads[[#This Row],[Load]]&amp;Loads[[#This Row],[Count]]</f>
        <v>44210Product23</v>
      </c>
      <c r="D308" s="90">
        <v>44210</v>
      </c>
      <c r="E308" s="143">
        <v>0.10208333333333335</v>
      </c>
      <c r="F308" s="1" t="s">
        <v>9</v>
      </c>
      <c r="G308" s="2" t="s">
        <v>13</v>
      </c>
      <c r="H308" s="2" t="s">
        <v>42</v>
      </c>
      <c r="I308" s="1" t="s">
        <v>11</v>
      </c>
      <c r="J308" s="1" t="s">
        <v>8</v>
      </c>
      <c r="K308" s="89">
        <v>8400</v>
      </c>
      <c r="L308" s="3">
        <v>60.64</v>
      </c>
      <c r="M308" s="3">
        <v>10.41</v>
      </c>
      <c r="N308" s="3" t="s">
        <v>8</v>
      </c>
      <c r="O308" s="3" t="s">
        <v>8</v>
      </c>
    </row>
    <row r="309" spans="1:15" x14ac:dyDescent="0.35">
      <c r="A309" s="5" t="str">
        <f>Loads[[#This Row],[Date]]&amp;Loads[[#This Row],[Product]]</f>
        <v>44210Product2</v>
      </c>
      <c r="B309" s="5">
        <f>COUNTIF($A$1:A309,Loads[[#This Row],[Load]])</f>
        <v>4</v>
      </c>
      <c r="C309" s="3" t="str">
        <f>Loads[[#This Row],[Load]]&amp;Loads[[#This Row],[Count]]</f>
        <v>44210Product24</v>
      </c>
      <c r="D309" s="90">
        <v>44210</v>
      </c>
      <c r="E309" s="143">
        <v>0.10347222222222223</v>
      </c>
      <c r="F309" s="1" t="s">
        <v>9</v>
      </c>
      <c r="G309" s="2" t="s">
        <v>13</v>
      </c>
      <c r="H309" s="2" t="s">
        <v>42</v>
      </c>
      <c r="I309" s="1" t="s">
        <v>11</v>
      </c>
      <c r="J309" s="1" t="s">
        <v>8</v>
      </c>
      <c r="K309" s="89">
        <v>10480</v>
      </c>
      <c r="L309" s="3">
        <v>59.35</v>
      </c>
      <c r="M309" s="3">
        <v>10.5</v>
      </c>
      <c r="N309" s="3" t="s">
        <v>8</v>
      </c>
      <c r="O309" s="3" t="s">
        <v>8</v>
      </c>
    </row>
    <row r="310" spans="1:15" x14ac:dyDescent="0.35">
      <c r="A310" s="5" t="str">
        <f>Loads[[#This Row],[Date]]&amp;Loads[[#This Row],[Product]]</f>
        <v>44210Product2</v>
      </c>
      <c r="B310" s="5">
        <f>COUNTIF($A$1:A310,Loads[[#This Row],[Load]])</f>
        <v>5</v>
      </c>
      <c r="C310" s="3" t="str">
        <f>Loads[[#This Row],[Load]]&amp;Loads[[#This Row],[Count]]</f>
        <v>44210Product25</v>
      </c>
      <c r="D310" s="90">
        <v>44210</v>
      </c>
      <c r="E310" s="143">
        <v>0.10416666666666667</v>
      </c>
      <c r="F310" s="1" t="s">
        <v>9</v>
      </c>
      <c r="G310" s="2" t="s">
        <v>13</v>
      </c>
      <c r="H310" s="2" t="s">
        <v>42</v>
      </c>
      <c r="I310" s="1" t="s">
        <v>11</v>
      </c>
      <c r="J310" s="1" t="s">
        <v>8</v>
      </c>
      <c r="K310" s="89">
        <v>8900</v>
      </c>
      <c r="L310" s="3">
        <v>60.84</v>
      </c>
      <c r="M310" s="3">
        <v>10.37</v>
      </c>
      <c r="N310" s="3" t="s">
        <v>8</v>
      </c>
      <c r="O310" s="3" t="s">
        <v>8</v>
      </c>
    </row>
    <row r="311" spans="1:15" x14ac:dyDescent="0.35">
      <c r="A311" s="5" t="str">
        <f>Loads[[#This Row],[Date]]&amp;Loads[[#This Row],[Product]]</f>
        <v>44210Product2</v>
      </c>
      <c r="B311" s="5">
        <f>COUNTIF($A$1:A311,Loads[[#This Row],[Load]])</f>
        <v>6</v>
      </c>
      <c r="C311" s="3" t="str">
        <f>Loads[[#This Row],[Load]]&amp;Loads[[#This Row],[Count]]</f>
        <v>44210Product26</v>
      </c>
      <c r="D311" s="90">
        <v>44210</v>
      </c>
      <c r="E311" s="143">
        <v>0.10486111111111111</v>
      </c>
      <c r="F311" s="1" t="s">
        <v>9</v>
      </c>
      <c r="G311" s="2" t="s">
        <v>13</v>
      </c>
      <c r="H311" s="2" t="s">
        <v>42</v>
      </c>
      <c r="I311" s="1" t="s">
        <v>11</v>
      </c>
      <c r="J311" s="1" t="s">
        <v>8</v>
      </c>
      <c r="K311" s="89">
        <v>10800</v>
      </c>
      <c r="L311" s="3">
        <v>61.53</v>
      </c>
      <c r="M311" s="3">
        <v>10.35</v>
      </c>
      <c r="N311" s="3" t="s">
        <v>8</v>
      </c>
      <c r="O311" s="3" t="s">
        <v>8</v>
      </c>
    </row>
    <row r="312" spans="1:15" x14ac:dyDescent="0.35">
      <c r="A312" s="5" t="str">
        <f>Loads[[#This Row],[Date]]&amp;Loads[[#This Row],[Product]]</f>
        <v>44210Product2</v>
      </c>
      <c r="B312" s="5">
        <f>COUNTIF($A$1:A312,Loads[[#This Row],[Load]])</f>
        <v>7</v>
      </c>
      <c r="C312" s="3" t="str">
        <f>Loads[[#This Row],[Load]]&amp;Loads[[#This Row],[Count]]</f>
        <v>44210Product27</v>
      </c>
      <c r="D312" s="90">
        <v>44210</v>
      </c>
      <c r="E312" s="143">
        <v>0.10694444444444444</v>
      </c>
      <c r="F312" s="1" t="s">
        <v>9</v>
      </c>
      <c r="G312" s="2" t="s">
        <v>13</v>
      </c>
      <c r="H312" s="2" t="s">
        <v>42</v>
      </c>
      <c r="I312" s="1" t="s">
        <v>11</v>
      </c>
      <c r="J312" s="1" t="s">
        <v>8</v>
      </c>
      <c r="K312" s="89">
        <v>10540</v>
      </c>
      <c r="L312" s="3">
        <v>60.12</v>
      </c>
      <c r="M312" s="3">
        <v>10.57</v>
      </c>
      <c r="N312" s="3" t="s">
        <v>8</v>
      </c>
      <c r="O312" s="3" t="s">
        <v>8</v>
      </c>
    </row>
    <row r="313" spans="1:15" x14ac:dyDescent="0.35">
      <c r="A313" s="5" t="str">
        <f>Loads[[#This Row],[Date]]&amp;Loads[[#This Row],[Product]]</f>
        <v>44210Product2</v>
      </c>
      <c r="B313" s="5">
        <f>COUNTIF($A$1:A313,Loads[[#This Row],[Load]])</f>
        <v>8</v>
      </c>
      <c r="C313" s="3" t="str">
        <f>Loads[[#This Row],[Load]]&amp;Loads[[#This Row],[Count]]</f>
        <v>44210Product28</v>
      </c>
      <c r="D313" s="90">
        <v>44210</v>
      </c>
      <c r="E313" s="143">
        <v>0.10833333333333334</v>
      </c>
      <c r="F313" s="1" t="s">
        <v>9</v>
      </c>
      <c r="G313" s="2" t="s">
        <v>13</v>
      </c>
      <c r="H313" s="2" t="s">
        <v>42</v>
      </c>
      <c r="I313" s="1" t="s">
        <v>11</v>
      </c>
      <c r="J313" s="1" t="s">
        <v>8</v>
      </c>
      <c r="K313" s="89">
        <v>11940</v>
      </c>
      <c r="L313" s="3">
        <v>60.97</v>
      </c>
      <c r="M313" s="3">
        <v>9.36</v>
      </c>
      <c r="N313" s="3" t="s">
        <v>8</v>
      </c>
      <c r="O313" s="3" t="s">
        <v>8</v>
      </c>
    </row>
    <row r="314" spans="1:15" x14ac:dyDescent="0.35">
      <c r="A314" s="5" t="str">
        <f>Loads[[#This Row],[Date]]&amp;Loads[[#This Row],[Product]]</f>
        <v>44210Product2</v>
      </c>
      <c r="B314" s="5">
        <f>COUNTIF($A$1:A314,Loads[[#This Row],[Load]])</f>
        <v>9</v>
      </c>
      <c r="C314" s="3" t="str">
        <f>Loads[[#This Row],[Load]]&amp;Loads[[#This Row],[Count]]</f>
        <v>44210Product29</v>
      </c>
      <c r="D314" s="90">
        <v>44210</v>
      </c>
      <c r="E314" s="143">
        <v>0.10902777777777778</v>
      </c>
      <c r="F314" s="1" t="s">
        <v>9</v>
      </c>
      <c r="G314" s="2" t="s">
        <v>13</v>
      </c>
      <c r="H314" s="2" t="s">
        <v>42</v>
      </c>
      <c r="I314" s="1" t="s">
        <v>11</v>
      </c>
      <c r="J314" s="1" t="s">
        <v>8</v>
      </c>
      <c r="K314" s="89">
        <v>12140</v>
      </c>
      <c r="L314" s="3">
        <v>60.15</v>
      </c>
      <c r="M314" s="3">
        <v>9.86</v>
      </c>
      <c r="N314" s="3" t="s">
        <v>8</v>
      </c>
      <c r="O314" s="3" t="s">
        <v>8</v>
      </c>
    </row>
    <row r="315" spans="1:15" x14ac:dyDescent="0.35">
      <c r="A315" s="5" t="str">
        <f>Loads[[#This Row],[Date]]&amp;Loads[[#This Row],[Product]]</f>
        <v>44210Product2</v>
      </c>
      <c r="B315" s="5">
        <f>COUNTIF($A$1:A315,Loads[[#This Row],[Load]])</f>
        <v>10</v>
      </c>
      <c r="C315" s="3" t="str">
        <f>Loads[[#This Row],[Load]]&amp;Loads[[#This Row],[Count]]</f>
        <v>44210Product210</v>
      </c>
      <c r="D315" s="90">
        <v>44210</v>
      </c>
      <c r="E315" s="143">
        <v>0.11041666666666666</v>
      </c>
      <c r="F315" s="1" t="s">
        <v>9</v>
      </c>
      <c r="G315" s="2" t="s">
        <v>13</v>
      </c>
      <c r="H315" s="2" t="s">
        <v>42</v>
      </c>
      <c r="I315" s="1" t="s">
        <v>11</v>
      </c>
      <c r="J315" s="1" t="s">
        <v>8</v>
      </c>
      <c r="K315" s="89">
        <v>9900</v>
      </c>
      <c r="L315" s="3">
        <v>60.12</v>
      </c>
      <c r="M315" s="3">
        <v>9.8699999999999992</v>
      </c>
      <c r="N315" s="3" t="s">
        <v>8</v>
      </c>
      <c r="O315" s="3" t="s">
        <v>8</v>
      </c>
    </row>
    <row r="316" spans="1:15" x14ac:dyDescent="0.35">
      <c r="A316" s="5" t="str">
        <f>Loads[[#This Row],[Date]]&amp;Loads[[#This Row],[Product]]</f>
        <v>44211Product2</v>
      </c>
      <c r="B316" s="5">
        <f>COUNTIF($A$1:A316,Loads[[#This Row],[Load]])</f>
        <v>1</v>
      </c>
      <c r="C316" s="3" t="str">
        <f>Loads[[#This Row],[Load]]&amp;Loads[[#This Row],[Count]]</f>
        <v>44211Product21</v>
      </c>
      <c r="D316" s="90">
        <v>44211</v>
      </c>
      <c r="E316" s="143">
        <v>0.11041666666666666</v>
      </c>
      <c r="F316" s="1" t="s">
        <v>9</v>
      </c>
      <c r="G316" s="2" t="s">
        <v>13</v>
      </c>
      <c r="H316" s="2" t="s">
        <v>42</v>
      </c>
      <c r="I316" s="1" t="s">
        <v>11</v>
      </c>
      <c r="J316" s="1" t="s">
        <v>8</v>
      </c>
      <c r="K316" s="89">
        <v>11180</v>
      </c>
      <c r="L316" s="3">
        <v>60.22</v>
      </c>
      <c r="M316" s="3">
        <v>9.25</v>
      </c>
      <c r="N316" s="3" t="s">
        <v>8</v>
      </c>
      <c r="O316" s="3" t="s">
        <v>8</v>
      </c>
    </row>
    <row r="317" spans="1:15" x14ac:dyDescent="0.35">
      <c r="A317" s="5" t="str">
        <f>Loads[[#This Row],[Date]]&amp;Loads[[#This Row],[Product]]</f>
        <v>44211Product2</v>
      </c>
      <c r="B317" s="5">
        <f>COUNTIF($A$1:A317,Loads[[#This Row],[Load]])</f>
        <v>2</v>
      </c>
      <c r="C317" s="3" t="str">
        <f>Loads[[#This Row],[Load]]&amp;Loads[[#This Row],[Count]]</f>
        <v>44211Product22</v>
      </c>
      <c r="D317" s="90">
        <v>44211</v>
      </c>
      <c r="E317" s="143">
        <v>0.11041666666666666</v>
      </c>
      <c r="F317" s="1" t="s">
        <v>9</v>
      </c>
      <c r="G317" s="2" t="s">
        <v>13</v>
      </c>
      <c r="H317" s="2" t="s">
        <v>42</v>
      </c>
      <c r="I317" s="1" t="s">
        <v>11</v>
      </c>
      <c r="J317" s="1" t="s">
        <v>8</v>
      </c>
      <c r="K317" s="89">
        <v>10320</v>
      </c>
      <c r="L317" s="3">
        <v>61.91</v>
      </c>
      <c r="M317" s="3">
        <v>9.5399999999999991</v>
      </c>
      <c r="N317" s="3" t="s">
        <v>8</v>
      </c>
      <c r="O317" s="3" t="s">
        <v>8</v>
      </c>
    </row>
    <row r="318" spans="1:15" x14ac:dyDescent="0.35">
      <c r="A318" s="5" t="str">
        <f>Loads[[#This Row],[Date]]&amp;Loads[[#This Row],[Product]]</f>
        <v>44211Product2</v>
      </c>
      <c r="B318" s="5">
        <f>COUNTIF($A$1:A318,Loads[[#This Row],[Load]])</f>
        <v>3</v>
      </c>
      <c r="C318" s="3" t="str">
        <f>Loads[[#This Row],[Load]]&amp;Loads[[#This Row],[Count]]</f>
        <v>44211Product23</v>
      </c>
      <c r="D318" s="90">
        <v>44211</v>
      </c>
      <c r="E318" s="143">
        <v>0.1111111111111111</v>
      </c>
      <c r="F318" s="1" t="s">
        <v>9</v>
      </c>
      <c r="G318" s="2" t="s">
        <v>13</v>
      </c>
      <c r="H318" s="2" t="s">
        <v>42</v>
      </c>
      <c r="I318" s="1" t="s">
        <v>11</v>
      </c>
      <c r="J318" s="1" t="s">
        <v>8</v>
      </c>
      <c r="K318" s="89">
        <v>11920</v>
      </c>
      <c r="L318" s="3">
        <v>62.29</v>
      </c>
      <c r="M318" s="3">
        <v>9.4600000000000009</v>
      </c>
      <c r="N318" s="3" t="s">
        <v>8</v>
      </c>
      <c r="O318" s="3" t="s">
        <v>8</v>
      </c>
    </row>
    <row r="319" spans="1:15" x14ac:dyDescent="0.35">
      <c r="A319" s="5" t="str">
        <f>Loads[[#This Row],[Date]]&amp;Loads[[#This Row],[Product]]</f>
        <v>44211Product2</v>
      </c>
      <c r="B319" s="5">
        <f>COUNTIF($A$1:A319,Loads[[#This Row],[Load]])</f>
        <v>4</v>
      </c>
      <c r="C319" s="3" t="str">
        <f>Loads[[#This Row],[Load]]&amp;Loads[[#This Row],[Count]]</f>
        <v>44211Product24</v>
      </c>
      <c r="D319" s="90">
        <v>44211</v>
      </c>
      <c r="E319" s="143">
        <v>0.11180555555555556</v>
      </c>
      <c r="F319" s="1" t="s">
        <v>9</v>
      </c>
      <c r="G319" s="2" t="s">
        <v>13</v>
      </c>
      <c r="H319" s="2" t="s">
        <v>42</v>
      </c>
      <c r="I319" s="1" t="s">
        <v>11</v>
      </c>
      <c r="J319" s="1" t="s">
        <v>8</v>
      </c>
      <c r="K319" s="89">
        <v>10540</v>
      </c>
      <c r="L319" s="3">
        <v>60.55</v>
      </c>
      <c r="M319" s="3">
        <v>10.41</v>
      </c>
      <c r="N319" s="3" t="s">
        <v>8</v>
      </c>
      <c r="O319" s="3" t="s">
        <v>8</v>
      </c>
    </row>
    <row r="320" spans="1:15" x14ac:dyDescent="0.35">
      <c r="A320" s="5" t="str">
        <f>Loads[[#This Row],[Date]]&amp;Loads[[#This Row],[Product]]</f>
        <v>44211Product2</v>
      </c>
      <c r="B320" s="5">
        <f>COUNTIF($A$1:A320,Loads[[#This Row],[Load]])</f>
        <v>5</v>
      </c>
      <c r="C320" s="3" t="str">
        <f>Loads[[#This Row],[Load]]&amp;Loads[[#This Row],[Count]]</f>
        <v>44211Product25</v>
      </c>
      <c r="D320" s="90">
        <v>44211</v>
      </c>
      <c r="E320" s="143">
        <v>0.1125</v>
      </c>
      <c r="F320" s="1" t="s">
        <v>9</v>
      </c>
      <c r="G320" s="2" t="s">
        <v>13</v>
      </c>
      <c r="H320" s="2" t="s">
        <v>42</v>
      </c>
      <c r="I320" s="1" t="s">
        <v>11</v>
      </c>
      <c r="J320" s="1" t="s">
        <v>8</v>
      </c>
      <c r="K320" s="89">
        <v>11620</v>
      </c>
      <c r="L320" s="3">
        <v>62.24</v>
      </c>
      <c r="M320" s="3">
        <v>9.41</v>
      </c>
      <c r="N320" s="3" t="s">
        <v>8</v>
      </c>
      <c r="O320" s="3" t="s">
        <v>8</v>
      </c>
    </row>
    <row r="321" spans="1:15" x14ac:dyDescent="0.35">
      <c r="A321" s="5" t="str">
        <f>Loads[[#This Row],[Date]]&amp;Loads[[#This Row],[Product]]</f>
        <v>44211Product2</v>
      </c>
      <c r="B321" s="5">
        <f>COUNTIF($A$1:A321,Loads[[#This Row],[Load]])</f>
        <v>6</v>
      </c>
      <c r="C321" s="3" t="str">
        <f>Loads[[#This Row],[Load]]&amp;Loads[[#This Row],[Count]]</f>
        <v>44211Product26</v>
      </c>
      <c r="D321" s="90">
        <v>44211</v>
      </c>
      <c r="E321" s="143">
        <v>0.1125</v>
      </c>
      <c r="F321" s="1" t="s">
        <v>9</v>
      </c>
      <c r="G321" s="2" t="s">
        <v>13</v>
      </c>
      <c r="H321" s="2" t="s">
        <v>42</v>
      </c>
      <c r="I321" s="1" t="s">
        <v>11</v>
      </c>
      <c r="J321" s="1" t="s">
        <v>8</v>
      </c>
      <c r="K321" s="89">
        <v>11780</v>
      </c>
      <c r="L321" s="3">
        <v>62.32</v>
      </c>
      <c r="M321" s="3">
        <v>9.83</v>
      </c>
      <c r="N321" s="3" t="s">
        <v>8</v>
      </c>
      <c r="O321" s="3" t="s">
        <v>8</v>
      </c>
    </row>
    <row r="322" spans="1:15" x14ac:dyDescent="0.35">
      <c r="A322" s="5" t="str">
        <f>Loads[[#This Row],[Date]]&amp;Loads[[#This Row],[Product]]</f>
        <v>44211Product2</v>
      </c>
      <c r="B322" s="5">
        <f>COUNTIF($A$1:A322,Loads[[#This Row],[Load]])</f>
        <v>7</v>
      </c>
      <c r="C322" s="3" t="str">
        <f>Loads[[#This Row],[Load]]&amp;Loads[[#This Row],[Count]]</f>
        <v>44211Product27</v>
      </c>
      <c r="D322" s="90">
        <v>44211</v>
      </c>
      <c r="E322" s="143">
        <v>0.11319444444444444</v>
      </c>
      <c r="F322" s="1" t="s">
        <v>9</v>
      </c>
      <c r="G322" s="2" t="s">
        <v>13</v>
      </c>
      <c r="H322" s="2" t="s">
        <v>42</v>
      </c>
      <c r="I322" s="1" t="s">
        <v>11</v>
      </c>
      <c r="J322" s="1" t="s">
        <v>8</v>
      </c>
      <c r="K322" s="89">
        <v>12420</v>
      </c>
      <c r="L322" s="3">
        <v>61.35</v>
      </c>
      <c r="M322" s="3">
        <v>10.44</v>
      </c>
      <c r="N322" s="3" t="s">
        <v>8</v>
      </c>
      <c r="O322" s="3" t="s">
        <v>8</v>
      </c>
    </row>
    <row r="323" spans="1:15" x14ac:dyDescent="0.35">
      <c r="A323" s="5" t="str">
        <f>Loads[[#This Row],[Date]]&amp;Loads[[#This Row],[Product]]</f>
        <v>44211Product2</v>
      </c>
      <c r="B323" s="5">
        <f>COUNTIF($A$1:A323,Loads[[#This Row],[Load]])</f>
        <v>8</v>
      </c>
      <c r="C323" s="3" t="str">
        <f>Loads[[#This Row],[Load]]&amp;Loads[[#This Row],[Count]]</f>
        <v>44211Product28</v>
      </c>
      <c r="D323" s="90">
        <v>44211</v>
      </c>
      <c r="E323" s="143">
        <v>0.11388888888888889</v>
      </c>
      <c r="F323" s="1" t="s">
        <v>9</v>
      </c>
      <c r="G323" s="2" t="s">
        <v>13</v>
      </c>
      <c r="H323" s="2" t="s">
        <v>42</v>
      </c>
      <c r="I323" s="1" t="s">
        <v>11</v>
      </c>
      <c r="J323" s="1" t="s">
        <v>8</v>
      </c>
      <c r="K323" s="89">
        <v>12840</v>
      </c>
      <c r="L323" s="3">
        <v>62.45</v>
      </c>
      <c r="M323" s="3">
        <v>9.1199999999999992</v>
      </c>
      <c r="N323" s="3" t="s">
        <v>8</v>
      </c>
      <c r="O323" s="3" t="s">
        <v>8</v>
      </c>
    </row>
    <row r="324" spans="1:15" x14ac:dyDescent="0.35">
      <c r="A324" s="5" t="str">
        <f>Loads[[#This Row],[Date]]&amp;Loads[[#This Row],[Product]]</f>
        <v>44211Product2</v>
      </c>
      <c r="B324" s="5">
        <f>COUNTIF($A$1:A324,Loads[[#This Row],[Load]])</f>
        <v>9</v>
      </c>
      <c r="C324" s="3" t="str">
        <f>Loads[[#This Row],[Load]]&amp;Loads[[#This Row],[Count]]</f>
        <v>44211Product29</v>
      </c>
      <c r="D324" s="90">
        <v>44211</v>
      </c>
      <c r="E324" s="143">
        <v>0.11527777777777777</v>
      </c>
      <c r="F324" s="1" t="s">
        <v>9</v>
      </c>
      <c r="G324" s="2" t="s">
        <v>13</v>
      </c>
      <c r="H324" s="2" t="s">
        <v>42</v>
      </c>
      <c r="I324" s="1" t="s">
        <v>11</v>
      </c>
      <c r="J324" s="1" t="s">
        <v>8</v>
      </c>
      <c r="K324" s="89">
        <v>12000</v>
      </c>
      <c r="L324" s="3">
        <v>61.1</v>
      </c>
      <c r="M324" s="3">
        <v>10.18</v>
      </c>
      <c r="N324" s="3" t="s">
        <v>8</v>
      </c>
      <c r="O324" s="3" t="s">
        <v>8</v>
      </c>
    </row>
    <row r="325" spans="1:15" x14ac:dyDescent="0.35">
      <c r="A325" s="5" t="str">
        <f>Loads[[#This Row],[Date]]&amp;Loads[[#This Row],[Product]]</f>
        <v>44211Product2</v>
      </c>
      <c r="B325" s="5">
        <f>COUNTIF($A$1:A325,Loads[[#This Row],[Load]])</f>
        <v>10</v>
      </c>
      <c r="C325" s="3" t="str">
        <f>Loads[[#This Row],[Load]]&amp;Loads[[#This Row],[Count]]</f>
        <v>44211Product210</v>
      </c>
      <c r="D325" s="90">
        <v>44211</v>
      </c>
      <c r="E325" s="143">
        <v>0.11527777777777777</v>
      </c>
      <c r="F325" s="1" t="s">
        <v>9</v>
      </c>
      <c r="G325" s="2" t="s">
        <v>13</v>
      </c>
      <c r="H325" s="2" t="s">
        <v>42</v>
      </c>
      <c r="I325" s="1" t="s">
        <v>11</v>
      </c>
      <c r="J325" s="1" t="s">
        <v>8</v>
      </c>
      <c r="K325" s="89">
        <v>11380</v>
      </c>
      <c r="L325" s="3">
        <v>62.99</v>
      </c>
      <c r="M325" s="3">
        <v>9.3800000000000008</v>
      </c>
      <c r="N325" s="3" t="s">
        <v>8</v>
      </c>
      <c r="O325" s="3" t="s">
        <v>8</v>
      </c>
    </row>
    <row r="326" spans="1:15" x14ac:dyDescent="0.35">
      <c r="A326" s="5" t="str">
        <f>Loads[[#This Row],[Date]]&amp;Loads[[#This Row],[Product]]</f>
        <v>44211Product2</v>
      </c>
      <c r="B326" s="5">
        <f>COUNTIF($A$1:A326,Loads[[#This Row],[Load]])</f>
        <v>11</v>
      </c>
      <c r="C326" s="3" t="str">
        <f>Loads[[#This Row],[Load]]&amp;Loads[[#This Row],[Count]]</f>
        <v>44211Product211</v>
      </c>
      <c r="D326" s="90">
        <v>44211</v>
      </c>
      <c r="E326" s="143">
        <v>0.11597222222222221</v>
      </c>
      <c r="F326" s="1" t="s">
        <v>9</v>
      </c>
      <c r="G326" s="2" t="s">
        <v>13</v>
      </c>
      <c r="H326" s="2" t="s">
        <v>42</v>
      </c>
      <c r="I326" s="1" t="s">
        <v>11</v>
      </c>
      <c r="J326" s="1" t="s">
        <v>8</v>
      </c>
      <c r="K326" s="89">
        <v>10680</v>
      </c>
      <c r="L326" s="3">
        <v>60.13</v>
      </c>
      <c r="M326" s="3">
        <v>10.4</v>
      </c>
      <c r="N326" s="3" t="s">
        <v>8</v>
      </c>
      <c r="O326" s="3" t="s">
        <v>8</v>
      </c>
    </row>
    <row r="327" spans="1:15" x14ac:dyDescent="0.35">
      <c r="A327" s="5" t="str">
        <f>Loads[[#This Row],[Date]]&amp;Loads[[#This Row],[Product]]</f>
        <v>44212Product2</v>
      </c>
      <c r="B327" s="5">
        <f>COUNTIF($A$1:A327,Loads[[#This Row],[Load]])</f>
        <v>1</v>
      </c>
      <c r="C327" s="3" t="str">
        <f>Loads[[#This Row],[Load]]&amp;Loads[[#This Row],[Count]]</f>
        <v>44212Product21</v>
      </c>
      <c r="D327" s="90">
        <v>44212</v>
      </c>
      <c r="E327" s="143">
        <v>0.14027777777777778</v>
      </c>
      <c r="F327" s="1" t="s">
        <v>9</v>
      </c>
      <c r="G327" s="2" t="s">
        <v>13</v>
      </c>
      <c r="H327" s="2" t="s">
        <v>42</v>
      </c>
      <c r="I327" s="1" t="s">
        <v>11</v>
      </c>
      <c r="J327" s="1" t="s">
        <v>8</v>
      </c>
      <c r="K327" s="89">
        <v>12360</v>
      </c>
      <c r="L327" s="3">
        <v>61.59</v>
      </c>
      <c r="M327" s="3">
        <v>9.4600000000000009</v>
      </c>
      <c r="N327" s="3" t="s">
        <v>8</v>
      </c>
      <c r="O327" s="3" t="s">
        <v>8</v>
      </c>
    </row>
    <row r="328" spans="1:15" x14ac:dyDescent="0.35">
      <c r="A328" s="5" t="str">
        <f>Loads[[#This Row],[Date]]&amp;Loads[[#This Row],[Product]]</f>
        <v>44212Product2</v>
      </c>
      <c r="B328" s="5">
        <f>COUNTIF($A$1:A328,Loads[[#This Row],[Load]])</f>
        <v>2</v>
      </c>
      <c r="C328" s="3" t="str">
        <f>Loads[[#This Row],[Load]]&amp;Loads[[#This Row],[Count]]</f>
        <v>44212Product22</v>
      </c>
      <c r="D328" s="90">
        <v>44212</v>
      </c>
      <c r="E328" s="143">
        <v>0.14097222222222222</v>
      </c>
      <c r="F328" s="1" t="s">
        <v>9</v>
      </c>
      <c r="G328" s="2" t="s">
        <v>13</v>
      </c>
      <c r="H328" s="2" t="s">
        <v>42</v>
      </c>
      <c r="I328" s="1" t="s">
        <v>11</v>
      </c>
      <c r="J328" s="1" t="s">
        <v>8</v>
      </c>
      <c r="K328" s="89">
        <v>13360</v>
      </c>
      <c r="L328" s="3">
        <v>62.45</v>
      </c>
      <c r="M328" s="3">
        <v>9.19</v>
      </c>
      <c r="N328" s="3" t="s">
        <v>8</v>
      </c>
      <c r="O328" s="3" t="s">
        <v>8</v>
      </c>
    </row>
    <row r="329" spans="1:15" x14ac:dyDescent="0.35">
      <c r="A329" s="5" t="str">
        <f>Loads[[#This Row],[Date]]&amp;Loads[[#This Row],[Product]]</f>
        <v>44212Product2</v>
      </c>
      <c r="B329" s="5">
        <f>COUNTIF($A$1:A329,Loads[[#This Row],[Load]])</f>
        <v>3</v>
      </c>
      <c r="C329" s="3" t="str">
        <f>Loads[[#This Row],[Load]]&amp;Loads[[#This Row],[Count]]</f>
        <v>44212Product23</v>
      </c>
      <c r="D329" s="90">
        <v>44212</v>
      </c>
      <c r="E329" s="143">
        <v>0.14097222222222222</v>
      </c>
      <c r="F329" s="1" t="s">
        <v>9</v>
      </c>
      <c r="G329" s="2" t="s">
        <v>13</v>
      </c>
      <c r="H329" s="2" t="s">
        <v>42</v>
      </c>
      <c r="I329" s="1" t="s">
        <v>11</v>
      </c>
      <c r="J329" s="1" t="s">
        <v>8</v>
      </c>
      <c r="K329" s="89">
        <v>10920</v>
      </c>
      <c r="L329" s="3">
        <v>63.04</v>
      </c>
      <c r="M329" s="3">
        <v>9.89</v>
      </c>
      <c r="N329" s="3" t="s">
        <v>8</v>
      </c>
      <c r="O329" s="3" t="s">
        <v>8</v>
      </c>
    </row>
    <row r="330" spans="1:15" x14ac:dyDescent="0.35">
      <c r="A330" s="5" t="str">
        <f>Loads[[#This Row],[Date]]&amp;Loads[[#This Row],[Product]]</f>
        <v>44212Product2</v>
      </c>
      <c r="B330" s="5">
        <f>COUNTIF($A$1:A330,Loads[[#This Row],[Load]])</f>
        <v>4</v>
      </c>
      <c r="C330" s="3" t="str">
        <f>Loads[[#This Row],[Load]]&amp;Loads[[#This Row],[Count]]</f>
        <v>44212Product24</v>
      </c>
      <c r="D330" s="90">
        <v>44212</v>
      </c>
      <c r="E330" s="143">
        <v>0.14166666666666666</v>
      </c>
      <c r="F330" s="1" t="s">
        <v>9</v>
      </c>
      <c r="G330" s="2" t="s">
        <v>13</v>
      </c>
      <c r="H330" s="2" t="s">
        <v>42</v>
      </c>
      <c r="I330" s="1" t="s">
        <v>11</v>
      </c>
      <c r="J330" s="1" t="s">
        <v>8</v>
      </c>
      <c r="K330" s="89">
        <v>11580</v>
      </c>
      <c r="L330" s="3">
        <v>60.59</v>
      </c>
      <c r="M330" s="3">
        <v>7.9</v>
      </c>
      <c r="N330" s="3" t="s">
        <v>8</v>
      </c>
      <c r="O330" s="3" t="s">
        <v>8</v>
      </c>
    </row>
    <row r="331" spans="1:15" x14ac:dyDescent="0.35">
      <c r="A331" s="5" t="str">
        <f>Loads[[#This Row],[Date]]&amp;Loads[[#This Row],[Product]]</f>
        <v>44213Product2</v>
      </c>
      <c r="B331" s="5">
        <f>COUNTIF($A$1:A331,Loads[[#This Row],[Load]])</f>
        <v>1</v>
      </c>
      <c r="C331" s="3" t="str">
        <f>Loads[[#This Row],[Load]]&amp;Loads[[#This Row],[Count]]</f>
        <v>44213Product21</v>
      </c>
      <c r="D331" s="90">
        <v>44213</v>
      </c>
      <c r="E331" s="143">
        <v>8.7500000000000008E-2</v>
      </c>
      <c r="F331" s="1" t="s">
        <v>9</v>
      </c>
      <c r="G331" s="2" t="s">
        <v>13</v>
      </c>
      <c r="H331" s="2" t="s">
        <v>42</v>
      </c>
      <c r="I331" s="1" t="s">
        <v>11</v>
      </c>
      <c r="J331" s="1" t="s">
        <v>8</v>
      </c>
      <c r="K331" s="89">
        <v>12600</v>
      </c>
      <c r="L331" s="3">
        <v>64.8</v>
      </c>
      <c r="M331" s="3">
        <v>9.57</v>
      </c>
      <c r="N331" s="3" t="s">
        <v>8</v>
      </c>
      <c r="O331" s="3" t="s">
        <v>8</v>
      </c>
    </row>
    <row r="332" spans="1:15" x14ac:dyDescent="0.35">
      <c r="A332" s="5" t="str">
        <f>Loads[[#This Row],[Date]]&amp;Loads[[#This Row],[Product]]</f>
        <v>44213Product2</v>
      </c>
      <c r="B332" s="5">
        <f>COUNTIF($A$1:A332,Loads[[#This Row],[Load]])</f>
        <v>2</v>
      </c>
      <c r="C332" s="3" t="str">
        <f>Loads[[#This Row],[Load]]&amp;Loads[[#This Row],[Count]]</f>
        <v>44213Product22</v>
      </c>
      <c r="D332" s="90">
        <v>44213</v>
      </c>
      <c r="E332" s="143">
        <v>8.819444444444445E-2</v>
      </c>
      <c r="F332" s="1" t="s">
        <v>9</v>
      </c>
      <c r="G332" s="2" t="s">
        <v>13</v>
      </c>
      <c r="H332" s="2" t="s">
        <v>42</v>
      </c>
      <c r="I332" s="1" t="s">
        <v>11</v>
      </c>
      <c r="J332" s="1" t="s">
        <v>8</v>
      </c>
      <c r="K332" s="89">
        <v>12620</v>
      </c>
      <c r="L332" s="3">
        <v>61.05</v>
      </c>
      <c r="M332" s="3">
        <v>10.14</v>
      </c>
      <c r="N332" s="3" t="s">
        <v>8</v>
      </c>
      <c r="O332" s="3" t="s">
        <v>8</v>
      </c>
    </row>
    <row r="333" spans="1:15" x14ac:dyDescent="0.35">
      <c r="A333" s="5" t="str">
        <f>Loads[[#This Row],[Date]]&amp;Loads[[#This Row],[Product]]</f>
        <v>44213Product2</v>
      </c>
      <c r="B333" s="5">
        <f>COUNTIF($A$1:A333,Loads[[#This Row],[Load]])</f>
        <v>3</v>
      </c>
      <c r="C333" s="3" t="str">
        <f>Loads[[#This Row],[Load]]&amp;Loads[[#This Row],[Count]]</f>
        <v>44213Product23</v>
      </c>
      <c r="D333" s="90">
        <v>44213</v>
      </c>
      <c r="E333" s="143">
        <v>8.819444444444445E-2</v>
      </c>
      <c r="F333" s="1" t="s">
        <v>9</v>
      </c>
      <c r="G333" s="2" t="s">
        <v>13</v>
      </c>
      <c r="H333" s="2" t="s">
        <v>42</v>
      </c>
      <c r="I333" s="1" t="s">
        <v>11</v>
      </c>
      <c r="J333" s="1" t="s">
        <v>8</v>
      </c>
      <c r="K333" s="89">
        <v>12880</v>
      </c>
      <c r="L333" s="3">
        <v>61.91</v>
      </c>
      <c r="M333" s="3">
        <v>9.73</v>
      </c>
      <c r="N333" s="3" t="s">
        <v>8</v>
      </c>
      <c r="O333" s="3" t="s">
        <v>8</v>
      </c>
    </row>
    <row r="334" spans="1:15" x14ac:dyDescent="0.35">
      <c r="A334" s="5" t="str">
        <f>Loads[[#This Row],[Date]]&amp;Loads[[#This Row],[Product]]</f>
        <v>44213Product2</v>
      </c>
      <c r="B334" s="5">
        <f>COUNTIF($A$1:A334,Loads[[#This Row],[Load]])</f>
        <v>4</v>
      </c>
      <c r="C334" s="3" t="str">
        <f>Loads[[#This Row],[Load]]&amp;Loads[[#This Row],[Count]]</f>
        <v>44213Product24</v>
      </c>
      <c r="D334" s="90">
        <v>44213</v>
      </c>
      <c r="E334" s="143">
        <v>8.8888888888888892E-2</v>
      </c>
      <c r="F334" s="1" t="s">
        <v>9</v>
      </c>
      <c r="G334" s="2" t="s">
        <v>13</v>
      </c>
      <c r="H334" s="2" t="s">
        <v>42</v>
      </c>
      <c r="I334" s="1" t="s">
        <v>11</v>
      </c>
      <c r="J334" s="1" t="s">
        <v>8</v>
      </c>
      <c r="K334" s="89">
        <v>9840</v>
      </c>
      <c r="L334" s="3">
        <v>60.75</v>
      </c>
      <c r="M334" s="3">
        <v>9.84</v>
      </c>
      <c r="N334" s="3" t="s">
        <v>8</v>
      </c>
      <c r="O334" s="3" t="s">
        <v>8</v>
      </c>
    </row>
    <row r="335" spans="1:15" x14ac:dyDescent="0.35">
      <c r="A335" s="5" t="str">
        <f>Loads[[#This Row],[Date]]&amp;Loads[[#This Row],[Product]]</f>
        <v>44213Product2</v>
      </c>
      <c r="B335" s="5">
        <f>COUNTIF($A$1:A335,Loads[[#This Row],[Load]])</f>
        <v>5</v>
      </c>
      <c r="C335" s="3" t="str">
        <f>Loads[[#This Row],[Load]]&amp;Loads[[#This Row],[Count]]</f>
        <v>44213Product25</v>
      </c>
      <c r="D335" s="90">
        <v>44213</v>
      </c>
      <c r="E335" s="143">
        <v>8.8888888888888892E-2</v>
      </c>
      <c r="F335" s="1" t="s">
        <v>9</v>
      </c>
      <c r="G335" s="2" t="s">
        <v>13</v>
      </c>
      <c r="H335" s="2" t="s">
        <v>42</v>
      </c>
      <c r="I335" s="1" t="s">
        <v>11</v>
      </c>
      <c r="J335" s="1" t="s">
        <v>8</v>
      </c>
      <c r="K335" s="89">
        <v>11660</v>
      </c>
      <c r="L335" s="3">
        <v>63.65</v>
      </c>
      <c r="M335" s="3">
        <v>8.98</v>
      </c>
      <c r="N335" s="3" t="s">
        <v>8</v>
      </c>
      <c r="O335" s="3" t="s">
        <v>8</v>
      </c>
    </row>
    <row r="336" spans="1:15" x14ac:dyDescent="0.35">
      <c r="A336" s="5" t="str">
        <f>Loads[[#This Row],[Date]]&amp;Loads[[#This Row],[Product]]</f>
        <v>44213Product2</v>
      </c>
      <c r="B336" s="5">
        <f>COUNTIF($A$1:A336,Loads[[#This Row],[Load]])</f>
        <v>6</v>
      </c>
      <c r="C336" s="3" t="str">
        <f>Loads[[#This Row],[Load]]&amp;Loads[[#This Row],[Count]]</f>
        <v>44213Product26</v>
      </c>
      <c r="D336" s="90">
        <v>44213</v>
      </c>
      <c r="E336" s="143">
        <v>8.9583333333333334E-2</v>
      </c>
      <c r="F336" s="1" t="s">
        <v>9</v>
      </c>
      <c r="G336" s="2" t="s">
        <v>13</v>
      </c>
      <c r="H336" s="2" t="s">
        <v>42</v>
      </c>
      <c r="I336" s="1" t="s">
        <v>11</v>
      </c>
      <c r="J336" s="1" t="s">
        <v>8</v>
      </c>
      <c r="K336" s="89">
        <v>12180</v>
      </c>
      <c r="L336" s="3">
        <v>65.64</v>
      </c>
      <c r="M336" s="3">
        <v>8.5299999999999994</v>
      </c>
      <c r="N336" s="3" t="s">
        <v>8</v>
      </c>
      <c r="O336" s="3" t="s">
        <v>8</v>
      </c>
    </row>
    <row r="337" spans="1:15" x14ac:dyDescent="0.35">
      <c r="A337" s="5" t="str">
        <f>Loads[[#This Row],[Date]]&amp;Loads[[#This Row],[Product]]</f>
        <v>44213Product2</v>
      </c>
      <c r="B337" s="5">
        <f>COUNTIF($A$1:A337,Loads[[#This Row],[Load]])</f>
        <v>7</v>
      </c>
      <c r="C337" s="3" t="str">
        <f>Loads[[#This Row],[Load]]&amp;Loads[[#This Row],[Count]]</f>
        <v>44213Product27</v>
      </c>
      <c r="D337" s="90">
        <v>44213</v>
      </c>
      <c r="E337" s="143">
        <v>8.9583333333333334E-2</v>
      </c>
      <c r="F337" s="1" t="s">
        <v>9</v>
      </c>
      <c r="G337" s="2" t="s">
        <v>13</v>
      </c>
      <c r="H337" s="2" t="s">
        <v>42</v>
      </c>
      <c r="I337" s="1" t="s">
        <v>11</v>
      </c>
      <c r="J337" s="1" t="s">
        <v>8</v>
      </c>
      <c r="K337" s="89">
        <v>11460</v>
      </c>
      <c r="L337" s="3">
        <v>61.89</v>
      </c>
      <c r="M337" s="3">
        <v>9.59</v>
      </c>
      <c r="N337" s="3" t="s">
        <v>8</v>
      </c>
      <c r="O337" s="3" t="s">
        <v>8</v>
      </c>
    </row>
    <row r="338" spans="1:15" x14ac:dyDescent="0.35">
      <c r="A338" s="5" t="str">
        <f>Loads[[#This Row],[Date]]&amp;Loads[[#This Row],[Product]]</f>
        <v>44214Product2</v>
      </c>
      <c r="B338" s="5">
        <f>COUNTIF($A$1:A338,Loads[[#This Row],[Load]])</f>
        <v>1</v>
      </c>
      <c r="C338" s="3" t="str">
        <f>Loads[[#This Row],[Load]]&amp;Loads[[#This Row],[Count]]</f>
        <v>44214Product21</v>
      </c>
      <c r="D338" s="90">
        <v>44214</v>
      </c>
      <c r="E338" s="143">
        <v>0.11388888888888889</v>
      </c>
      <c r="F338" s="1" t="s">
        <v>9</v>
      </c>
      <c r="G338" s="2" t="s">
        <v>13</v>
      </c>
      <c r="H338" s="2" t="s">
        <v>42</v>
      </c>
      <c r="I338" s="1" t="s">
        <v>11</v>
      </c>
      <c r="J338" s="1" t="s">
        <v>8</v>
      </c>
      <c r="K338" s="89">
        <v>11460</v>
      </c>
      <c r="L338" s="3">
        <v>61.89</v>
      </c>
      <c r="M338" s="3">
        <v>9.59</v>
      </c>
      <c r="N338" s="3" t="s">
        <v>8</v>
      </c>
      <c r="O338" s="3" t="s">
        <v>8</v>
      </c>
    </row>
    <row r="339" spans="1:15" x14ac:dyDescent="0.35">
      <c r="A339" s="5" t="str">
        <f>Loads[[#This Row],[Date]]&amp;Loads[[#This Row],[Product]]</f>
        <v>44214Product2</v>
      </c>
      <c r="B339" s="5">
        <f>COUNTIF($A$1:A339,Loads[[#This Row],[Load]])</f>
        <v>2</v>
      </c>
      <c r="C339" s="3" t="str">
        <f>Loads[[#This Row],[Load]]&amp;Loads[[#This Row],[Count]]</f>
        <v>44214Product22</v>
      </c>
      <c r="D339" s="90">
        <v>44214</v>
      </c>
      <c r="E339" s="143">
        <v>0.11458333333333333</v>
      </c>
      <c r="F339" s="1" t="s">
        <v>9</v>
      </c>
      <c r="G339" s="2" t="s">
        <v>13</v>
      </c>
      <c r="H339" s="2" t="s">
        <v>42</v>
      </c>
      <c r="I339" s="1" t="s">
        <v>11</v>
      </c>
      <c r="J339" s="1" t="s">
        <v>8</v>
      </c>
      <c r="K339" s="89">
        <v>12440</v>
      </c>
      <c r="L339" s="3">
        <v>60.62</v>
      </c>
      <c r="M339" s="3">
        <v>9.59</v>
      </c>
      <c r="N339" s="3" t="s">
        <v>8</v>
      </c>
      <c r="O339" s="3" t="s">
        <v>8</v>
      </c>
    </row>
    <row r="340" spans="1:15" x14ac:dyDescent="0.35">
      <c r="A340" s="5" t="str">
        <f>Loads[[#This Row],[Date]]&amp;Loads[[#This Row],[Product]]</f>
        <v>44214Product2</v>
      </c>
      <c r="B340" s="5">
        <f>COUNTIF($A$1:A340,Loads[[#This Row],[Load]])</f>
        <v>3</v>
      </c>
      <c r="C340" s="3" t="str">
        <f>Loads[[#This Row],[Load]]&amp;Loads[[#This Row],[Count]]</f>
        <v>44214Product23</v>
      </c>
      <c r="D340" s="90">
        <v>44214</v>
      </c>
      <c r="E340" s="143">
        <v>0.11527777777777777</v>
      </c>
      <c r="F340" s="1" t="s">
        <v>9</v>
      </c>
      <c r="G340" s="2" t="s">
        <v>13</v>
      </c>
      <c r="H340" s="2" t="s">
        <v>42</v>
      </c>
      <c r="I340" s="1" t="s">
        <v>11</v>
      </c>
      <c r="J340" s="1" t="s">
        <v>8</v>
      </c>
      <c r="K340" s="89">
        <v>12380</v>
      </c>
      <c r="L340" s="3">
        <v>61.49</v>
      </c>
      <c r="M340" s="3">
        <v>9.25</v>
      </c>
      <c r="N340" s="3" t="s">
        <v>8</v>
      </c>
      <c r="O340" s="3" t="s">
        <v>8</v>
      </c>
    </row>
    <row r="341" spans="1:15" x14ac:dyDescent="0.35">
      <c r="A341" s="5" t="str">
        <f>Loads[[#This Row],[Date]]&amp;Loads[[#This Row],[Product]]</f>
        <v>44214Product2</v>
      </c>
      <c r="B341" s="5">
        <f>COUNTIF($A$1:A341,Loads[[#This Row],[Load]])</f>
        <v>4</v>
      </c>
      <c r="C341" s="3" t="str">
        <f>Loads[[#This Row],[Load]]&amp;Loads[[#This Row],[Count]]</f>
        <v>44214Product24</v>
      </c>
      <c r="D341" s="90">
        <v>44214</v>
      </c>
      <c r="E341" s="143">
        <v>0.11527777777777777</v>
      </c>
      <c r="F341" s="1" t="s">
        <v>9</v>
      </c>
      <c r="G341" s="2" t="s">
        <v>13</v>
      </c>
      <c r="H341" s="2" t="s">
        <v>42</v>
      </c>
      <c r="I341" s="1" t="s">
        <v>11</v>
      </c>
      <c r="J341" s="1" t="s">
        <v>8</v>
      </c>
      <c r="K341" s="89">
        <v>13140</v>
      </c>
      <c r="L341" s="3">
        <v>58.67</v>
      </c>
      <c r="M341" s="3">
        <v>11.42</v>
      </c>
      <c r="N341" s="3" t="s">
        <v>8</v>
      </c>
      <c r="O341" s="3" t="s">
        <v>8</v>
      </c>
    </row>
    <row r="342" spans="1:15" x14ac:dyDescent="0.35">
      <c r="A342" s="5" t="str">
        <f>Loads[[#This Row],[Date]]&amp;Loads[[#This Row],[Product]]</f>
        <v>44214Product2</v>
      </c>
      <c r="B342" s="5">
        <f>COUNTIF($A$1:A342,Loads[[#This Row],[Load]])</f>
        <v>5</v>
      </c>
      <c r="C342" s="3" t="str">
        <f>Loads[[#This Row],[Load]]&amp;Loads[[#This Row],[Count]]</f>
        <v>44214Product25</v>
      </c>
      <c r="D342" s="90">
        <v>44214</v>
      </c>
      <c r="E342" s="143">
        <v>0.11597222222222221</v>
      </c>
      <c r="F342" s="1" t="s">
        <v>9</v>
      </c>
      <c r="G342" s="2" t="s">
        <v>13</v>
      </c>
      <c r="H342" s="2" t="s">
        <v>42</v>
      </c>
      <c r="I342" s="1" t="s">
        <v>11</v>
      </c>
      <c r="J342" s="1" t="s">
        <v>8</v>
      </c>
      <c r="K342" s="89">
        <v>12320</v>
      </c>
      <c r="L342" s="3">
        <v>59.53</v>
      </c>
      <c r="M342" s="3">
        <v>10.79</v>
      </c>
      <c r="N342" s="3" t="s">
        <v>8</v>
      </c>
      <c r="O342" s="3" t="s">
        <v>8</v>
      </c>
    </row>
    <row r="343" spans="1:15" x14ac:dyDescent="0.35">
      <c r="A343" s="5" t="str">
        <f>Loads[[#This Row],[Date]]&amp;Loads[[#This Row],[Product]]</f>
        <v>44215Product2</v>
      </c>
      <c r="B343" s="5">
        <f>COUNTIF($A$1:A343,Loads[[#This Row],[Load]])</f>
        <v>1</v>
      </c>
      <c r="C343" s="3" t="str">
        <f>Loads[[#This Row],[Load]]&amp;Loads[[#This Row],[Count]]</f>
        <v>44215Product21</v>
      </c>
      <c r="D343" s="90">
        <v>44215</v>
      </c>
      <c r="E343" s="143">
        <v>2.9166666666666664E-2</v>
      </c>
      <c r="F343" s="1" t="s">
        <v>9</v>
      </c>
      <c r="G343" s="2" t="s">
        <v>13</v>
      </c>
      <c r="H343" s="2" t="s">
        <v>42</v>
      </c>
      <c r="I343" s="1" t="s">
        <v>11</v>
      </c>
      <c r="J343" s="1" t="s">
        <v>8</v>
      </c>
      <c r="K343" s="89">
        <v>9800</v>
      </c>
      <c r="L343" s="3">
        <v>60.74</v>
      </c>
      <c r="M343" s="3">
        <v>10.15</v>
      </c>
      <c r="N343" s="3" t="s">
        <v>8</v>
      </c>
      <c r="O343" s="3" t="s">
        <v>8</v>
      </c>
    </row>
    <row r="344" spans="1:15" x14ac:dyDescent="0.35">
      <c r="A344" s="5" t="str">
        <f>Loads[[#This Row],[Date]]&amp;Loads[[#This Row],[Product]]</f>
        <v>44215Product2</v>
      </c>
      <c r="B344" s="5">
        <f>COUNTIF($A$1:A344,Loads[[#This Row],[Load]])</f>
        <v>2</v>
      </c>
      <c r="C344" s="3" t="str">
        <f>Loads[[#This Row],[Load]]&amp;Loads[[#This Row],[Count]]</f>
        <v>44215Product22</v>
      </c>
      <c r="D344" s="90">
        <v>44215</v>
      </c>
      <c r="E344" s="143">
        <v>2.9861111111111113E-2</v>
      </c>
      <c r="F344" s="1" t="s">
        <v>9</v>
      </c>
      <c r="G344" s="2" t="s">
        <v>13</v>
      </c>
      <c r="H344" s="2" t="s">
        <v>42</v>
      </c>
      <c r="I344" s="1" t="s">
        <v>11</v>
      </c>
      <c r="J344" s="1" t="s">
        <v>8</v>
      </c>
      <c r="K344" s="89">
        <v>11360</v>
      </c>
      <c r="L344" s="3">
        <v>62.05</v>
      </c>
      <c r="M344" s="3">
        <v>9.9</v>
      </c>
      <c r="N344" s="3" t="s">
        <v>8</v>
      </c>
      <c r="O344" s="3" t="s">
        <v>8</v>
      </c>
    </row>
    <row r="345" spans="1:15" x14ac:dyDescent="0.35">
      <c r="A345" s="5" t="str">
        <f>Loads[[#This Row],[Date]]&amp;Loads[[#This Row],[Product]]</f>
        <v>44215Product2</v>
      </c>
      <c r="B345" s="5">
        <f>COUNTIF($A$1:A345,Loads[[#This Row],[Load]])</f>
        <v>3</v>
      </c>
      <c r="C345" s="3" t="str">
        <f>Loads[[#This Row],[Load]]&amp;Loads[[#This Row],[Count]]</f>
        <v>44215Product23</v>
      </c>
      <c r="D345" s="90">
        <v>44215</v>
      </c>
      <c r="E345" s="143">
        <v>3.125E-2</v>
      </c>
      <c r="F345" s="1" t="s">
        <v>9</v>
      </c>
      <c r="G345" s="2" t="s">
        <v>13</v>
      </c>
      <c r="H345" s="2" t="s">
        <v>42</v>
      </c>
      <c r="I345" s="1" t="s">
        <v>11</v>
      </c>
      <c r="J345" s="1" t="s">
        <v>8</v>
      </c>
      <c r="K345" s="89">
        <v>11340</v>
      </c>
      <c r="L345" s="3">
        <v>58.68</v>
      </c>
      <c r="M345" s="3">
        <v>10.34</v>
      </c>
      <c r="N345" s="3" t="s">
        <v>8</v>
      </c>
      <c r="O345" s="3" t="s">
        <v>8</v>
      </c>
    </row>
    <row r="346" spans="1:15" x14ac:dyDescent="0.35">
      <c r="A346" s="5" t="str">
        <f>Loads[[#This Row],[Date]]&amp;Loads[[#This Row],[Product]]</f>
        <v>44215Product2</v>
      </c>
      <c r="B346" s="5">
        <f>COUNTIF($A$1:A346,Loads[[#This Row],[Load]])</f>
        <v>4</v>
      </c>
      <c r="C346" s="3" t="str">
        <f>Loads[[#This Row],[Load]]&amp;Loads[[#This Row],[Count]]</f>
        <v>44215Product24</v>
      </c>
      <c r="D346" s="90">
        <v>44215</v>
      </c>
      <c r="E346" s="143">
        <v>3.1944444444444449E-2</v>
      </c>
      <c r="F346" s="1" t="s">
        <v>9</v>
      </c>
      <c r="G346" s="2" t="s">
        <v>13</v>
      </c>
      <c r="H346" s="2" t="s">
        <v>42</v>
      </c>
      <c r="I346" s="1" t="s">
        <v>11</v>
      </c>
      <c r="J346" s="1" t="s">
        <v>8</v>
      </c>
      <c r="K346" s="89">
        <v>12260</v>
      </c>
      <c r="L346" s="3">
        <v>60.52</v>
      </c>
      <c r="M346" s="3">
        <v>9.59</v>
      </c>
      <c r="N346" s="3" t="s">
        <v>8</v>
      </c>
      <c r="O346" s="3" t="s">
        <v>8</v>
      </c>
    </row>
    <row r="347" spans="1:15" x14ac:dyDescent="0.35">
      <c r="A347" s="5" t="str">
        <f>Loads[[#This Row],[Date]]&amp;Loads[[#This Row],[Product]]</f>
        <v>44215Product2</v>
      </c>
      <c r="B347" s="5">
        <f>COUNTIF($A$1:A347,Loads[[#This Row],[Load]])</f>
        <v>5</v>
      </c>
      <c r="C347" s="3" t="str">
        <f>Loads[[#This Row],[Load]]&amp;Loads[[#This Row],[Count]]</f>
        <v>44215Product25</v>
      </c>
      <c r="D347" s="90">
        <v>44215</v>
      </c>
      <c r="E347" s="143">
        <v>3.2638888888888891E-2</v>
      </c>
      <c r="F347" s="1" t="s">
        <v>9</v>
      </c>
      <c r="G347" s="2" t="s">
        <v>13</v>
      </c>
      <c r="H347" s="2" t="s">
        <v>42</v>
      </c>
      <c r="I347" s="1" t="s">
        <v>11</v>
      </c>
      <c r="J347" s="1" t="s">
        <v>8</v>
      </c>
      <c r="K347" s="89">
        <v>11200</v>
      </c>
      <c r="L347" s="3">
        <v>65.88</v>
      </c>
      <c r="M347" s="3">
        <v>8.1199999999999992</v>
      </c>
      <c r="N347" s="3" t="s">
        <v>8</v>
      </c>
      <c r="O347" s="3" t="s">
        <v>8</v>
      </c>
    </row>
    <row r="348" spans="1:15" x14ac:dyDescent="0.35">
      <c r="A348" s="5" t="str">
        <f>Loads[[#This Row],[Date]]&amp;Loads[[#This Row],[Product]]</f>
        <v>44215Product2</v>
      </c>
      <c r="B348" s="5">
        <f>COUNTIF($A$1:A348,Loads[[#This Row],[Load]])</f>
        <v>6</v>
      </c>
      <c r="C348" s="3" t="str">
        <f>Loads[[#This Row],[Load]]&amp;Loads[[#This Row],[Count]]</f>
        <v>44215Product26</v>
      </c>
      <c r="D348" s="90">
        <v>44215</v>
      </c>
      <c r="E348" s="143">
        <v>3.3333333333333333E-2</v>
      </c>
      <c r="F348" s="1" t="s">
        <v>9</v>
      </c>
      <c r="G348" s="2" t="s">
        <v>13</v>
      </c>
      <c r="H348" s="2" t="s">
        <v>42</v>
      </c>
      <c r="I348" s="1" t="s">
        <v>11</v>
      </c>
      <c r="J348" s="1" t="s">
        <v>8</v>
      </c>
      <c r="K348" s="89">
        <v>11420</v>
      </c>
      <c r="L348" s="3">
        <v>62.21</v>
      </c>
      <c r="M348" s="3">
        <v>9.39</v>
      </c>
      <c r="N348" s="3" t="s">
        <v>8</v>
      </c>
      <c r="O348" s="3" t="s">
        <v>8</v>
      </c>
    </row>
    <row r="349" spans="1:15" x14ac:dyDescent="0.35">
      <c r="A349" s="5" t="str">
        <f>Loads[[#This Row],[Date]]&amp;Loads[[#This Row],[Product]]</f>
        <v>44215Product2</v>
      </c>
      <c r="B349" s="5">
        <f>COUNTIF($A$1:A349,Loads[[#This Row],[Load]])</f>
        <v>7</v>
      </c>
      <c r="C349" s="3" t="str">
        <f>Loads[[#This Row],[Load]]&amp;Loads[[#This Row],[Count]]</f>
        <v>44215Product27</v>
      </c>
      <c r="D349" s="90">
        <v>44215</v>
      </c>
      <c r="E349" s="143">
        <v>3.3333333333333333E-2</v>
      </c>
      <c r="F349" s="1" t="s">
        <v>9</v>
      </c>
      <c r="G349" s="2" t="s">
        <v>13</v>
      </c>
      <c r="H349" s="2" t="s">
        <v>42</v>
      </c>
      <c r="I349" s="1" t="s">
        <v>11</v>
      </c>
      <c r="J349" s="1" t="s">
        <v>8</v>
      </c>
      <c r="K349" s="89">
        <v>12880</v>
      </c>
      <c r="L349" s="3">
        <v>58.69</v>
      </c>
      <c r="M349" s="3">
        <v>10.44</v>
      </c>
      <c r="N349" s="3" t="s">
        <v>8</v>
      </c>
      <c r="O349" s="3" t="s">
        <v>8</v>
      </c>
    </row>
    <row r="350" spans="1:15" x14ac:dyDescent="0.35">
      <c r="A350" s="5" t="str">
        <f>Loads[[#This Row],[Date]]&amp;Loads[[#This Row],[Product]]</f>
        <v>44216Product2</v>
      </c>
      <c r="B350" s="5">
        <f>COUNTIF($A$1:A350,Loads[[#This Row],[Load]])</f>
        <v>1</v>
      </c>
      <c r="C350" s="3" t="str">
        <f>Loads[[#This Row],[Load]]&amp;Loads[[#This Row],[Count]]</f>
        <v>44216Product21</v>
      </c>
      <c r="D350" s="90">
        <v>44216</v>
      </c>
      <c r="E350" s="143">
        <v>0.11388888888888889</v>
      </c>
      <c r="F350" s="1" t="s">
        <v>9</v>
      </c>
      <c r="G350" s="2" t="s">
        <v>13</v>
      </c>
      <c r="H350" s="2" t="s">
        <v>42</v>
      </c>
      <c r="I350" s="1" t="s">
        <v>11</v>
      </c>
      <c r="J350" s="1" t="s">
        <v>8</v>
      </c>
      <c r="K350" s="89">
        <v>13120</v>
      </c>
      <c r="L350" s="3">
        <v>58.64</v>
      </c>
      <c r="M350" s="3">
        <v>10.44</v>
      </c>
      <c r="N350" s="3" t="s">
        <v>8</v>
      </c>
      <c r="O350" s="3" t="s">
        <v>8</v>
      </c>
    </row>
    <row r="351" spans="1:15" x14ac:dyDescent="0.35">
      <c r="A351" s="5" t="str">
        <f>Loads[[#This Row],[Date]]&amp;Loads[[#This Row],[Product]]</f>
        <v>44216Product2</v>
      </c>
      <c r="B351" s="5">
        <f>COUNTIF($A$1:A351,Loads[[#This Row],[Load]])</f>
        <v>2</v>
      </c>
      <c r="C351" s="3" t="str">
        <f>Loads[[#This Row],[Load]]&amp;Loads[[#This Row],[Count]]</f>
        <v>44216Product22</v>
      </c>
      <c r="D351" s="90">
        <v>44216</v>
      </c>
      <c r="E351" s="143">
        <v>0.11458333333333333</v>
      </c>
      <c r="F351" s="1" t="s">
        <v>9</v>
      </c>
      <c r="G351" s="2" t="s">
        <v>13</v>
      </c>
      <c r="H351" s="2" t="s">
        <v>42</v>
      </c>
      <c r="I351" s="1" t="s">
        <v>11</v>
      </c>
      <c r="J351" s="1" t="s">
        <v>8</v>
      </c>
      <c r="K351" s="89">
        <v>12700</v>
      </c>
      <c r="L351" s="3">
        <v>61.22</v>
      </c>
      <c r="M351" s="3">
        <v>9.77</v>
      </c>
      <c r="N351" s="3" t="s">
        <v>8</v>
      </c>
      <c r="O351" s="3" t="s">
        <v>8</v>
      </c>
    </row>
    <row r="352" spans="1:15" x14ac:dyDescent="0.35">
      <c r="A352" s="5" t="str">
        <f>Loads[[#This Row],[Date]]&amp;Loads[[#This Row],[Product]]</f>
        <v>44216Product2</v>
      </c>
      <c r="B352" s="5">
        <f>COUNTIF($A$1:A352,Loads[[#This Row],[Load]])</f>
        <v>3</v>
      </c>
      <c r="C352" s="3" t="str">
        <f>Loads[[#This Row],[Load]]&amp;Loads[[#This Row],[Count]]</f>
        <v>44216Product23</v>
      </c>
      <c r="D352" s="90">
        <v>44216</v>
      </c>
      <c r="E352" s="143">
        <v>0.11527777777777777</v>
      </c>
      <c r="F352" s="1" t="s">
        <v>9</v>
      </c>
      <c r="G352" s="2" t="s">
        <v>13</v>
      </c>
      <c r="H352" s="2" t="s">
        <v>42</v>
      </c>
      <c r="I352" s="1" t="s">
        <v>11</v>
      </c>
      <c r="J352" s="1" t="s">
        <v>8</v>
      </c>
      <c r="K352" s="89">
        <v>11860</v>
      </c>
      <c r="L352" s="3">
        <v>64.11</v>
      </c>
      <c r="M352" s="3">
        <v>9.19</v>
      </c>
      <c r="N352" s="3" t="s">
        <v>8</v>
      </c>
      <c r="O352" s="3" t="s">
        <v>8</v>
      </c>
    </row>
    <row r="353" spans="1:15" x14ac:dyDescent="0.35">
      <c r="A353" s="5" t="str">
        <f>Loads[[#This Row],[Date]]&amp;Loads[[#This Row],[Product]]</f>
        <v>44216Product2</v>
      </c>
      <c r="B353" s="5">
        <f>COUNTIF($A$1:A353,Loads[[#This Row],[Load]])</f>
        <v>4</v>
      </c>
      <c r="C353" s="3" t="str">
        <f>Loads[[#This Row],[Load]]&amp;Loads[[#This Row],[Count]]</f>
        <v>44216Product24</v>
      </c>
      <c r="D353" s="90">
        <v>44216</v>
      </c>
      <c r="E353" s="143">
        <v>0.11597222222222221</v>
      </c>
      <c r="F353" s="1" t="s">
        <v>9</v>
      </c>
      <c r="G353" s="2" t="s">
        <v>13</v>
      </c>
      <c r="H353" s="2" t="s">
        <v>42</v>
      </c>
      <c r="I353" s="1" t="s">
        <v>11</v>
      </c>
      <c r="J353" s="1" t="s">
        <v>8</v>
      </c>
      <c r="K353" s="89">
        <v>12720</v>
      </c>
      <c r="L353" s="3">
        <v>61.82</v>
      </c>
      <c r="M353" s="3">
        <v>9.5399999999999991</v>
      </c>
      <c r="N353" s="3" t="s">
        <v>8</v>
      </c>
      <c r="O353" s="3" t="s">
        <v>8</v>
      </c>
    </row>
    <row r="354" spans="1:15" x14ac:dyDescent="0.35">
      <c r="A354" s="5" t="str">
        <f>Loads[[#This Row],[Date]]&amp;Loads[[#This Row],[Product]]</f>
        <v>44216Product2</v>
      </c>
      <c r="B354" s="5">
        <f>COUNTIF($A$1:A354,Loads[[#This Row],[Load]])</f>
        <v>5</v>
      </c>
      <c r="C354" s="3" t="str">
        <f>Loads[[#This Row],[Load]]&amp;Loads[[#This Row],[Count]]</f>
        <v>44216Product25</v>
      </c>
      <c r="D354" s="90">
        <v>44216</v>
      </c>
      <c r="E354" s="143">
        <v>0.11597222222222221</v>
      </c>
      <c r="F354" s="1" t="s">
        <v>9</v>
      </c>
      <c r="G354" s="2" t="s">
        <v>13</v>
      </c>
      <c r="H354" s="2" t="s">
        <v>42</v>
      </c>
      <c r="I354" s="1" t="s">
        <v>11</v>
      </c>
      <c r="J354" s="1" t="s">
        <v>8</v>
      </c>
      <c r="K354" s="89">
        <v>11040</v>
      </c>
      <c r="L354" s="3">
        <v>59.66</v>
      </c>
      <c r="M354" s="3">
        <v>7.25</v>
      </c>
      <c r="N354" s="3" t="s">
        <v>8</v>
      </c>
      <c r="O354" s="3" t="s">
        <v>8</v>
      </c>
    </row>
    <row r="355" spans="1:15" x14ac:dyDescent="0.35">
      <c r="A355" s="5" t="str">
        <f>Loads[[#This Row],[Date]]&amp;Loads[[#This Row],[Product]]</f>
        <v>44216Product2</v>
      </c>
      <c r="B355" s="5">
        <f>COUNTIF($A$1:A355,Loads[[#This Row],[Load]])</f>
        <v>6</v>
      </c>
      <c r="C355" s="3" t="str">
        <f>Loads[[#This Row],[Load]]&amp;Loads[[#This Row],[Count]]</f>
        <v>44216Product26</v>
      </c>
      <c r="D355" s="90">
        <v>44216</v>
      </c>
      <c r="E355" s="143">
        <v>0.11805555555555557</v>
      </c>
      <c r="F355" s="1" t="s">
        <v>9</v>
      </c>
      <c r="G355" s="2" t="s">
        <v>13</v>
      </c>
      <c r="H355" s="2" t="s">
        <v>42</v>
      </c>
      <c r="I355" s="1" t="s">
        <v>11</v>
      </c>
      <c r="J355" s="1" t="s">
        <v>8</v>
      </c>
      <c r="K355" s="89">
        <v>11880</v>
      </c>
      <c r="L355" s="3">
        <v>60.8</v>
      </c>
      <c r="M355" s="3">
        <v>11.77</v>
      </c>
      <c r="N355" s="3" t="s">
        <v>8</v>
      </c>
      <c r="O355" s="3" t="s">
        <v>8</v>
      </c>
    </row>
    <row r="356" spans="1:15" x14ac:dyDescent="0.35">
      <c r="A356" s="5" t="str">
        <f>Loads[[#This Row],[Date]]&amp;Loads[[#This Row],[Product]]</f>
        <v>44216Product2</v>
      </c>
      <c r="B356" s="5">
        <f>COUNTIF($A$1:A356,Loads[[#This Row],[Load]])</f>
        <v>7</v>
      </c>
      <c r="C356" s="3" t="str">
        <f>Loads[[#This Row],[Load]]&amp;Loads[[#This Row],[Count]]</f>
        <v>44216Product27</v>
      </c>
      <c r="D356" s="90">
        <v>44216</v>
      </c>
      <c r="E356" s="143">
        <v>0.11875000000000001</v>
      </c>
      <c r="F356" s="1" t="s">
        <v>9</v>
      </c>
      <c r="G356" s="2" t="s">
        <v>13</v>
      </c>
      <c r="H356" s="2" t="s">
        <v>42</v>
      </c>
      <c r="I356" s="1" t="s">
        <v>11</v>
      </c>
      <c r="J356" s="1" t="s">
        <v>8</v>
      </c>
      <c r="K356" s="89">
        <v>11380</v>
      </c>
      <c r="L356" s="3">
        <v>58.39</v>
      </c>
      <c r="M356" s="3">
        <v>11.51</v>
      </c>
      <c r="N356" s="3" t="s">
        <v>8</v>
      </c>
      <c r="O356" s="3" t="s">
        <v>8</v>
      </c>
    </row>
    <row r="357" spans="1:15" x14ac:dyDescent="0.35">
      <c r="A357" s="5" t="str">
        <f>Loads[[#This Row],[Date]]&amp;Loads[[#This Row],[Product]]</f>
        <v>44216Product2</v>
      </c>
      <c r="B357" s="5">
        <f>COUNTIF($A$1:A357,Loads[[#This Row],[Load]])</f>
        <v>8</v>
      </c>
      <c r="C357" s="3" t="str">
        <f>Loads[[#This Row],[Load]]&amp;Loads[[#This Row],[Count]]</f>
        <v>44216Product28</v>
      </c>
      <c r="D357" s="90">
        <v>44216</v>
      </c>
      <c r="E357" s="143">
        <v>0.11875000000000001</v>
      </c>
      <c r="F357" s="1" t="s">
        <v>9</v>
      </c>
      <c r="G357" s="2" t="s">
        <v>13</v>
      </c>
      <c r="H357" s="2" t="s">
        <v>42</v>
      </c>
      <c r="I357" s="1" t="s">
        <v>11</v>
      </c>
      <c r="J357" s="1" t="s">
        <v>8</v>
      </c>
      <c r="K357" s="89">
        <v>12500</v>
      </c>
      <c r="L357" s="3">
        <v>57.6</v>
      </c>
      <c r="M357" s="3">
        <v>10.87</v>
      </c>
      <c r="N357" s="3" t="s">
        <v>8</v>
      </c>
      <c r="O357" s="3" t="s">
        <v>8</v>
      </c>
    </row>
    <row r="358" spans="1:15" x14ac:dyDescent="0.35">
      <c r="A358" s="5" t="str">
        <f>Loads[[#This Row],[Date]]&amp;Loads[[#This Row],[Product]]</f>
        <v>44216Product2</v>
      </c>
      <c r="B358" s="5">
        <f>COUNTIF($A$1:A358,Loads[[#This Row],[Load]])</f>
        <v>9</v>
      </c>
      <c r="C358" s="3" t="str">
        <f>Loads[[#This Row],[Load]]&amp;Loads[[#This Row],[Count]]</f>
        <v>44216Product29</v>
      </c>
      <c r="D358" s="90">
        <v>44216</v>
      </c>
      <c r="E358" s="143">
        <v>0.11944444444444445</v>
      </c>
      <c r="F358" s="1" t="s">
        <v>9</v>
      </c>
      <c r="G358" s="2" t="s">
        <v>13</v>
      </c>
      <c r="H358" s="2" t="s">
        <v>42</v>
      </c>
      <c r="I358" s="1" t="s">
        <v>11</v>
      </c>
      <c r="J358" s="1" t="s">
        <v>8</v>
      </c>
      <c r="K358" s="89">
        <v>10380</v>
      </c>
      <c r="L358" s="3">
        <v>63.47</v>
      </c>
      <c r="M358" s="3">
        <v>8.99</v>
      </c>
      <c r="N358" s="3" t="s">
        <v>8</v>
      </c>
      <c r="O358" s="3" t="s">
        <v>8</v>
      </c>
    </row>
    <row r="359" spans="1:15" x14ac:dyDescent="0.35">
      <c r="A359" s="5" t="str">
        <f>Loads[[#This Row],[Date]]&amp;Loads[[#This Row],[Product]]</f>
        <v>44217Product2</v>
      </c>
      <c r="B359" s="5">
        <f>COUNTIF($A$1:A359,Loads[[#This Row],[Load]])</f>
        <v>1</v>
      </c>
      <c r="C359" s="3" t="str">
        <f>Loads[[#This Row],[Load]]&amp;Loads[[#This Row],[Count]]</f>
        <v>44217Product21</v>
      </c>
      <c r="D359" s="90">
        <v>44217</v>
      </c>
      <c r="E359" s="143">
        <v>2.9166666666666664E-2</v>
      </c>
      <c r="F359" s="1" t="s">
        <v>9</v>
      </c>
      <c r="G359" s="2" t="s">
        <v>13</v>
      </c>
      <c r="H359" s="2" t="s">
        <v>42</v>
      </c>
      <c r="I359" s="1" t="s">
        <v>11</v>
      </c>
      <c r="J359" s="1" t="s">
        <v>8</v>
      </c>
      <c r="K359" s="89">
        <v>11720</v>
      </c>
      <c r="L359" s="3">
        <v>63.52</v>
      </c>
      <c r="M359" s="3">
        <v>9.3000000000000007</v>
      </c>
      <c r="N359" s="3" t="s">
        <v>8</v>
      </c>
      <c r="O359" s="3" t="s">
        <v>8</v>
      </c>
    </row>
    <row r="360" spans="1:15" x14ac:dyDescent="0.35">
      <c r="A360" s="5" t="str">
        <f>Loads[[#This Row],[Date]]&amp;Loads[[#This Row],[Product]]</f>
        <v>44217Product2</v>
      </c>
      <c r="B360" s="5">
        <f>COUNTIF($A$1:A360,Loads[[#This Row],[Load]])</f>
        <v>2</v>
      </c>
      <c r="C360" s="3" t="str">
        <f>Loads[[#This Row],[Load]]&amp;Loads[[#This Row],[Count]]</f>
        <v>44217Product22</v>
      </c>
      <c r="D360" s="90">
        <v>44217</v>
      </c>
      <c r="E360" s="143">
        <v>2.9166666666666664E-2</v>
      </c>
      <c r="F360" s="1" t="s">
        <v>9</v>
      </c>
      <c r="G360" s="2" t="s">
        <v>13</v>
      </c>
      <c r="H360" s="2" t="s">
        <v>42</v>
      </c>
      <c r="I360" s="1" t="s">
        <v>11</v>
      </c>
      <c r="J360" s="1" t="s">
        <v>8</v>
      </c>
      <c r="K360" s="89">
        <v>13360</v>
      </c>
      <c r="L360" s="3">
        <v>65.87</v>
      </c>
      <c r="M360" s="3">
        <v>8.52</v>
      </c>
      <c r="N360" s="3" t="s">
        <v>8</v>
      </c>
      <c r="O360" s="3" t="s">
        <v>8</v>
      </c>
    </row>
    <row r="361" spans="1:15" x14ac:dyDescent="0.35">
      <c r="A361" s="5" t="str">
        <f>Loads[[#This Row],[Date]]&amp;Loads[[#This Row],[Product]]</f>
        <v>44217Product2</v>
      </c>
      <c r="B361" s="5">
        <f>COUNTIF($A$1:A361,Loads[[#This Row],[Load]])</f>
        <v>3</v>
      </c>
      <c r="C361" s="3" t="str">
        <f>Loads[[#This Row],[Load]]&amp;Loads[[#This Row],[Count]]</f>
        <v>44217Product23</v>
      </c>
      <c r="D361" s="90">
        <v>44217</v>
      </c>
      <c r="E361" s="143">
        <v>3.0555555555555555E-2</v>
      </c>
      <c r="F361" s="1" t="s">
        <v>9</v>
      </c>
      <c r="G361" s="2" t="s">
        <v>13</v>
      </c>
      <c r="H361" s="2" t="s">
        <v>42</v>
      </c>
      <c r="I361" s="1" t="s">
        <v>11</v>
      </c>
      <c r="J361" s="1" t="s">
        <v>8</v>
      </c>
      <c r="K361" s="89">
        <v>12340</v>
      </c>
      <c r="L361" s="3">
        <v>63.98</v>
      </c>
      <c r="M361" s="3">
        <v>8.2899999999999991</v>
      </c>
      <c r="N361" s="3" t="s">
        <v>8</v>
      </c>
      <c r="O361" s="3" t="s">
        <v>8</v>
      </c>
    </row>
    <row r="362" spans="1:15" x14ac:dyDescent="0.35">
      <c r="A362" s="5" t="str">
        <f>Loads[[#This Row],[Date]]&amp;Loads[[#This Row],[Product]]</f>
        <v>44218Product2</v>
      </c>
      <c r="B362" s="5">
        <f>COUNTIF($A$1:A362,Loads[[#This Row],[Load]])</f>
        <v>1</v>
      </c>
      <c r="C362" s="3" t="str">
        <f>Loads[[#This Row],[Load]]&amp;Loads[[#This Row],[Count]]</f>
        <v>44218Product21</v>
      </c>
      <c r="D362" s="90">
        <v>44218</v>
      </c>
      <c r="E362" s="143">
        <v>0.2298611111111111</v>
      </c>
      <c r="F362" s="1" t="s">
        <v>9</v>
      </c>
      <c r="G362" s="2" t="s">
        <v>13</v>
      </c>
      <c r="H362" s="2" t="s">
        <v>42</v>
      </c>
      <c r="I362" s="1" t="s">
        <v>11</v>
      </c>
      <c r="J362" s="1" t="s">
        <v>8</v>
      </c>
      <c r="K362" s="89">
        <v>12100</v>
      </c>
      <c r="L362" s="3">
        <v>61.03</v>
      </c>
      <c r="M362" s="3">
        <v>9.91</v>
      </c>
      <c r="N362" s="3" t="s">
        <v>8</v>
      </c>
      <c r="O362" s="3" t="s">
        <v>8</v>
      </c>
    </row>
    <row r="363" spans="1:15" x14ac:dyDescent="0.35">
      <c r="A363" s="5" t="str">
        <f>Loads[[#This Row],[Date]]&amp;Loads[[#This Row],[Product]]</f>
        <v>44218Product2</v>
      </c>
      <c r="B363" s="5">
        <f>COUNTIF($A$1:A363,Loads[[#This Row],[Load]])</f>
        <v>2</v>
      </c>
      <c r="C363" s="3" t="str">
        <f>Loads[[#This Row],[Load]]&amp;Loads[[#This Row],[Count]]</f>
        <v>44218Product22</v>
      </c>
      <c r="D363" s="90">
        <v>44218</v>
      </c>
      <c r="E363" s="143">
        <v>0.23055555555555554</v>
      </c>
      <c r="F363" s="1" t="s">
        <v>9</v>
      </c>
      <c r="G363" s="2" t="s">
        <v>13</v>
      </c>
      <c r="H363" s="2" t="s">
        <v>42</v>
      </c>
      <c r="I363" s="1" t="s">
        <v>11</v>
      </c>
      <c r="J363" s="1" t="s">
        <v>8</v>
      </c>
      <c r="K363" s="89">
        <v>12580</v>
      </c>
      <c r="L363" s="3">
        <v>65.87</v>
      </c>
      <c r="M363" s="3">
        <v>8.52</v>
      </c>
      <c r="N363" s="3" t="s">
        <v>8</v>
      </c>
      <c r="O363" s="3" t="s">
        <v>8</v>
      </c>
    </row>
    <row r="364" spans="1:15" x14ac:dyDescent="0.35">
      <c r="A364" s="5" t="str">
        <f>Loads[[#This Row],[Date]]&amp;Loads[[#This Row],[Product]]</f>
        <v>44218Product2</v>
      </c>
      <c r="B364" s="5">
        <f>COUNTIF($A$1:A364,Loads[[#This Row],[Load]])</f>
        <v>3</v>
      </c>
      <c r="C364" s="3" t="str">
        <f>Loads[[#This Row],[Load]]&amp;Loads[[#This Row],[Count]]</f>
        <v>44218Product23</v>
      </c>
      <c r="D364" s="90">
        <v>44218</v>
      </c>
      <c r="E364" s="143">
        <v>0.23124999999999998</v>
      </c>
      <c r="F364" s="1" t="s">
        <v>9</v>
      </c>
      <c r="G364" s="2" t="s">
        <v>13</v>
      </c>
      <c r="H364" s="2" t="s">
        <v>42</v>
      </c>
      <c r="I364" s="1" t="s">
        <v>11</v>
      </c>
      <c r="J364" s="1" t="s">
        <v>8</v>
      </c>
      <c r="K364" s="89">
        <v>11320</v>
      </c>
      <c r="L364" s="3">
        <v>63.77</v>
      </c>
      <c r="M364" s="3">
        <v>9.2200000000000006</v>
      </c>
      <c r="N364" s="3" t="s">
        <v>8</v>
      </c>
      <c r="O364" s="3" t="s">
        <v>8</v>
      </c>
    </row>
    <row r="365" spans="1:15" x14ac:dyDescent="0.35">
      <c r="A365" s="5" t="str">
        <f>Loads[[#This Row],[Date]]&amp;Loads[[#This Row],[Product]]</f>
        <v>44218Product2</v>
      </c>
      <c r="B365" s="5">
        <f>COUNTIF($A$1:A365,Loads[[#This Row],[Load]])</f>
        <v>4</v>
      </c>
      <c r="C365" s="3" t="str">
        <f>Loads[[#This Row],[Load]]&amp;Loads[[#This Row],[Count]]</f>
        <v>44218Product24</v>
      </c>
      <c r="D365" s="90">
        <v>44218</v>
      </c>
      <c r="E365" s="143">
        <v>0.23124999999999998</v>
      </c>
      <c r="F365" s="1" t="s">
        <v>9</v>
      </c>
      <c r="G365" s="2" t="s">
        <v>13</v>
      </c>
      <c r="H365" s="2" t="s">
        <v>42</v>
      </c>
      <c r="I365" s="1" t="s">
        <v>11</v>
      </c>
      <c r="J365" s="1" t="s">
        <v>8</v>
      </c>
      <c r="K365" s="89">
        <v>13280</v>
      </c>
      <c r="L365" s="3">
        <v>60.99</v>
      </c>
      <c r="M365" s="3">
        <v>9.9</v>
      </c>
      <c r="N365" s="3" t="s">
        <v>8</v>
      </c>
      <c r="O365" s="3" t="s">
        <v>8</v>
      </c>
    </row>
    <row r="366" spans="1:15" x14ac:dyDescent="0.35">
      <c r="A366" s="5" t="str">
        <f>Loads[[#This Row],[Date]]&amp;Loads[[#This Row],[Product]]</f>
        <v>44218Product2</v>
      </c>
      <c r="B366" s="5">
        <f>COUNTIF($A$1:A366,Loads[[#This Row],[Load]])</f>
        <v>5</v>
      </c>
      <c r="C366" s="3" t="str">
        <f>Loads[[#This Row],[Load]]&amp;Loads[[#This Row],[Count]]</f>
        <v>44218Product25</v>
      </c>
      <c r="D366" s="90">
        <v>44218</v>
      </c>
      <c r="E366" s="143">
        <v>0.23194444444444443</v>
      </c>
      <c r="F366" s="1" t="s">
        <v>9</v>
      </c>
      <c r="G366" s="2" t="s">
        <v>13</v>
      </c>
      <c r="H366" s="2" t="s">
        <v>42</v>
      </c>
      <c r="I366" s="1" t="s">
        <v>11</v>
      </c>
      <c r="J366" s="1" t="s">
        <v>8</v>
      </c>
      <c r="K366" s="89">
        <v>11260</v>
      </c>
      <c r="L366" s="3">
        <v>62.09</v>
      </c>
      <c r="M366" s="3">
        <v>9.84</v>
      </c>
      <c r="N366" s="3" t="s">
        <v>8</v>
      </c>
      <c r="O366" s="3" t="s">
        <v>8</v>
      </c>
    </row>
    <row r="367" spans="1:15" x14ac:dyDescent="0.35">
      <c r="A367" s="5" t="str">
        <f>Loads[[#This Row],[Date]]&amp;Loads[[#This Row],[Product]]</f>
        <v>44218Product2</v>
      </c>
      <c r="B367" s="5">
        <f>COUNTIF($A$1:A367,Loads[[#This Row],[Load]])</f>
        <v>6</v>
      </c>
      <c r="C367" s="3" t="str">
        <f>Loads[[#This Row],[Load]]&amp;Loads[[#This Row],[Count]]</f>
        <v>44218Product26</v>
      </c>
      <c r="D367" s="90">
        <v>44218</v>
      </c>
      <c r="E367" s="143">
        <v>0.23263888888888887</v>
      </c>
      <c r="F367" s="1" t="s">
        <v>9</v>
      </c>
      <c r="G367" s="2" t="s">
        <v>13</v>
      </c>
      <c r="H367" s="2" t="s">
        <v>42</v>
      </c>
      <c r="I367" s="1" t="s">
        <v>11</v>
      </c>
      <c r="J367" s="1" t="s">
        <v>8</v>
      </c>
      <c r="K367" s="89">
        <v>11660</v>
      </c>
      <c r="L367" s="3">
        <v>62.25</v>
      </c>
      <c r="M367" s="3">
        <v>8.7100000000000009</v>
      </c>
      <c r="N367" s="3" t="s">
        <v>8</v>
      </c>
      <c r="O367" s="3" t="s">
        <v>8</v>
      </c>
    </row>
    <row r="368" spans="1:15" x14ac:dyDescent="0.35">
      <c r="A368" s="5" t="str">
        <f>Loads[[#This Row],[Date]]&amp;Loads[[#This Row],[Product]]</f>
        <v>44218Product2</v>
      </c>
      <c r="B368" s="5">
        <f>COUNTIF($A$1:A368,Loads[[#This Row],[Load]])</f>
        <v>7</v>
      </c>
      <c r="C368" s="3" t="str">
        <f>Loads[[#This Row],[Load]]&amp;Loads[[#This Row],[Count]]</f>
        <v>44218Product27</v>
      </c>
      <c r="D368" s="90">
        <v>44218</v>
      </c>
      <c r="E368" s="143">
        <v>0.23333333333333331</v>
      </c>
      <c r="F368" s="1" t="s">
        <v>9</v>
      </c>
      <c r="G368" s="2" t="s">
        <v>13</v>
      </c>
      <c r="H368" s="2" t="s">
        <v>42</v>
      </c>
      <c r="I368" s="1" t="s">
        <v>11</v>
      </c>
      <c r="J368" s="1" t="s">
        <v>8</v>
      </c>
      <c r="K368" s="89">
        <v>11600</v>
      </c>
      <c r="L368" s="3">
        <v>61.08</v>
      </c>
      <c r="M368" s="3">
        <v>9.94</v>
      </c>
      <c r="N368" s="3" t="s">
        <v>8</v>
      </c>
      <c r="O368" s="3" t="s">
        <v>8</v>
      </c>
    </row>
    <row r="369" spans="1:15" x14ac:dyDescent="0.35">
      <c r="A369" s="5" t="str">
        <f>Loads[[#This Row],[Date]]&amp;Loads[[#This Row],[Product]]</f>
        <v>44218Product2</v>
      </c>
      <c r="B369" s="5">
        <f>COUNTIF($A$1:A369,Loads[[#This Row],[Load]])</f>
        <v>8</v>
      </c>
      <c r="C369" s="3" t="str">
        <f>Loads[[#This Row],[Load]]&amp;Loads[[#This Row],[Count]]</f>
        <v>44218Product28</v>
      </c>
      <c r="D369" s="90">
        <v>44218</v>
      </c>
      <c r="E369" s="143">
        <v>0.23402777777777781</v>
      </c>
      <c r="F369" s="1" t="s">
        <v>9</v>
      </c>
      <c r="G369" s="2" t="s">
        <v>13</v>
      </c>
      <c r="H369" s="2" t="s">
        <v>42</v>
      </c>
      <c r="I369" s="1" t="s">
        <v>11</v>
      </c>
      <c r="J369" s="1" t="s">
        <v>8</v>
      </c>
      <c r="K369" s="89">
        <v>11200</v>
      </c>
      <c r="L369" s="3">
        <v>66.150000000000006</v>
      </c>
      <c r="M369" s="3">
        <v>8.59</v>
      </c>
      <c r="N369" s="3" t="s">
        <v>8</v>
      </c>
      <c r="O369" s="3" t="s">
        <v>8</v>
      </c>
    </row>
    <row r="370" spans="1:15" x14ac:dyDescent="0.35">
      <c r="A370" s="5" t="str">
        <f>Loads[[#This Row],[Date]]&amp;Loads[[#This Row],[Product]]</f>
        <v>44218Product2</v>
      </c>
      <c r="B370" s="5">
        <f>COUNTIF($A$1:A370,Loads[[#This Row],[Load]])</f>
        <v>9</v>
      </c>
      <c r="C370" s="3" t="str">
        <f>Loads[[#This Row],[Load]]&amp;Loads[[#This Row],[Count]]</f>
        <v>44218Product29</v>
      </c>
      <c r="D370" s="90">
        <v>44218</v>
      </c>
      <c r="E370" s="143">
        <v>0.23402777777777781</v>
      </c>
      <c r="F370" s="1" t="s">
        <v>9</v>
      </c>
      <c r="G370" s="2" t="s">
        <v>13</v>
      </c>
      <c r="H370" s="2" t="s">
        <v>42</v>
      </c>
      <c r="I370" s="1" t="s">
        <v>11</v>
      </c>
      <c r="J370" s="1" t="s">
        <v>8</v>
      </c>
      <c r="K370" s="89">
        <v>12100</v>
      </c>
      <c r="L370" s="3">
        <v>61.08</v>
      </c>
      <c r="M370" s="3">
        <v>10.4</v>
      </c>
      <c r="N370" s="3" t="s">
        <v>8</v>
      </c>
      <c r="O370" s="3" t="s">
        <v>8</v>
      </c>
    </row>
    <row r="371" spans="1:15" x14ac:dyDescent="0.35">
      <c r="A371" s="5" t="str">
        <f>Loads[[#This Row],[Date]]&amp;Loads[[#This Row],[Product]]</f>
        <v>44218Product2</v>
      </c>
      <c r="B371" s="5">
        <f>COUNTIF($A$1:A371,Loads[[#This Row],[Load]])</f>
        <v>10</v>
      </c>
      <c r="C371" s="3" t="str">
        <f>Loads[[#This Row],[Load]]&amp;Loads[[#This Row],[Count]]</f>
        <v>44218Product210</v>
      </c>
      <c r="D371" s="90">
        <v>44218</v>
      </c>
      <c r="E371" s="143">
        <v>0.23472222222222219</v>
      </c>
      <c r="F371" s="1" t="s">
        <v>9</v>
      </c>
      <c r="G371" s="2" t="s">
        <v>13</v>
      </c>
      <c r="H371" s="2" t="s">
        <v>42</v>
      </c>
      <c r="I371" s="1" t="s">
        <v>11</v>
      </c>
      <c r="J371" s="1" t="s">
        <v>8</v>
      </c>
      <c r="K371" s="89">
        <v>12660</v>
      </c>
      <c r="L371" s="3">
        <v>62.84</v>
      </c>
      <c r="M371" s="3">
        <v>10.28</v>
      </c>
      <c r="N371" s="3" t="s">
        <v>8</v>
      </c>
      <c r="O371" s="3" t="s">
        <v>8</v>
      </c>
    </row>
    <row r="372" spans="1:15" x14ac:dyDescent="0.35">
      <c r="A372" s="5" t="str">
        <f>Loads[[#This Row],[Date]]&amp;Loads[[#This Row],[Product]]</f>
        <v>44218Product2</v>
      </c>
      <c r="B372" s="5">
        <f>COUNTIF($A$1:A372,Loads[[#This Row],[Load]])</f>
        <v>11</v>
      </c>
      <c r="C372" s="3" t="str">
        <f>Loads[[#This Row],[Load]]&amp;Loads[[#This Row],[Count]]</f>
        <v>44218Product211</v>
      </c>
      <c r="D372" s="90">
        <v>44218</v>
      </c>
      <c r="E372" s="143">
        <v>0.23541666666666669</v>
      </c>
      <c r="F372" s="1" t="s">
        <v>9</v>
      </c>
      <c r="G372" s="2" t="s">
        <v>13</v>
      </c>
      <c r="H372" s="2" t="s">
        <v>42</v>
      </c>
      <c r="I372" s="1" t="s">
        <v>11</v>
      </c>
      <c r="J372" s="1" t="s">
        <v>8</v>
      </c>
      <c r="K372" s="89">
        <v>3520</v>
      </c>
      <c r="L372" s="3">
        <v>61.99</v>
      </c>
      <c r="M372" s="3">
        <v>9.92</v>
      </c>
      <c r="N372" s="3" t="s">
        <v>8</v>
      </c>
      <c r="O372" s="3" t="s">
        <v>8</v>
      </c>
    </row>
    <row r="373" spans="1:15" x14ac:dyDescent="0.35">
      <c r="A373" s="5" t="str">
        <f>Loads[[#This Row],[Date]]&amp;Loads[[#This Row],[Product]]</f>
        <v>44219Product2</v>
      </c>
      <c r="B373" s="5">
        <f>COUNTIF($A$1:A373,Loads[[#This Row],[Load]])</f>
        <v>1</v>
      </c>
      <c r="C373" s="3" t="str">
        <f>Loads[[#This Row],[Load]]&amp;Loads[[#This Row],[Count]]</f>
        <v>44219Product21</v>
      </c>
      <c r="D373" s="90">
        <v>44219</v>
      </c>
      <c r="E373" s="143">
        <v>0.26041666666666669</v>
      </c>
      <c r="F373" s="1" t="s">
        <v>9</v>
      </c>
      <c r="G373" s="2" t="s">
        <v>13</v>
      </c>
      <c r="H373" s="2" t="s">
        <v>42</v>
      </c>
      <c r="I373" s="1" t="s">
        <v>11</v>
      </c>
      <c r="J373" s="1" t="s">
        <v>8</v>
      </c>
      <c r="K373" s="89">
        <v>11600</v>
      </c>
      <c r="L373" s="3">
        <v>62.25</v>
      </c>
      <c r="M373" s="3">
        <v>8.75</v>
      </c>
      <c r="N373" s="3" t="s">
        <v>8</v>
      </c>
      <c r="O373" s="3" t="s">
        <v>8</v>
      </c>
    </row>
    <row r="374" spans="1:15" x14ac:dyDescent="0.35">
      <c r="A374" s="5" t="str">
        <f>Loads[[#This Row],[Date]]&amp;Loads[[#This Row],[Product]]</f>
        <v>44219Product2</v>
      </c>
      <c r="B374" s="5">
        <f>COUNTIF($A$1:A374,Loads[[#This Row],[Load]])</f>
        <v>2</v>
      </c>
      <c r="C374" s="3" t="str">
        <f>Loads[[#This Row],[Load]]&amp;Loads[[#This Row],[Count]]</f>
        <v>44219Product22</v>
      </c>
      <c r="D374" s="90">
        <v>44219</v>
      </c>
      <c r="E374" s="143">
        <v>0.26111111111111113</v>
      </c>
      <c r="F374" s="1" t="s">
        <v>9</v>
      </c>
      <c r="G374" s="2" t="s">
        <v>13</v>
      </c>
      <c r="H374" s="2" t="s">
        <v>42</v>
      </c>
      <c r="I374" s="1" t="s">
        <v>11</v>
      </c>
      <c r="J374" s="1" t="s">
        <v>8</v>
      </c>
      <c r="K374" s="89">
        <v>9920</v>
      </c>
      <c r="L374" s="3">
        <v>62.84</v>
      </c>
      <c r="M374" s="3">
        <v>10.28</v>
      </c>
      <c r="N374" s="3" t="s">
        <v>8</v>
      </c>
      <c r="O374" s="3" t="s">
        <v>8</v>
      </c>
    </row>
    <row r="375" spans="1:15" x14ac:dyDescent="0.35">
      <c r="A375" s="5" t="str">
        <f>Loads[[#This Row],[Date]]&amp;Loads[[#This Row],[Product]]</f>
        <v>44219Product2</v>
      </c>
      <c r="B375" s="5">
        <f>COUNTIF($A$1:A375,Loads[[#This Row],[Load]])</f>
        <v>3</v>
      </c>
      <c r="C375" s="3" t="str">
        <f>Loads[[#This Row],[Load]]&amp;Loads[[#This Row],[Count]]</f>
        <v>44219Product23</v>
      </c>
      <c r="D375" s="90">
        <v>44219</v>
      </c>
      <c r="E375" s="143">
        <v>0.26111111111111113</v>
      </c>
      <c r="F375" s="1" t="s">
        <v>9</v>
      </c>
      <c r="G375" s="2" t="s">
        <v>13</v>
      </c>
      <c r="H375" s="2" t="s">
        <v>42</v>
      </c>
      <c r="I375" s="1" t="s">
        <v>11</v>
      </c>
      <c r="J375" s="1" t="s">
        <v>8</v>
      </c>
      <c r="K375" s="89">
        <v>11600</v>
      </c>
      <c r="L375" s="3">
        <v>66.150000000000006</v>
      </c>
      <c r="M375" s="3">
        <v>8.59</v>
      </c>
      <c r="N375" s="3" t="s">
        <v>8</v>
      </c>
      <c r="O375" s="3" t="s">
        <v>8</v>
      </c>
    </row>
    <row r="376" spans="1:15" x14ac:dyDescent="0.35">
      <c r="A376" s="5" t="str">
        <f>Loads[[#This Row],[Date]]&amp;Loads[[#This Row],[Product]]</f>
        <v>44219Product2</v>
      </c>
      <c r="B376" s="5">
        <f>COUNTIF($A$1:A376,Loads[[#This Row],[Load]])</f>
        <v>4</v>
      </c>
      <c r="C376" s="3" t="str">
        <f>Loads[[#This Row],[Load]]&amp;Loads[[#This Row],[Count]]</f>
        <v>44219Product24</v>
      </c>
      <c r="D376" s="90">
        <v>44219</v>
      </c>
      <c r="E376" s="143">
        <v>0.26180555555555557</v>
      </c>
      <c r="F376" s="1" t="s">
        <v>9</v>
      </c>
      <c r="G376" s="2" t="s">
        <v>13</v>
      </c>
      <c r="H376" s="2" t="s">
        <v>42</v>
      </c>
      <c r="I376" s="1" t="s">
        <v>11</v>
      </c>
      <c r="J376" s="1" t="s">
        <v>8</v>
      </c>
      <c r="K376" s="89">
        <v>10000</v>
      </c>
      <c r="L376" s="3">
        <v>62.15</v>
      </c>
      <c r="M376" s="3">
        <v>9.36</v>
      </c>
      <c r="N376" s="3" t="s">
        <v>8</v>
      </c>
      <c r="O376" s="3" t="s">
        <v>8</v>
      </c>
    </row>
    <row r="377" spans="1:15" x14ac:dyDescent="0.35">
      <c r="A377" s="5" t="str">
        <f>Loads[[#This Row],[Date]]&amp;Loads[[#This Row],[Product]]</f>
        <v>44219Product2</v>
      </c>
      <c r="B377" s="5">
        <f>COUNTIF($A$1:A377,Loads[[#This Row],[Load]])</f>
        <v>5</v>
      </c>
      <c r="C377" s="3" t="str">
        <f>Loads[[#This Row],[Load]]&amp;Loads[[#This Row],[Count]]</f>
        <v>44219Product25</v>
      </c>
      <c r="D377" s="90">
        <v>44219</v>
      </c>
      <c r="E377" s="143">
        <v>0.26250000000000001</v>
      </c>
      <c r="F377" s="1" t="s">
        <v>9</v>
      </c>
      <c r="G377" s="2" t="s">
        <v>13</v>
      </c>
      <c r="H377" s="2" t="s">
        <v>42</v>
      </c>
      <c r="I377" s="1" t="s">
        <v>11</v>
      </c>
      <c r="J377" s="1" t="s">
        <v>8</v>
      </c>
      <c r="K377" s="89">
        <v>10160</v>
      </c>
      <c r="L377" s="3">
        <v>62.25</v>
      </c>
      <c r="M377" s="3">
        <v>8.7100000000000009</v>
      </c>
      <c r="N377" s="3" t="s">
        <v>8</v>
      </c>
      <c r="O377" s="3" t="s">
        <v>8</v>
      </c>
    </row>
    <row r="378" spans="1:15" x14ac:dyDescent="0.35">
      <c r="A378" s="5" t="str">
        <f>Loads[[#This Row],[Date]]&amp;Loads[[#This Row],[Product]]</f>
        <v>44219Product2</v>
      </c>
      <c r="B378" s="5">
        <f>COUNTIF($A$1:A378,Loads[[#This Row],[Load]])</f>
        <v>6</v>
      </c>
      <c r="C378" s="3" t="str">
        <f>Loads[[#This Row],[Load]]&amp;Loads[[#This Row],[Count]]</f>
        <v>44219Product26</v>
      </c>
      <c r="D378" s="90">
        <v>44219</v>
      </c>
      <c r="E378" s="143">
        <v>0.26250000000000001</v>
      </c>
      <c r="F378" s="1" t="s">
        <v>9</v>
      </c>
      <c r="G378" s="2" t="s">
        <v>13</v>
      </c>
      <c r="H378" s="2" t="s">
        <v>42</v>
      </c>
      <c r="I378" s="1" t="s">
        <v>11</v>
      </c>
      <c r="J378" s="1" t="s">
        <v>8</v>
      </c>
      <c r="K378" s="89">
        <v>11900</v>
      </c>
      <c r="L378" s="3">
        <v>67.7</v>
      </c>
      <c r="M378" s="3">
        <v>8.99</v>
      </c>
      <c r="N378" s="3" t="s">
        <v>8</v>
      </c>
      <c r="O378" s="3" t="s">
        <v>8</v>
      </c>
    </row>
    <row r="379" spans="1:15" x14ac:dyDescent="0.35">
      <c r="A379" s="5" t="str">
        <f>Loads[[#This Row],[Date]]&amp;Loads[[#This Row],[Product]]</f>
        <v>44219Product2</v>
      </c>
      <c r="B379" s="5">
        <f>COUNTIF($A$1:A379,Loads[[#This Row],[Load]])</f>
        <v>7</v>
      </c>
      <c r="C379" s="3" t="str">
        <f>Loads[[#This Row],[Load]]&amp;Loads[[#This Row],[Count]]</f>
        <v>44219Product27</v>
      </c>
      <c r="D379" s="90">
        <v>44219</v>
      </c>
      <c r="E379" s="143">
        <v>0.26319444444444445</v>
      </c>
      <c r="F379" s="1" t="s">
        <v>9</v>
      </c>
      <c r="G379" s="2" t="s">
        <v>13</v>
      </c>
      <c r="H379" s="2" t="s">
        <v>42</v>
      </c>
      <c r="I379" s="1" t="s">
        <v>11</v>
      </c>
      <c r="J379" s="1" t="s">
        <v>8</v>
      </c>
      <c r="K379" s="89">
        <v>10920</v>
      </c>
      <c r="L379" s="3">
        <v>63.77</v>
      </c>
      <c r="M379" s="3">
        <v>9.2200000000000006</v>
      </c>
      <c r="N379" s="3" t="s">
        <v>8</v>
      </c>
      <c r="O379" s="3" t="s">
        <v>8</v>
      </c>
    </row>
    <row r="380" spans="1:15" x14ac:dyDescent="0.35">
      <c r="A380" s="5" t="str">
        <f>Loads[[#This Row],[Date]]&amp;Loads[[#This Row],[Product]]</f>
        <v>44219Product2</v>
      </c>
      <c r="B380" s="5">
        <f>COUNTIF($A$1:A380,Loads[[#This Row],[Load]])</f>
        <v>8</v>
      </c>
      <c r="C380" s="3" t="str">
        <f>Loads[[#This Row],[Load]]&amp;Loads[[#This Row],[Count]]</f>
        <v>44219Product28</v>
      </c>
      <c r="D380" s="90">
        <v>44219</v>
      </c>
      <c r="E380" s="143">
        <v>0.26319444444444445</v>
      </c>
      <c r="F380" s="1" t="s">
        <v>9</v>
      </c>
      <c r="G380" s="2" t="s">
        <v>13</v>
      </c>
      <c r="H380" s="2" t="s">
        <v>42</v>
      </c>
      <c r="I380" s="1" t="s">
        <v>11</v>
      </c>
      <c r="J380" s="1" t="s">
        <v>8</v>
      </c>
      <c r="K380" s="89">
        <v>10740</v>
      </c>
      <c r="L380" s="3">
        <v>64.599999999999994</v>
      </c>
      <c r="M380" s="3">
        <v>9.08</v>
      </c>
      <c r="N380" s="3" t="s">
        <v>8</v>
      </c>
      <c r="O380" s="3" t="s">
        <v>8</v>
      </c>
    </row>
    <row r="381" spans="1:15" x14ac:dyDescent="0.35">
      <c r="A381" s="5" t="str">
        <f>Loads[[#This Row],[Date]]&amp;Loads[[#This Row],[Product]]</f>
        <v>44219Product2</v>
      </c>
      <c r="B381" s="5">
        <f>COUNTIF($A$1:A381,Loads[[#This Row],[Load]])</f>
        <v>9</v>
      </c>
      <c r="C381" s="3" t="str">
        <f>Loads[[#This Row],[Load]]&amp;Loads[[#This Row],[Count]]</f>
        <v>44219Product29</v>
      </c>
      <c r="D381" s="90">
        <v>44219</v>
      </c>
      <c r="E381" s="143">
        <v>0.2638888888888889</v>
      </c>
      <c r="F381" s="1" t="s">
        <v>9</v>
      </c>
      <c r="G381" s="2" t="s">
        <v>13</v>
      </c>
      <c r="H381" s="2" t="s">
        <v>42</v>
      </c>
      <c r="I381" s="1" t="s">
        <v>11</v>
      </c>
      <c r="J381" s="1" t="s">
        <v>8</v>
      </c>
      <c r="K381" s="89">
        <v>10960</v>
      </c>
      <c r="L381" s="3">
        <v>62.03</v>
      </c>
      <c r="M381" s="3">
        <v>8.8000000000000007</v>
      </c>
      <c r="N381" s="3" t="s">
        <v>8</v>
      </c>
      <c r="O381" s="3" t="s">
        <v>8</v>
      </c>
    </row>
    <row r="382" spans="1:15" x14ac:dyDescent="0.35">
      <c r="A382" s="5" t="str">
        <f>Loads[[#This Row],[Date]]&amp;Loads[[#This Row],[Product]]</f>
        <v>44219Product2</v>
      </c>
      <c r="B382" s="5">
        <f>COUNTIF($A$1:A382,Loads[[#This Row],[Load]])</f>
        <v>10</v>
      </c>
      <c r="C382" s="3" t="str">
        <f>Loads[[#This Row],[Load]]&amp;Loads[[#This Row],[Count]]</f>
        <v>44219Product210</v>
      </c>
      <c r="D382" s="90">
        <v>44219</v>
      </c>
      <c r="E382" s="143">
        <v>0.26458333333333334</v>
      </c>
      <c r="F382" s="1" t="s">
        <v>9</v>
      </c>
      <c r="G382" s="2" t="s">
        <v>13</v>
      </c>
      <c r="H382" s="2" t="s">
        <v>42</v>
      </c>
      <c r="I382" s="1" t="s">
        <v>11</v>
      </c>
      <c r="J382" s="1" t="s">
        <v>8</v>
      </c>
      <c r="K382" s="89">
        <v>12640</v>
      </c>
      <c r="L382" s="3">
        <v>60.4</v>
      </c>
      <c r="M382" s="3">
        <v>9.01</v>
      </c>
      <c r="N382" s="3" t="s">
        <v>8</v>
      </c>
      <c r="O382" s="3" t="s">
        <v>8</v>
      </c>
    </row>
    <row r="383" spans="1:15" x14ac:dyDescent="0.35">
      <c r="A383" s="5" t="str">
        <f>Loads[[#This Row],[Date]]&amp;Loads[[#This Row],[Product]]</f>
        <v>44219Product2</v>
      </c>
      <c r="B383" s="5">
        <f>COUNTIF($A$1:A383,Loads[[#This Row],[Load]])</f>
        <v>11</v>
      </c>
      <c r="C383" s="3" t="str">
        <f>Loads[[#This Row],[Load]]&amp;Loads[[#This Row],[Count]]</f>
        <v>44219Product211</v>
      </c>
      <c r="D383" s="90">
        <v>44219</v>
      </c>
      <c r="E383" s="143">
        <v>0.26527777777777778</v>
      </c>
      <c r="F383" s="1" t="s">
        <v>9</v>
      </c>
      <c r="G383" s="2" t="s">
        <v>13</v>
      </c>
      <c r="H383" s="2" t="s">
        <v>42</v>
      </c>
      <c r="I383" s="1" t="s">
        <v>11</v>
      </c>
      <c r="J383" s="1" t="s">
        <v>8</v>
      </c>
      <c r="K383" s="89">
        <v>12640</v>
      </c>
      <c r="L383" s="3">
        <v>62.43</v>
      </c>
      <c r="M383" s="3">
        <v>8.4499999999999993</v>
      </c>
      <c r="N383" s="3" t="s">
        <v>8</v>
      </c>
      <c r="O383" s="3" t="s">
        <v>8</v>
      </c>
    </row>
    <row r="384" spans="1:15" x14ac:dyDescent="0.35">
      <c r="A384" s="5" t="str">
        <f>Loads[[#This Row],[Date]]&amp;Loads[[#This Row],[Product]]</f>
        <v>44220Product2</v>
      </c>
      <c r="B384" s="5">
        <f>COUNTIF($A$1:A384,Loads[[#This Row],[Load]])</f>
        <v>1</v>
      </c>
      <c r="C384" s="3" t="str">
        <f>Loads[[#This Row],[Load]]&amp;Loads[[#This Row],[Count]]</f>
        <v>44220Product21</v>
      </c>
      <c r="D384" s="90">
        <v>44220</v>
      </c>
      <c r="E384" s="143">
        <v>9.2361111111111116E-2</v>
      </c>
      <c r="F384" s="1" t="s">
        <v>9</v>
      </c>
      <c r="G384" s="2" t="s">
        <v>13</v>
      </c>
      <c r="H384" s="2" t="s">
        <v>42</v>
      </c>
      <c r="I384" s="1" t="s">
        <v>11</v>
      </c>
      <c r="J384" s="1" t="s">
        <v>8</v>
      </c>
      <c r="K384" s="89">
        <v>13260</v>
      </c>
      <c r="L384" s="3">
        <v>57.57</v>
      </c>
      <c r="M384" s="3">
        <v>11.78</v>
      </c>
      <c r="N384" s="3" t="s">
        <v>8</v>
      </c>
      <c r="O384" s="3" t="s">
        <v>8</v>
      </c>
    </row>
    <row r="385" spans="1:15" x14ac:dyDescent="0.35">
      <c r="A385" s="5" t="str">
        <f>Loads[[#This Row],[Date]]&amp;Loads[[#This Row],[Product]]</f>
        <v>44220Product2</v>
      </c>
      <c r="B385" s="5">
        <f>COUNTIF($A$1:A385,Loads[[#This Row],[Load]])</f>
        <v>2</v>
      </c>
      <c r="C385" s="3" t="str">
        <f>Loads[[#This Row],[Load]]&amp;Loads[[#This Row],[Count]]</f>
        <v>44220Product22</v>
      </c>
      <c r="D385" s="90">
        <v>44220</v>
      </c>
      <c r="E385" s="143">
        <v>9.2361111111111116E-2</v>
      </c>
      <c r="F385" s="1" t="s">
        <v>9</v>
      </c>
      <c r="G385" s="2" t="s">
        <v>13</v>
      </c>
      <c r="H385" s="2" t="s">
        <v>42</v>
      </c>
      <c r="I385" s="1" t="s">
        <v>11</v>
      </c>
      <c r="J385" s="1" t="s">
        <v>8</v>
      </c>
      <c r="K385" s="89">
        <v>12140</v>
      </c>
      <c r="L385" s="3">
        <v>64.599999999999994</v>
      </c>
      <c r="M385" s="3">
        <v>9.08</v>
      </c>
      <c r="N385" s="3" t="s">
        <v>8</v>
      </c>
      <c r="O385" s="3" t="s">
        <v>8</v>
      </c>
    </row>
    <row r="386" spans="1:15" x14ac:dyDescent="0.35">
      <c r="A386" s="5" t="str">
        <f>Loads[[#This Row],[Date]]&amp;Loads[[#This Row],[Product]]</f>
        <v>44220Product2</v>
      </c>
      <c r="B386" s="5">
        <f>COUNTIF($A$1:A386,Loads[[#This Row],[Load]])</f>
        <v>3</v>
      </c>
      <c r="C386" s="3" t="str">
        <f>Loads[[#This Row],[Load]]&amp;Loads[[#This Row],[Count]]</f>
        <v>44220Product23</v>
      </c>
      <c r="D386" s="90">
        <v>44220</v>
      </c>
      <c r="E386" s="143">
        <v>9.3055555555555558E-2</v>
      </c>
      <c r="F386" s="1" t="s">
        <v>9</v>
      </c>
      <c r="G386" s="2" t="s">
        <v>13</v>
      </c>
      <c r="H386" s="2" t="s">
        <v>42</v>
      </c>
      <c r="I386" s="1" t="s">
        <v>11</v>
      </c>
      <c r="J386" s="1" t="s">
        <v>8</v>
      </c>
      <c r="K386" s="89">
        <v>12220</v>
      </c>
      <c r="L386" s="3">
        <v>63</v>
      </c>
      <c r="M386" s="3">
        <v>10.23</v>
      </c>
      <c r="N386" s="3" t="s">
        <v>8</v>
      </c>
      <c r="O386" s="3" t="s">
        <v>8</v>
      </c>
    </row>
    <row r="387" spans="1:15" x14ac:dyDescent="0.35">
      <c r="A387" s="5" t="str">
        <f>Loads[[#This Row],[Date]]&amp;Loads[[#This Row],[Product]]</f>
        <v>44220Product2</v>
      </c>
      <c r="B387" s="5">
        <f>COUNTIF($A$1:A387,Loads[[#This Row],[Load]])</f>
        <v>4</v>
      </c>
      <c r="C387" s="3" t="str">
        <f>Loads[[#This Row],[Load]]&amp;Loads[[#This Row],[Count]]</f>
        <v>44220Product24</v>
      </c>
      <c r="D387" s="90">
        <v>44220</v>
      </c>
      <c r="E387" s="143">
        <v>9.375E-2</v>
      </c>
      <c r="F387" s="1" t="s">
        <v>9</v>
      </c>
      <c r="G387" s="2" t="s">
        <v>13</v>
      </c>
      <c r="H387" s="2" t="s">
        <v>42</v>
      </c>
      <c r="I387" s="1" t="s">
        <v>11</v>
      </c>
      <c r="J387" s="1" t="s">
        <v>8</v>
      </c>
      <c r="K387" s="89">
        <v>12300</v>
      </c>
      <c r="L387" s="3">
        <v>58.76</v>
      </c>
      <c r="M387" s="3">
        <v>10.38</v>
      </c>
      <c r="N387" s="3" t="s">
        <v>8</v>
      </c>
      <c r="O387" s="3" t="s">
        <v>8</v>
      </c>
    </row>
    <row r="388" spans="1:15" x14ac:dyDescent="0.35">
      <c r="A388" s="5" t="str">
        <f>Loads[[#This Row],[Date]]&amp;Loads[[#This Row],[Product]]</f>
        <v>44220Product2</v>
      </c>
      <c r="B388" s="5">
        <f>COUNTIF($A$1:A388,Loads[[#This Row],[Load]])</f>
        <v>5</v>
      </c>
      <c r="C388" s="3" t="str">
        <f>Loads[[#This Row],[Load]]&amp;Loads[[#This Row],[Count]]</f>
        <v>44220Product25</v>
      </c>
      <c r="D388" s="90">
        <v>44220</v>
      </c>
      <c r="E388" s="143">
        <v>9.4444444444444442E-2</v>
      </c>
      <c r="F388" s="1" t="s">
        <v>9</v>
      </c>
      <c r="G388" s="2" t="s">
        <v>13</v>
      </c>
      <c r="H388" s="2" t="s">
        <v>42</v>
      </c>
      <c r="I388" s="1" t="s">
        <v>11</v>
      </c>
      <c r="J388" s="1" t="s">
        <v>8</v>
      </c>
      <c r="K388" s="89">
        <v>11080</v>
      </c>
      <c r="L388" s="3">
        <v>57.52</v>
      </c>
      <c r="M388" s="3">
        <v>12.19</v>
      </c>
      <c r="N388" s="3" t="s">
        <v>8</v>
      </c>
      <c r="O388" s="3" t="s">
        <v>8</v>
      </c>
    </row>
    <row r="389" spans="1:15" x14ac:dyDescent="0.35">
      <c r="A389" s="5" t="str">
        <f>Loads[[#This Row],[Date]]&amp;Loads[[#This Row],[Product]]</f>
        <v>44220Product2</v>
      </c>
      <c r="B389" s="5">
        <f>COUNTIF($A$1:A389,Loads[[#This Row],[Load]])</f>
        <v>6</v>
      </c>
      <c r="C389" s="3" t="str">
        <f>Loads[[#This Row],[Load]]&amp;Loads[[#This Row],[Count]]</f>
        <v>44220Product26</v>
      </c>
      <c r="D389" s="90">
        <v>44220</v>
      </c>
      <c r="E389" s="143">
        <v>9.4444444444444442E-2</v>
      </c>
      <c r="F389" s="1" t="s">
        <v>9</v>
      </c>
      <c r="G389" s="2" t="s">
        <v>13</v>
      </c>
      <c r="H389" s="2" t="s">
        <v>42</v>
      </c>
      <c r="I389" s="1" t="s">
        <v>11</v>
      </c>
      <c r="J389" s="1" t="s">
        <v>8</v>
      </c>
      <c r="K389" s="89">
        <v>12180</v>
      </c>
      <c r="L389" s="3">
        <v>61.7</v>
      </c>
      <c r="M389" s="3">
        <v>9.56</v>
      </c>
      <c r="N389" s="3" t="s">
        <v>8</v>
      </c>
      <c r="O389" s="3" t="s">
        <v>8</v>
      </c>
    </row>
    <row r="390" spans="1:15" x14ac:dyDescent="0.35">
      <c r="A390" s="5" t="str">
        <f>Loads[[#This Row],[Date]]&amp;Loads[[#This Row],[Product]]</f>
        <v>44220Product2</v>
      </c>
      <c r="B390" s="5">
        <f>COUNTIF($A$1:A390,Loads[[#This Row],[Load]])</f>
        <v>7</v>
      </c>
      <c r="C390" s="3" t="str">
        <f>Loads[[#This Row],[Load]]&amp;Loads[[#This Row],[Count]]</f>
        <v>44220Product27</v>
      </c>
      <c r="D390" s="90">
        <v>44220</v>
      </c>
      <c r="E390" s="143">
        <v>9.5138888888888884E-2</v>
      </c>
      <c r="F390" s="1" t="s">
        <v>9</v>
      </c>
      <c r="G390" s="2" t="s">
        <v>13</v>
      </c>
      <c r="H390" s="2" t="s">
        <v>42</v>
      </c>
      <c r="I390" s="1" t="s">
        <v>11</v>
      </c>
      <c r="J390" s="1" t="s">
        <v>8</v>
      </c>
      <c r="K390" s="89">
        <v>10720</v>
      </c>
      <c r="L390" s="3">
        <v>62.02</v>
      </c>
      <c r="M390" s="3">
        <v>9.16</v>
      </c>
      <c r="N390" s="3" t="s">
        <v>8</v>
      </c>
      <c r="O390" s="3" t="s">
        <v>8</v>
      </c>
    </row>
    <row r="391" spans="1:15" x14ac:dyDescent="0.35">
      <c r="A391" s="5" t="str">
        <f>Loads[[#This Row],[Date]]&amp;Loads[[#This Row],[Product]]</f>
        <v>44220Product2</v>
      </c>
      <c r="B391" s="5">
        <f>COUNTIF($A$1:A391,Loads[[#This Row],[Load]])</f>
        <v>8</v>
      </c>
      <c r="C391" s="3" t="str">
        <f>Loads[[#This Row],[Load]]&amp;Loads[[#This Row],[Count]]</f>
        <v>44220Product28</v>
      </c>
      <c r="D391" s="90">
        <v>44220</v>
      </c>
      <c r="E391" s="143">
        <v>9.5138888888888884E-2</v>
      </c>
      <c r="F391" s="1" t="s">
        <v>9</v>
      </c>
      <c r="G391" s="2" t="s">
        <v>13</v>
      </c>
      <c r="H391" s="2" t="s">
        <v>42</v>
      </c>
      <c r="I391" s="1" t="s">
        <v>11</v>
      </c>
      <c r="J391" s="1" t="s">
        <v>8</v>
      </c>
      <c r="K391" s="89">
        <v>11420</v>
      </c>
      <c r="L391" s="3">
        <v>59.24</v>
      </c>
      <c r="M391" s="3">
        <v>10.58</v>
      </c>
      <c r="N391" s="3" t="s">
        <v>8</v>
      </c>
      <c r="O391" s="3" t="s">
        <v>8</v>
      </c>
    </row>
    <row r="392" spans="1:15" x14ac:dyDescent="0.35">
      <c r="A392" s="5" t="str">
        <f>Loads[[#This Row],[Date]]&amp;Loads[[#This Row],[Product]]</f>
        <v>44221Product2</v>
      </c>
      <c r="B392" s="5">
        <f>COUNTIF($A$1:A392,Loads[[#This Row],[Load]])</f>
        <v>1</v>
      </c>
      <c r="C392" s="3" t="str">
        <f>Loads[[#This Row],[Load]]&amp;Loads[[#This Row],[Count]]</f>
        <v>44221Product21</v>
      </c>
      <c r="D392" s="90">
        <v>44221</v>
      </c>
      <c r="E392" s="143">
        <v>0.11875000000000001</v>
      </c>
      <c r="F392" s="1" t="s">
        <v>9</v>
      </c>
      <c r="G392" s="2" t="s">
        <v>13</v>
      </c>
      <c r="H392" s="2" t="s">
        <v>42</v>
      </c>
      <c r="I392" s="1" t="s">
        <v>11</v>
      </c>
      <c r="J392" s="1" t="s">
        <v>8</v>
      </c>
      <c r="K392" s="89">
        <v>10880</v>
      </c>
      <c r="L392" s="3">
        <v>64.87</v>
      </c>
      <c r="M392" s="3">
        <v>7.84</v>
      </c>
      <c r="N392" s="3" t="s">
        <v>8</v>
      </c>
      <c r="O392" s="3" t="s">
        <v>8</v>
      </c>
    </row>
    <row r="393" spans="1:15" x14ac:dyDescent="0.35">
      <c r="A393" s="5" t="str">
        <f>Loads[[#This Row],[Date]]&amp;Loads[[#This Row],[Product]]</f>
        <v>44221Product2</v>
      </c>
      <c r="B393" s="5">
        <f>COUNTIF($A$1:A393,Loads[[#This Row],[Load]])</f>
        <v>2</v>
      </c>
      <c r="C393" s="3" t="str">
        <f>Loads[[#This Row],[Load]]&amp;Loads[[#This Row],[Count]]</f>
        <v>44221Product22</v>
      </c>
      <c r="D393" s="90">
        <v>44221</v>
      </c>
      <c r="E393" s="143">
        <v>0.11944444444444445</v>
      </c>
      <c r="F393" s="1" t="s">
        <v>9</v>
      </c>
      <c r="G393" s="2" t="s">
        <v>13</v>
      </c>
      <c r="H393" s="2" t="s">
        <v>42</v>
      </c>
      <c r="I393" s="1" t="s">
        <v>11</v>
      </c>
      <c r="J393" s="1" t="s">
        <v>8</v>
      </c>
      <c r="K393" s="89">
        <v>11400</v>
      </c>
      <c r="L393" s="3">
        <v>60</v>
      </c>
      <c r="M393" s="3">
        <v>10.94</v>
      </c>
      <c r="N393" s="3" t="s">
        <v>8</v>
      </c>
      <c r="O393" s="3" t="s">
        <v>8</v>
      </c>
    </row>
    <row r="394" spans="1:15" x14ac:dyDescent="0.35">
      <c r="A394" s="5" t="str">
        <f>Loads[[#This Row],[Date]]&amp;Loads[[#This Row],[Product]]</f>
        <v>44221Product2</v>
      </c>
      <c r="B394" s="5">
        <f>COUNTIF($A$1:A394,Loads[[#This Row],[Load]])</f>
        <v>3</v>
      </c>
      <c r="C394" s="3" t="str">
        <f>Loads[[#This Row],[Load]]&amp;Loads[[#This Row],[Count]]</f>
        <v>44221Product23</v>
      </c>
      <c r="D394" s="90">
        <v>44221</v>
      </c>
      <c r="E394" s="143">
        <v>0.11944444444444445</v>
      </c>
      <c r="F394" s="1" t="s">
        <v>9</v>
      </c>
      <c r="G394" s="2" t="s">
        <v>13</v>
      </c>
      <c r="H394" s="2" t="s">
        <v>42</v>
      </c>
      <c r="I394" s="1" t="s">
        <v>11</v>
      </c>
      <c r="J394" s="1" t="s">
        <v>8</v>
      </c>
      <c r="K394" s="89">
        <v>11440</v>
      </c>
      <c r="L394" s="3">
        <v>62.02</v>
      </c>
      <c r="M394" s="3">
        <v>9.16</v>
      </c>
      <c r="N394" s="3" t="s">
        <v>8</v>
      </c>
      <c r="O394" s="3" t="s">
        <v>8</v>
      </c>
    </row>
    <row r="395" spans="1:15" x14ac:dyDescent="0.35">
      <c r="A395" s="5" t="str">
        <f>Loads[[#This Row],[Date]]&amp;Loads[[#This Row],[Product]]</f>
        <v>44221Product2</v>
      </c>
      <c r="B395" s="5">
        <f>COUNTIF($A$1:A395,Loads[[#This Row],[Load]])</f>
        <v>4</v>
      </c>
      <c r="C395" s="3" t="str">
        <f>Loads[[#This Row],[Load]]&amp;Loads[[#This Row],[Count]]</f>
        <v>44221Product24</v>
      </c>
      <c r="D395" s="90">
        <v>44221</v>
      </c>
      <c r="E395" s="143">
        <v>0.12013888888888889</v>
      </c>
      <c r="F395" s="1" t="s">
        <v>9</v>
      </c>
      <c r="G395" s="2" t="s">
        <v>13</v>
      </c>
      <c r="H395" s="2" t="s">
        <v>42</v>
      </c>
      <c r="I395" s="1" t="s">
        <v>11</v>
      </c>
      <c r="J395" s="1" t="s">
        <v>8</v>
      </c>
      <c r="K395" s="89">
        <v>11920</v>
      </c>
      <c r="L395" s="3">
        <v>62.45</v>
      </c>
      <c r="M395" s="3">
        <v>7.39</v>
      </c>
      <c r="N395" s="3" t="s">
        <v>8</v>
      </c>
      <c r="O395" s="3" t="s">
        <v>8</v>
      </c>
    </row>
    <row r="396" spans="1:15" x14ac:dyDescent="0.35">
      <c r="A396" s="5" t="str">
        <f>Loads[[#This Row],[Date]]&amp;Loads[[#This Row],[Product]]</f>
        <v>44221Product2</v>
      </c>
      <c r="B396" s="5">
        <f>COUNTIF($A$1:A396,Loads[[#This Row],[Load]])</f>
        <v>5</v>
      </c>
      <c r="C396" s="3" t="str">
        <f>Loads[[#This Row],[Load]]&amp;Loads[[#This Row],[Count]]</f>
        <v>44221Product25</v>
      </c>
      <c r="D396" s="90">
        <v>44221</v>
      </c>
      <c r="E396" s="143">
        <v>0.12013888888888889</v>
      </c>
      <c r="F396" s="1" t="s">
        <v>9</v>
      </c>
      <c r="G396" s="2" t="s">
        <v>13</v>
      </c>
      <c r="H396" s="2" t="s">
        <v>42</v>
      </c>
      <c r="I396" s="1" t="s">
        <v>11</v>
      </c>
      <c r="J396" s="1" t="s">
        <v>8</v>
      </c>
      <c r="K396" s="89">
        <v>10060</v>
      </c>
      <c r="L396" s="3">
        <v>59.46</v>
      </c>
      <c r="M396" s="3">
        <v>11.42</v>
      </c>
      <c r="N396" s="3" t="s">
        <v>8</v>
      </c>
      <c r="O396" s="3" t="s">
        <v>8</v>
      </c>
    </row>
    <row r="397" spans="1:15" x14ac:dyDescent="0.35">
      <c r="A397" s="5" t="str">
        <f>Loads[[#This Row],[Date]]&amp;Loads[[#This Row],[Product]]</f>
        <v>44221Product2</v>
      </c>
      <c r="B397" s="5">
        <f>COUNTIF($A$1:A397,Loads[[#This Row],[Load]])</f>
        <v>6</v>
      </c>
      <c r="C397" s="3" t="str">
        <f>Loads[[#This Row],[Load]]&amp;Loads[[#This Row],[Count]]</f>
        <v>44221Product26</v>
      </c>
      <c r="D397" s="90">
        <v>44221</v>
      </c>
      <c r="E397" s="143">
        <v>0.12083333333333333</v>
      </c>
      <c r="F397" s="1" t="s">
        <v>9</v>
      </c>
      <c r="G397" s="2" t="s">
        <v>13</v>
      </c>
      <c r="H397" s="2" t="s">
        <v>42</v>
      </c>
      <c r="I397" s="1" t="s">
        <v>11</v>
      </c>
      <c r="J397" s="1" t="s">
        <v>8</v>
      </c>
      <c r="K397" s="89">
        <v>11120</v>
      </c>
      <c r="L397" s="3">
        <v>60.5</v>
      </c>
      <c r="M397" s="3">
        <v>10.43</v>
      </c>
      <c r="N397" s="3" t="s">
        <v>8</v>
      </c>
      <c r="O397" s="3" t="s">
        <v>8</v>
      </c>
    </row>
    <row r="398" spans="1:15" x14ac:dyDescent="0.35">
      <c r="A398" s="5" t="str">
        <f>Loads[[#This Row],[Date]]&amp;Loads[[#This Row],[Product]]</f>
        <v>44221Product2</v>
      </c>
      <c r="B398" s="5">
        <f>COUNTIF($A$1:A398,Loads[[#This Row],[Load]])</f>
        <v>7</v>
      </c>
      <c r="C398" s="3" t="str">
        <f>Loads[[#This Row],[Load]]&amp;Loads[[#This Row],[Count]]</f>
        <v>44221Product27</v>
      </c>
      <c r="D398" s="90">
        <v>44221</v>
      </c>
      <c r="E398" s="143">
        <v>0.12083333333333333</v>
      </c>
      <c r="F398" s="1" t="s">
        <v>9</v>
      </c>
      <c r="G398" s="2" t="s">
        <v>13</v>
      </c>
      <c r="H398" s="2" t="s">
        <v>42</v>
      </c>
      <c r="I398" s="1" t="s">
        <v>11</v>
      </c>
      <c r="J398" s="1" t="s">
        <v>8</v>
      </c>
      <c r="K398" s="89">
        <v>10320</v>
      </c>
      <c r="L398" s="3">
        <v>58.7</v>
      </c>
      <c r="M398" s="3">
        <v>7.44</v>
      </c>
      <c r="N398" s="3" t="s">
        <v>8</v>
      </c>
      <c r="O398" s="3" t="s">
        <v>8</v>
      </c>
    </row>
    <row r="399" spans="1:15" x14ac:dyDescent="0.35">
      <c r="A399" s="5" t="str">
        <f>Loads[[#This Row],[Date]]&amp;Loads[[#This Row],[Product]]</f>
        <v>44221Product2</v>
      </c>
      <c r="B399" s="5">
        <f>COUNTIF($A$1:A399,Loads[[#This Row],[Load]])</f>
        <v>8</v>
      </c>
      <c r="C399" s="3" t="str">
        <f>Loads[[#This Row],[Load]]&amp;Loads[[#This Row],[Count]]</f>
        <v>44221Product28</v>
      </c>
      <c r="D399" s="90">
        <v>44221</v>
      </c>
      <c r="E399" s="143">
        <v>0.12152777777777778</v>
      </c>
      <c r="F399" s="1" t="s">
        <v>9</v>
      </c>
      <c r="G399" s="2" t="s">
        <v>13</v>
      </c>
      <c r="H399" s="2" t="s">
        <v>42</v>
      </c>
      <c r="I399" s="1" t="s">
        <v>11</v>
      </c>
      <c r="J399" s="1" t="s">
        <v>8</v>
      </c>
      <c r="K399" s="89">
        <v>11140</v>
      </c>
      <c r="L399" s="3">
        <v>59.89</v>
      </c>
      <c r="M399" s="3">
        <v>9.84</v>
      </c>
      <c r="N399" s="3" t="s">
        <v>8</v>
      </c>
      <c r="O399" s="3" t="s">
        <v>8</v>
      </c>
    </row>
    <row r="400" spans="1:15" x14ac:dyDescent="0.35">
      <c r="A400" s="5" t="str">
        <f>Loads[[#This Row],[Date]]&amp;Loads[[#This Row],[Product]]</f>
        <v>44221Product2</v>
      </c>
      <c r="B400" s="5">
        <f>COUNTIF($A$1:A400,Loads[[#This Row],[Load]])</f>
        <v>9</v>
      </c>
      <c r="C400" s="3" t="str">
        <f>Loads[[#This Row],[Load]]&amp;Loads[[#This Row],[Count]]</f>
        <v>44221Product29</v>
      </c>
      <c r="D400" s="90">
        <v>44221</v>
      </c>
      <c r="E400" s="143">
        <v>0.12152777777777778</v>
      </c>
      <c r="F400" s="1" t="s">
        <v>9</v>
      </c>
      <c r="G400" s="2" t="s">
        <v>13</v>
      </c>
      <c r="H400" s="2" t="s">
        <v>42</v>
      </c>
      <c r="I400" s="1" t="s">
        <v>11</v>
      </c>
      <c r="J400" s="1" t="s">
        <v>8</v>
      </c>
      <c r="K400" s="89">
        <v>12520</v>
      </c>
      <c r="L400" s="3">
        <v>60.48</v>
      </c>
      <c r="M400" s="3">
        <v>10.64</v>
      </c>
      <c r="N400" s="3" t="s">
        <v>8</v>
      </c>
      <c r="O400" s="3" t="s">
        <v>8</v>
      </c>
    </row>
    <row r="401" spans="1:15" x14ac:dyDescent="0.35">
      <c r="A401" s="5" t="str">
        <f>Loads[[#This Row],[Date]]&amp;Loads[[#This Row],[Product]]</f>
        <v>44222Product2</v>
      </c>
      <c r="B401" s="5">
        <f>COUNTIF($A$1:A401,Loads[[#This Row],[Load]])</f>
        <v>1</v>
      </c>
      <c r="C401" s="3" t="str">
        <f>Loads[[#This Row],[Load]]&amp;Loads[[#This Row],[Count]]</f>
        <v>44222Product21</v>
      </c>
      <c r="D401" s="90">
        <v>44222</v>
      </c>
      <c r="E401" s="143">
        <v>0.10416666666666667</v>
      </c>
      <c r="F401" s="1" t="s">
        <v>9</v>
      </c>
      <c r="G401" s="2" t="s">
        <v>13</v>
      </c>
      <c r="H401" s="2" t="s">
        <v>42</v>
      </c>
      <c r="I401" s="1" t="s">
        <v>11</v>
      </c>
      <c r="J401" s="1" t="s">
        <v>8</v>
      </c>
      <c r="K401" s="89">
        <v>12420</v>
      </c>
      <c r="L401" s="3">
        <v>59.72</v>
      </c>
      <c r="M401" s="3">
        <v>10.48</v>
      </c>
      <c r="N401" s="3" t="s">
        <v>8</v>
      </c>
      <c r="O401" s="3" t="s">
        <v>8</v>
      </c>
    </row>
    <row r="402" spans="1:15" x14ac:dyDescent="0.35">
      <c r="A402" s="5" t="str">
        <f>Loads[[#This Row],[Date]]&amp;Loads[[#This Row],[Product]]</f>
        <v>44222Product2</v>
      </c>
      <c r="B402" s="5">
        <f>COUNTIF($A$1:A402,Loads[[#This Row],[Load]])</f>
        <v>2</v>
      </c>
      <c r="C402" s="3" t="str">
        <f>Loads[[#This Row],[Load]]&amp;Loads[[#This Row],[Count]]</f>
        <v>44222Product22</v>
      </c>
      <c r="D402" s="90">
        <v>44222</v>
      </c>
      <c r="E402" s="143">
        <v>0.10486111111111111</v>
      </c>
      <c r="F402" s="1" t="s">
        <v>9</v>
      </c>
      <c r="G402" s="2" t="s">
        <v>13</v>
      </c>
      <c r="H402" s="2" t="s">
        <v>42</v>
      </c>
      <c r="I402" s="1" t="s">
        <v>11</v>
      </c>
      <c r="J402" s="1" t="s">
        <v>8</v>
      </c>
      <c r="K402" s="89">
        <v>13340</v>
      </c>
      <c r="L402" s="3">
        <v>59.89</v>
      </c>
      <c r="M402" s="3">
        <v>9.84</v>
      </c>
      <c r="N402" s="3" t="s">
        <v>8</v>
      </c>
      <c r="O402" s="3" t="s">
        <v>8</v>
      </c>
    </row>
    <row r="403" spans="1:15" x14ac:dyDescent="0.35">
      <c r="A403" s="5" t="str">
        <f>Loads[[#This Row],[Date]]&amp;Loads[[#This Row],[Product]]</f>
        <v>44222Product2</v>
      </c>
      <c r="B403" s="5">
        <f>COUNTIF($A$1:A403,Loads[[#This Row],[Load]])</f>
        <v>3</v>
      </c>
      <c r="C403" s="3" t="str">
        <f>Loads[[#This Row],[Load]]&amp;Loads[[#This Row],[Count]]</f>
        <v>44222Product23</v>
      </c>
      <c r="D403" s="90">
        <v>44222</v>
      </c>
      <c r="E403" s="143">
        <v>0.10555555555555556</v>
      </c>
      <c r="F403" s="1" t="s">
        <v>9</v>
      </c>
      <c r="G403" s="2" t="s">
        <v>13</v>
      </c>
      <c r="H403" s="2" t="s">
        <v>42</v>
      </c>
      <c r="I403" s="1" t="s">
        <v>11</v>
      </c>
      <c r="J403" s="1" t="s">
        <v>8</v>
      </c>
      <c r="K403" s="89">
        <v>12020</v>
      </c>
      <c r="L403" s="3">
        <v>59.28</v>
      </c>
      <c r="M403" s="3">
        <v>11.14</v>
      </c>
      <c r="N403" s="3" t="s">
        <v>8</v>
      </c>
      <c r="O403" s="3" t="s">
        <v>8</v>
      </c>
    </row>
    <row r="404" spans="1:15" x14ac:dyDescent="0.35">
      <c r="A404" s="5" t="str">
        <f>Loads[[#This Row],[Date]]&amp;Loads[[#This Row],[Product]]</f>
        <v>44222Product2</v>
      </c>
      <c r="B404" s="5">
        <f>COUNTIF($A$1:A404,Loads[[#This Row],[Load]])</f>
        <v>4</v>
      </c>
      <c r="C404" s="3" t="str">
        <f>Loads[[#This Row],[Load]]&amp;Loads[[#This Row],[Count]]</f>
        <v>44222Product24</v>
      </c>
      <c r="D404" s="90">
        <v>44222</v>
      </c>
      <c r="E404" s="143">
        <v>0.10555555555555556</v>
      </c>
      <c r="F404" s="1" t="s">
        <v>9</v>
      </c>
      <c r="G404" s="2" t="s">
        <v>13</v>
      </c>
      <c r="H404" s="2" t="s">
        <v>42</v>
      </c>
      <c r="I404" s="1" t="s">
        <v>11</v>
      </c>
      <c r="J404" s="1" t="s">
        <v>8</v>
      </c>
      <c r="K404" s="89">
        <v>9960</v>
      </c>
      <c r="L404" s="3">
        <v>58.99</v>
      </c>
      <c r="M404" s="3">
        <v>11.39</v>
      </c>
      <c r="N404" s="3" t="s">
        <v>8</v>
      </c>
      <c r="O404" s="3" t="s">
        <v>8</v>
      </c>
    </row>
    <row r="405" spans="1:15" x14ac:dyDescent="0.35">
      <c r="A405" s="5" t="str">
        <f>Loads[[#This Row],[Date]]&amp;Loads[[#This Row],[Product]]</f>
        <v>44222Product2</v>
      </c>
      <c r="B405" s="5">
        <f>COUNTIF($A$1:A405,Loads[[#This Row],[Load]])</f>
        <v>5</v>
      </c>
      <c r="C405" s="3" t="str">
        <f>Loads[[#This Row],[Load]]&amp;Loads[[#This Row],[Count]]</f>
        <v>44222Product25</v>
      </c>
      <c r="D405" s="90">
        <v>44222</v>
      </c>
      <c r="E405" s="143">
        <v>0.10625</v>
      </c>
      <c r="F405" s="1" t="s">
        <v>9</v>
      </c>
      <c r="G405" s="2" t="s">
        <v>13</v>
      </c>
      <c r="H405" s="2" t="s">
        <v>42</v>
      </c>
      <c r="I405" s="1" t="s">
        <v>11</v>
      </c>
      <c r="J405" s="1" t="s">
        <v>8</v>
      </c>
      <c r="K405" s="89">
        <v>12080</v>
      </c>
      <c r="L405" s="3">
        <v>58.17</v>
      </c>
      <c r="M405" s="3">
        <v>8.5</v>
      </c>
      <c r="N405" s="3" t="s">
        <v>8</v>
      </c>
      <c r="O405" s="3" t="s">
        <v>8</v>
      </c>
    </row>
    <row r="406" spans="1:15" x14ac:dyDescent="0.35">
      <c r="A406" s="5" t="str">
        <f>Loads[[#This Row],[Date]]&amp;Loads[[#This Row],[Product]]</f>
        <v>44222Product2</v>
      </c>
      <c r="B406" s="5">
        <f>COUNTIF($A$1:A406,Loads[[#This Row],[Load]])</f>
        <v>6</v>
      </c>
      <c r="C406" s="3" t="str">
        <f>Loads[[#This Row],[Load]]&amp;Loads[[#This Row],[Count]]</f>
        <v>44222Product26</v>
      </c>
      <c r="D406" s="90">
        <v>44222</v>
      </c>
      <c r="E406" s="143">
        <v>0.10625</v>
      </c>
      <c r="F406" s="1" t="s">
        <v>9</v>
      </c>
      <c r="G406" s="2" t="s">
        <v>13</v>
      </c>
      <c r="H406" s="2" t="s">
        <v>42</v>
      </c>
      <c r="I406" s="1" t="s">
        <v>11</v>
      </c>
      <c r="J406" s="1" t="s">
        <v>8</v>
      </c>
      <c r="K406" s="89">
        <v>11380</v>
      </c>
      <c r="L406" s="3">
        <v>61.12</v>
      </c>
      <c r="M406" s="3">
        <v>9.82</v>
      </c>
      <c r="N406" s="3" t="s">
        <v>8</v>
      </c>
      <c r="O406" s="3" t="s">
        <v>8</v>
      </c>
    </row>
    <row r="407" spans="1:15" x14ac:dyDescent="0.35">
      <c r="A407" s="5" t="str">
        <f>Loads[[#This Row],[Date]]&amp;Loads[[#This Row],[Product]]</f>
        <v>44222Product2</v>
      </c>
      <c r="B407" s="5">
        <f>COUNTIF($A$1:A407,Loads[[#This Row],[Load]])</f>
        <v>7</v>
      </c>
      <c r="C407" s="3" t="str">
        <f>Loads[[#This Row],[Load]]&amp;Loads[[#This Row],[Count]]</f>
        <v>44222Product27</v>
      </c>
      <c r="D407" s="90">
        <v>44222</v>
      </c>
      <c r="E407" s="143">
        <v>0.10694444444444444</v>
      </c>
      <c r="F407" s="1" t="s">
        <v>9</v>
      </c>
      <c r="G407" s="2" t="s">
        <v>13</v>
      </c>
      <c r="H407" s="2" t="s">
        <v>42</v>
      </c>
      <c r="I407" s="1" t="s">
        <v>11</v>
      </c>
      <c r="J407" s="1" t="s">
        <v>8</v>
      </c>
      <c r="K407" s="89">
        <v>12220</v>
      </c>
      <c r="L407" s="3">
        <v>62.97</v>
      </c>
      <c r="M407" s="3">
        <v>9.66</v>
      </c>
      <c r="N407" s="3" t="s">
        <v>8</v>
      </c>
      <c r="O407" s="3" t="s">
        <v>8</v>
      </c>
    </row>
    <row r="408" spans="1:15" x14ac:dyDescent="0.35">
      <c r="A408" s="5" t="str">
        <f>Loads[[#This Row],[Date]]&amp;Loads[[#This Row],[Product]]</f>
        <v>44222Product2</v>
      </c>
      <c r="B408" s="5">
        <f>COUNTIF($A$1:A408,Loads[[#This Row],[Load]])</f>
        <v>8</v>
      </c>
      <c r="C408" s="3" t="str">
        <f>Loads[[#This Row],[Load]]&amp;Loads[[#This Row],[Count]]</f>
        <v>44222Product28</v>
      </c>
      <c r="D408" s="90">
        <v>44222</v>
      </c>
      <c r="E408" s="143">
        <v>0.1076388888888889</v>
      </c>
      <c r="F408" s="1" t="s">
        <v>9</v>
      </c>
      <c r="G408" s="2" t="s">
        <v>13</v>
      </c>
      <c r="H408" s="2" t="s">
        <v>42</v>
      </c>
      <c r="I408" s="1" t="s">
        <v>11</v>
      </c>
      <c r="J408" s="1" t="s">
        <v>8</v>
      </c>
      <c r="K408" s="89">
        <v>8880</v>
      </c>
      <c r="L408" s="3">
        <v>59.09</v>
      </c>
      <c r="M408" s="3">
        <v>9.3000000000000007</v>
      </c>
      <c r="N408" s="3" t="s">
        <v>8</v>
      </c>
      <c r="O408" s="3" t="s">
        <v>8</v>
      </c>
    </row>
    <row r="409" spans="1:15" x14ac:dyDescent="0.35">
      <c r="A409" s="5" t="str">
        <f>Loads[[#This Row],[Date]]&amp;Loads[[#This Row],[Product]]</f>
        <v>44223Product2</v>
      </c>
      <c r="B409" s="5">
        <f>COUNTIF($A$1:A409,Loads[[#This Row],[Load]])</f>
        <v>1</v>
      </c>
      <c r="C409" s="3" t="str">
        <f>Loads[[#This Row],[Load]]&amp;Loads[[#This Row],[Count]]</f>
        <v>44223Product21</v>
      </c>
      <c r="D409" s="90">
        <v>44223</v>
      </c>
      <c r="E409" s="143">
        <v>7.3611111111111113E-2</v>
      </c>
      <c r="F409" s="1" t="s">
        <v>9</v>
      </c>
      <c r="G409" s="2" t="s">
        <v>13</v>
      </c>
      <c r="H409" s="2" t="s">
        <v>42</v>
      </c>
      <c r="I409" s="1" t="s">
        <v>11</v>
      </c>
      <c r="J409" s="1" t="s">
        <v>8</v>
      </c>
      <c r="K409" s="89">
        <v>11560</v>
      </c>
      <c r="L409" s="3">
        <v>57.68</v>
      </c>
      <c r="M409" s="3">
        <v>11.98</v>
      </c>
      <c r="N409" s="3" t="s">
        <v>8</v>
      </c>
      <c r="O409" s="3" t="s">
        <v>8</v>
      </c>
    </row>
    <row r="410" spans="1:15" x14ac:dyDescent="0.35">
      <c r="A410" s="5" t="str">
        <f>Loads[[#This Row],[Date]]&amp;Loads[[#This Row],[Product]]</f>
        <v>44223Product2</v>
      </c>
      <c r="B410" s="5">
        <f>COUNTIF($A$1:A410,Loads[[#This Row],[Load]])</f>
        <v>2</v>
      </c>
      <c r="C410" s="3" t="str">
        <f>Loads[[#This Row],[Load]]&amp;Loads[[#This Row],[Count]]</f>
        <v>44223Product22</v>
      </c>
      <c r="D410" s="90">
        <v>44223</v>
      </c>
      <c r="E410" s="143">
        <v>7.4305555555555555E-2</v>
      </c>
      <c r="F410" s="1" t="s">
        <v>9</v>
      </c>
      <c r="G410" s="2" t="s">
        <v>13</v>
      </c>
      <c r="H410" s="2" t="s">
        <v>42</v>
      </c>
      <c r="I410" s="1" t="s">
        <v>11</v>
      </c>
      <c r="J410" s="1" t="s">
        <v>8</v>
      </c>
      <c r="K410" s="89">
        <v>10620</v>
      </c>
      <c r="L410" s="3">
        <v>59.79</v>
      </c>
      <c r="M410" s="3">
        <v>9.25</v>
      </c>
      <c r="N410" s="3" t="s">
        <v>8</v>
      </c>
      <c r="O410" s="3" t="s">
        <v>8</v>
      </c>
    </row>
    <row r="411" spans="1:15" x14ac:dyDescent="0.35">
      <c r="A411" s="5" t="str">
        <f>Loads[[#This Row],[Date]]&amp;Loads[[#This Row],[Product]]</f>
        <v>44223Product2</v>
      </c>
      <c r="B411" s="5">
        <f>COUNTIF($A$1:A411,Loads[[#This Row],[Load]])</f>
        <v>3</v>
      </c>
      <c r="C411" s="3" t="str">
        <f>Loads[[#This Row],[Load]]&amp;Loads[[#This Row],[Count]]</f>
        <v>44223Product23</v>
      </c>
      <c r="D411" s="90">
        <v>44223</v>
      </c>
      <c r="E411" s="143">
        <v>7.4305555555555555E-2</v>
      </c>
      <c r="F411" s="1" t="s">
        <v>9</v>
      </c>
      <c r="G411" s="2" t="s">
        <v>13</v>
      </c>
      <c r="H411" s="2" t="s">
        <v>42</v>
      </c>
      <c r="I411" s="1" t="s">
        <v>11</v>
      </c>
      <c r="J411" s="1" t="s">
        <v>8</v>
      </c>
      <c r="K411" s="89">
        <v>12860</v>
      </c>
      <c r="L411" s="3">
        <v>58.55</v>
      </c>
      <c r="M411" s="3">
        <v>11.63</v>
      </c>
      <c r="N411" s="3" t="s">
        <v>8</v>
      </c>
      <c r="O411" s="3" t="s">
        <v>8</v>
      </c>
    </row>
    <row r="412" spans="1:15" x14ac:dyDescent="0.35">
      <c r="A412" s="5" t="str">
        <f>Loads[[#This Row],[Date]]&amp;Loads[[#This Row],[Product]]</f>
        <v>44223Product2</v>
      </c>
      <c r="B412" s="5">
        <f>COUNTIF($A$1:A412,Loads[[#This Row],[Load]])</f>
        <v>4</v>
      </c>
      <c r="C412" s="3" t="str">
        <f>Loads[[#This Row],[Load]]&amp;Loads[[#This Row],[Count]]</f>
        <v>44223Product24</v>
      </c>
      <c r="D412" s="90">
        <v>44223</v>
      </c>
      <c r="E412" s="143">
        <v>7.4999999999999997E-2</v>
      </c>
      <c r="F412" s="1" t="s">
        <v>9</v>
      </c>
      <c r="G412" s="2" t="s">
        <v>13</v>
      </c>
      <c r="H412" s="2" t="s">
        <v>42</v>
      </c>
      <c r="I412" s="1" t="s">
        <v>11</v>
      </c>
      <c r="J412" s="1" t="s">
        <v>8</v>
      </c>
      <c r="K412" s="89">
        <v>12620</v>
      </c>
      <c r="L412" s="3">
        <v>62.97</v>
      </c>
      <c r="M412" s="3">
        <v>9.66</v>
      </c>
      <c r="N412" s="3" t="s">
        <v>8</v>
      </c>
      <c r="O412" s="3" t="s">
        <v>8</v>
      </c>
    </row>
    <row r="413" spans="1:15" x14ac:dyDescent="0.35">
      <c r="A413" s="5" t="str">
        <f>Loads[[#This Row],[Date]]&amp;Loads[[#This Row],[Product]]</f>
        <v>44223Product2</v>
      </c>
      <c r="B413" s="5">
        <f>COUNTIF($A$1:A413,Loads[[#This Row],[Load]])</f>
        <v>5</v>
      </c>
      <c r="C413" s="3" t="str">
        <f>Loads[[#This Row],[Load]]&amp;Loads[[#This Row],[Count]]</f>
        <v>44223Product25</v>
      </c>
      <c r="D413" s="90">
        <v>44223</v>
      </c>
      <c r="E413" s="143">
        <v>7.4999999999999997E-2</v>
      </c>
      <c r="F413" s="1" t="s">
        <v>9</v>
      </c>
      <c r="G413" s="2" t="s">
        <v>13</v>
      </c>
      <c r="H413" s="2" t="s">
        <v>42</v>
      </c>
      <c r="I413" s="1" t="s">
        <v>11</v>
      </c>
      <c r="J413" s="1" t="s">
        <v>8</v>
      </c>
      <c r="K413" s="89">
        <v>9060</v>
      </c>
      <c r="L413" s="3">
        <v>58.99</v>
      </c>
      <c r="M413" s="3">
        <v>11.39</v>
      </c>
      <c r="N413" s="3" t="s">
        <v>8</v>
      </c>
      <c r="O413" s="3" t="s">
        <v>8</v>
      </c>
    </row>
    <row r="414" spans="1:15" x14ac:dyDescent="0.35">
      <c r="A414" s="5" t="str">
        <f>Loads[[#This Row],[Date]]&amp;Loads[[#This Row],[Product]]</f>
        <v>44223Product2</v>
      </c>
      <c r="B414" s="5">
        <f>COUNTIF($A$1:A414,Loads[[#This Row],[Load]])</f>
        <v>6</v>
      </c>
      <c r="C414" s="3" t="str">
        <f>Loads[[#This Row],[Load]]&amp;Loads[[#This Row],[Count]]</f>
        <v>44223Product26</v>
      </c>
      <c r="D414" s="90">
        <v>44223</v>
      </c>
      <c r="E414" s="143">
        <v>7.5694444444444439E-2</v>
      </c>
      <c r="F414" s="1" t="s">
        <v>9</v>
      </c>
      <c r="G414" s="2" t="s">
        <v>13</v>
      </c>
      <c r="H414" s="2" t="s">
        <v>42</v>
      </c>
      <c r="I414" s="1" t="s">
        <v>11</v>
      </c>
      <c r="J414" s="1" t="s">
        <v>8</v>
      </c>
      <c r="K414" s="89">
        <v>14700</v>
      </c>
      <c r="L414" s="3">
        <v>61.81</v>
      </c>
      <c r="M414" s="3">
        <v>10.87</v>
      </c>
      <c r="N414" s="3" t="s">
        <v>8</v>
      </c>
      <c r="O414" s="3" t="s">
        <v>8</v>
      </c>
    </row>
    <row r="415" spans="1:15" x14ac:dyDescent="0.35">
      <c r="A415" s="5" t="str">
        <f>Loads[[#This Row],[Date]]&amp;Loads[[#This Row],[Product]]</f>
        <v>44223Product2</v>
      </c>
      <c r="B415" s="5">
        <f>COUNTIF($A$1:A415,Loads[[#This Row],[Load]])</f>
        <v>7</v>
      </c>
      <c r="C415" s="3" t="str">
        <f>Loads[[#This Row],[Load]]&amp;Loads[[#This Row],[Count]]</f>
        <v>44223Product27</v>
      </c>
      <c r="D415" s="90">
        <v>44223</v>
      </c>
      <c r="E415" s="143">
        <v>7.6388888888888895E-2</v>
      </c>
      <c r="F415" s="1" t="s">
        <v>9</v>
      </c>
      <c r="G415" s="2" t="s">
        <v>13</v>
      </c>
      <c r="H415" s="2" t="s">
        <v>42</v>
      </c>
      <c r="I415" s="1" t="s">
        <v>11</v>
      </c>
      <c r="J415" s="1" t="s">
        <v>8</v>
      </c>
      <c r="K415" s="89">
        <v>10120</v>
      </c>
      <c r="L415" s="3">
        <v>58.04</v>
      </c>
      <c r="M415" s="3">
        <v>12.01</v>
      </c>
      <c r="N415" s="3" t="s">
        <v>8</v>
      </c>
      <c r="O415" s="3" t="s">
        <v>8</v>
      </c>
    </row>
    <row r="416" spans="1:15" x14ac:dyDescent="0.35">
      <c r="A416" s="5" t="str">
        <f>Loads[[#This Row],[Date]]&amp;Loads[[#This Row],[Product]]</f>
        <v>44223Product2</v>
      </c>
      <c r="B416" s="5">
        <f>COUNTIF($A$1:A416,Loads[[#This Row],[Load]])</f>
        <v>8</v>
      </c>
      <c r="C416" s="3" t="str">
        <f>Loads[[#This Row],[Load]]&amp;Loads[[#This Row],[Count]]</f>
        <v>44223Product28</v>
      </c>
      <c r="D416" s="90">
        <v>44223</v>
      </c>
      <c r="E416" s="143">
        <v>7.6388888888888895E-2</v>
      </c>
      <c r="F416" s="1" t="s">
        <v>9</v>
      </c>
      <c r="G416" s="2" t="s">
        <v>13</v>
      </c>
      <c r="H416" s="2" t="s">
        <v>42</v>
      </c>
      <c r="I416" s="1" t="s">
        <v>11</v>
      </c>
      <c r="J416" s="1" t="s">
        <v>8</v>
      </c>
      <c r="K416" s="89">
        <v>10380</v>
      </c>
      <c r="L416" s="3">
        <v>59.09</v>
      </c>
      <c r="M416" s="3">
        <v>9.3000000000000007</v>
      </c>
      <c r="N416" s="3" t="s">
        <v>8</v>
      </c>
      <c r="O416" s="3" t="s">
        <v>8</v>
      </c>
    </row>
    <row r="417" spans="1:15" x14ac:dyDescent="0.35">
      <c r="A417" s="5" t="str">
        <f>Loads[[#This Row],[Date]]&amp;Loads[[#This Row],[Product]]</f>
        <v>44223Product2</v>
      </c>
      <c r="B417" s="5">
        <f>COUNTIF($A$1:A417,Loads[[#This Row],[Load]])</f>
        <v>9</v>
      </c>
      <c r="C417" s="3" t="str">
        <f>Loads[[#This Row],[Load]]&amp;Loads[[#This Row],[Count]]</f>
        <v>44223Product29</v>
      </c>
      <c r="D417" s="90">
        <v>44223</v>
      </c>
      <c r="E417" s="143">
        <v>7.7083333333333337E-2</v>
      </c>
      <c r="F417" s="1" t="s">
        <v>9</v>
      </c>
      <c r="G417" s="2" t="s">
        <v>13</v>
      </c>
      <c r="H417" s="2" t="s">
        <v>42</v>
      </c>
      <c r="I417" s="1" t="s">
        <v>11</v>
      </c>
      <c r="J417" s="1" t="s">
        <v>8</v>
      </c>
      <c r="K417" s="89">
        <v>9660</v>
      </c>
      <c r="L417" s="3">
        <v>62.91</v>
      </c>
      <c r="M417" s="3">
        <v>9.0399999999999991</v>
      </c>
      <c r="N417" s="3" t="s">
        <v>8</v>
      </c>
      <c r="O417" s="3" t="s">
        <v>8</v>
      </c>
    </row>
    <row r="418" spans="1:15" x14ac:dyDescent="0.35">
      <c r="A418" s="5" t="str">
        <f>Loads[[#This Row],[Date]]&amp;Loads[[#This Row],[Product]]</f>
        <v>44223Product2</v>
      </c>
      <c r="B418" s="5">
        <f>COUNTIF($A$1:A418,Loads[[#This Row],[Load]])</f>
        <v>10</v>
      </c>
      <c r="C418" s="3" t="str">
        <f>Loads[[#This Row],[Load]]&amp;Loads[[#This Row],[Count]]</f>
        <v>44223Product210</v>
      </c>
      <c r="D418" s="90">
        <v>44223</v>
      </c>
      <c r="E418" s="143">
        <v>7.7083333333333337E-2</v>
      </c>
      <c r="F418" s="1" t="s">
        <v>9</v>
      </c>
      <c r="G418" s="2" t="s">
        <v>13</v>
      </c>
      <c r="H418" s="2" t="s">
        <v>42</v>
      </c>
      <c r="I418" s="1" t="s">
        <v>11</v>
      </c>
      <c r="J418" s="1" t="s">
        <v>8</v>
      </c>
      <c r="K418" s="89">
        <v>11040</v>
      </c>
      <c r="L418" s="3">
        <v>60.44</v>
      </c>
      <c r="M418" s="3">
        <v>10.210000000000001</v>
      </c>
      <c r="N418" s="3" t="s">
        <v>8</v>
      </c>
      <c r="O418" s="3" t="s">
        <v>8</v>
      </c>
    </row>
    <row r="419" spans="1:15" x14ac:dyDescent="0.35">
      <c r="A419" s="5" t="str">
        <f>Loads[[#This Row],[Date]]&amp;Loads[[#This Row],[Product]]</f>
        <v>44223Product2</v>
      </c>
      <c r="B419" s="5">
        <f>COUNTIF($A$1:A419,Loads[[#This Row],[Load]])</f>
        <v>11</v>
      </c>
      <c r="C419" s="3" t="str">
        <f>Loads[[#This Row],[Load]]&amp;Loads[[#This Row],[Count]]</f>
        <v>44223Product211</v>
      </c>
      <c r="D419" s="90">
        <v>44223</v>
      </c>
      <c r="E419" s="143">
        <v>7.7777777777777779E-2</v>
      </c>
      <c r="F419" s="1" t="s">
        <v>9</v>
      </c>
      <c r="G419" s="2" t="s">
        <v>13</v>
      </c>
      <c r="H419" s="2" t="s">
        <v>42</v>
      </c>
      <c r="I419" s="1" t="s">
        <v>11</v>
      </c>
      <c r="J419" s="1" t="s">
        <v>8</v>
      </c>
      <c r="K419" s="89">
        <v>11980</v>
      </c>
      <c r="L419" s="3">
        <v>57.41</v>
      </c>
      <c r="M419" s="3">
        <v>11.17</v>
      </c>
      <c r="N419" s="3" t="s">
        <v>8</v>
      </c>
      <c r="O419" s="3" t="s">
        <v>8</v>
      </c>
    </row>
    <row r="420" spans="1:15" x14ac:dyDescent="0.35">
      <c r="A420" s="5" t="str">
        <f>Loads[[#This Row],[Date]]&amp;Loads[[#This Row],[Product]]</f>
        <v>44224Product2</v>
      </c>
      <c r="B420" s="5">
        <f>COUNTIF($A$1:A420,Loads[[#This Row],[Load]])</f>
        <v>1</v>
      </c>
      <c r="C420" s="3" t="str">
        <f>Loads[[#This Row],[Load]]&amp;Loads[[#This Row],[Count]]</f>
        <v>44224Product21</v>
      </c>
      <c r="D420" s="90">
        <v>44224</v>
      </c>
      <c r="E420" s="143">
        <v>0.35000000000000003</v>
      </c>
      <c r="F420" s="1" t="s">
        <v>9</v>
      </c>
      <c r="G420" s="2" t="s">
        <v>13</v>
      </c>
      <c r="H420" s="2" t="s">
        <v>42</v>
      </c>
      <c r="I420" s="1" t="s">
        <v>11</v>
      </c>
      <c r="J420" s="1" t="s">
        <v>8</v>
      </c>
      <c r="K420" s="89">
        <v>12520</v>
      </c>
      <c r="L420" s="3">
        <v>58.04</v>
      </c>
      <c r="M420" s="3">
        <v>12.01</v>
      </c>
      <c r="N420" s="3" t="s">
        <v>8</v>
      </c>
      <c r="O420" s="3" t="s">
        <v>8</v>
      </c>
    </row>
    <row r="421" spans="1:15" x14ac:dyDescent="0.35">
      <c r="A421" s="5" t="str">
        <f>Loads[[#This Row],[Date]]&amp;Loads[[#This Row],[Product]]</f>
        <v>44224Product2</v>
      </c>
      <c r="B421" s="5">
        <f>COUNTIF($A$1:A421,Loads[[#This Row],[Load]])</f>
        <v>2</v>
      </c>
      <c r="C421" s="3" t="str">
        <f>Loads[[#This Row],[Load]]&amp;Loads[[#This Row],[Count]]</f>
        <v>44224Product22</v>
      </c>
      <c r="D421" s="90">
        <v>44224</v>
      </c>
      <c r="E421" s="143">
        <v>0.59444444444444444</v>
      </c>
      <c r="F421" s="1" t="s">
        <v>9</v>
      </c>
      <c r="G421" s="2" t="s">
        <v>13</v>
      </c>
      <c r="H421" s="2" t="s">
        <v>42</v>
      </c>
      <c r="I421" s="1" t="s">
        <v>11</v>
      </c>
      <c r="J421" s="1" t="s">
        <v>8</v>
      </c>
      <c r="K421" s="89">
        <v>14020</v>
      </c>
      <c r="L421" s="3">
        <v>59.12</v>
      </c>
      <c r="M421" s="3">
        <v>10.61</v>
      </c>
      <c r="N421" s="3" t="s">
        <v>8</v>
      </c>
      <c r="O421" s="3" t="s">
        <v>8</v>
      </c>
    </row>
    <row r="422" spans="1:15" x14ac:dyDescent="0.35">
      <c r="A422" s="5" t="str">
        <f>Loads[[#This Row],[Date]]&amp;Loads[[#This Row],[Product]]</f>
        <v>44224Product2</v>
      </c>
      <c r="B422" s="5">
        <f>COUNTIF($A$1:A422,Loads[[#This Row],[Load]])</f>
        <v>3</v>
      </c>
      <c r="C422" s="3" t="str">
        <f>Loads[[#This Row],[Load]]&amp;Loads[[#This Row],[Count]]</f>
        <v>44224Product23</v>
      </c>
      <c r="D422" s="90">
        <v>44224</v>
      </c>
      <c r="E422" s="143">
        <v>5.0694444444444452E-2</v>
      </c>
      <c r="F422" s="1" t="s">
        <v>9</v>
      </c>
      <c r="G422" s="2" t="s">
        <v>13</v>
      </c>
      <c r="H422" s="2" t="s">
        <v>42</v>
      </c>
      <c r="I422" s="1" t="s">
        <v>11</v>
      </c>
      <c r="J422" s="1" t="s">
        <v>8</v>
      </c>
      <c r="K422" s="89">
        <v>16180</v>
      </c>
      <c r="L422" s="3">
        <v>62.12</v>
      </c>
      <c r="M422" s="3">
        <v>9.75</v>
      </c>
      <c r="N422" s="3" t="s">
        <v>8</v>
      </c>
      <c r="O422" s="3" t="s">
        <v>8</v>
      </c>
    </row>
    <row r="423" spans="1:15" x14ac:dyDescent="0.35">
      <c r="A423" s="5" t="str">
        <f>Loads[[#This Row],[Date]]&amp;Loads[[#This Row],[Product]]</f>
        <v>44224Product2</v>
      </c>
      <c r="B423" s="5">
        <f>COUNTIF($A$1:A423,Loads[[#This Row],[Load]])</f>
        <v>4</v>
      </c>
      <c r="C423" s="3" t="str">
        <f>Loads[[#This Row],[Load]]&amp;Loads[[#This Row],[Count]]</f>
        <v>44224Product24</v>
      </c>
      <c r="D423" s="90">
        <v>44224</v>
      </c>
      <c r="E423" s="143">
        <v>0.46249999999999997</v>
      </c>
      <c r="F423" s="1" t="s">
        <v>9</v>
      </c>
      <c r="G423" s="2" t="s">
        <v>13</v>
      </c>
      <c r="H423" s="2" t="s">
        <v>42</v>
      </c>
      <c r="I423" s="1" t="s">
        <v>11</v>
      </c>
      <c r="J423" s="1" t="s">
        <v>8</v>
      </c>
      <c r="K423" s="89">
        <v>12360</v>
      </c>
      <c r="L423" s="3">
        <v>60.06</v>
      </c>
      <c r="M423" s="3">
        <v>10.95</v>
      </c>
      <c r="N423" s="3" t="s">
        <v>8</v>
      </c>
      <c r="O423" s="3" t="s">
        <v>8</v>
      </c>
    </row>
    <row r="424" spans="1:15" x14ac:dyDescent="0.35">
      <c r="A424" s="5" t="str">
        <f>Loads[[#This Row],[Date]]&amp;Loads[[#This Row],[Product]]</f>
        <v>44224Product2</v>
      </c>
      <c r="B424" s="5">
        <f>COUNTIF($A$1:A424,Loads[[#This Row],[Load]])</f>
        <v>5</v>
      </c>
      <c r="C424" s="3" t="str">
        <f>Loads[[#This Row],[Load]]&amp;Loads[[#This Row],[Count]]</f>
        <v>44224Product25</v>
      </c>
      <c r="D424" s="90">
        <v>44224</v>
      </c>
      <c r="E424" s="143">
        <v>0.19236111111111112</v>
      </c>
      <c r="F424" s="1" t="s">
        <v>9</v>
      </c>
      <c r="G424" s="2" t="s">
        <v>13</v>
      </c>
      <c r="H424" s="2" t="s">
        <v>42</v>
      </c>
      <c r="I424" s="1" t="s">
        <v>11</v>
      </c>
      <c r="J424" s="1" t="s">
        <v>8</v>
      </c>
      <c r="K424" s="89">
        <v>11900</v>
      </c>
      <c r="L424" s="3">
        <v>58.49</v>
      </c>
      <c r="M424" s="3">
        <v>8.0399999999999991</v>
      </c>
      <c r="N424" s="3" t="s">
        <v>8</v>
      </c>
      <c r="O424" s="3" t="s">
        <v>8</v>
      </c>
    </row>
    <row r="425" spans="1:15" x14ac:dyDescent="0.35">
      <c r="A425" s="5" t="str">
        <f>Loads[[#This Row],[Date]]&amp;Loads[[#This Row],[Product]]</f>
        <v>44224Product2</v>
      </c>
      <c r="B425" s="5">
        <f>COUNTIF($A$1:A425,Loads[[#This Row],[Load]])</f>
        <v>6</v>
      </c>
      <c r="C425" s="3" t="str">
        <f>Loads[[#This Row],[Load]]&amp;Loads[[#This Row],[Count]]</f>
        <v>44224Product26</v>
      </c>
      <c r="D425" s="90">
        <v>44224</v>
      </c>
      <c r="E425" s="143">
        <v>0.61944444444444446</v>
      </c>
      <c r="F425" s="1" t="s">
        <v>9</v>
      </c>
      <c r="G425" s="2" t="s">
        <v>13</v>
      </c>
      <c r="H425" s="2" t="s">
        <v>42</v>
      </c>
      <c r="I425" s="1" t="s">
        <v>11</v>
      </c>
      <c r="J425" s="1" t="s">
        <v>8</v>
      </c>
      <c r="K425" s="89">
        <v>10480</v>
      </c>
      <c r="L425" s="3">
        <v>62.51</v>
      </c>
      <c r="M425" s="3">
        <v>9.0399999999999991</v>
      </c>
      <c r="N425" s="3" t="s">
        <v>8</v>
      </c>
      <c r="O425" s="3" t="s">
        <v>8</v>
      </c>
    </row>
    <row r="426" spans="1:15" x14ac:dyDescent="0.35">
      <c r="A426" s="5" t="str">
        <f>Loads[[#This Row],[Date]]&amp;Loads[[#This Row],[Product]]</f>
        <v>44224Product2</v>
      </c>
      <c r="B426" s="5">
        <f>COUNTIF($A$1:A426,Loads[[#This Row],[Load]])</f>
        <v>7</v>
      </c>
      <c r="C426" s="3" t="str">
        <f>Loads[[#This Row],[Load]]&amp;Loads[[#This Row],[Count]]</f>
        <v>44224Product27</v>
      </c>
      <c r="D426" s="90">
        <v>44224</v>
      </c>
      <c r="E426" s="143">
        <v>0.56319444444444444</v>
      </c>
      <c r="F426" s="1" t="s">
        <v>9</v>
      </c>
      <c r="G426" s="2" t="s">
        <v>13</v>
      </c>
      <c r="H426" s="2" t="s">
        <v>42</v>
      </c>
      <c r="I426" s="1" t="s">
        <v>11</v>
      </c>
      <c r="J426" s="1" t="s">
        <v>8</v>
      </c>
      <c r="K426" s="89">
        <v>9660</v>
      </c>
      <c r="L426" s="3">
        <v>63.13</v>
      </c>
      <c r="M426" s="3">
        <v>9.18</v>
      </c>
      <c r="N426" s="3" t="s">
        <v>8</v>
      </c>
      <c r="O426" s="3" t="s">
        <v>8</v>
      </c>
    </row>
    <row r="427" spans="1:15" x14ac:dyDescent="0.35">
      <c r="A427" s="5" t="str">
        <f>Loads[[#This Row],[Date]]&amp;Loads[[#This Row],[Product]]</f>
        <v>44224Product2</v>
      </c>
      <c r="B427" s="5">
        <f>COUNTIF($A$1:A427,Loads[[#This Row],[Load]])</f>
        <v>8</v>
      </c>
      <c r="C427" s="3" t="str">
        <f>Loads[[#This Row],[Load]]&amp;Loads[[#This Row],[Count]]</f>
        <v>44224Product28</v>
      </c>
      <c r="D427" s="90">
        <v>44224</v>
      </c>
      <c r="E427" s="143">
        <v>0.33958333333333335</v>
      </c>
      <c r="F427" s="1" t="s">
        <v>9</v>
      </c>
      <c r="G427" s="2" t="s">
        <v>13</v>
      </c>
      <c r="H427" s="2" t="s">
        <v>42</v>
      </c>
      <c r="I427" s="1" t="s">
        <v>11</v>
      </c>
      <c r="J427" s="1" t="s">
        <v>8</v>
      </c>
      <c r="K427" s="89">
        <v>16660</v>
      </c>
      <c r="L427" s="3">
        <v>61.81</v>
      </c>
      <c r="M427" s="3">
        <v>10.87</v>
      </c>
      <c r="N427" s="3" t="s">
        <v>8</v>
      </c>
      <c r="O427" s="3" t="s">
        <v>8</v>
      </c>
    </row>
    <row r="428" spans="1:15" x14ac:dyDescent="0.35">
      <c r="A428" s="5" t="str">
        <f>Loads[[#This Row],[Date]]&amp;Loads[[#This Row],[Product]]</f>
        <v>44224Product2</v>
      </c>
      <c r="B428" s="5">
        <f>COUNTIF($A$1:A428,Loads[[#This Row],[Load]])</f>
        <v>9</v>
      </c>
      <c r="C428" s="3" t="str">
        <f>Loads[[#This Row],[Load]]&amp;Loads[[#This Row],[Count]]</f>
        <v>44224Product29</v>
      </c>
      <c r="D428" s="90">
        <v>44224</v>
      </c>
      <c r="E428" s="143">
        <v>0.40138888888888885</v>
      </c>
      <c r="F428" s="1" t="s">
        <v>9</v>
      </c>
      <c r="G428" s="2" t="s">
        <v>13</v>
      </c>
      <c r="H428" s="2" t="s">
        <v>42</v>
      </c>
      <c r="I428" s="1" t="s">
        <v>11</v>
      </c>
      <c r="J428" s="1" t="s">
        <v>8</v>
      </c>
      <c r="K428" s="89">
        <v>10680</v>
      </c>
      <c r="L428" s="3">
        <v>64.42</v>
      </c>
      <c r="M428" s="3">
        <v>8.5500000000000007</v>
      </c>
      <c r="N428" s="3" t="s">
        <v>8</v>
      </c>
      <c r="O428" s="3" t="s">
        <v>8</v>
      </c>
    </row>
    <row r="429" spans="1:15" x14ac:dyDescent="0.35">
      <c r="A429" s="5" t="str">
        <f>Loads[[#This Row],[Date]]&amp;Loads[[#This Row],[Product]]</f>
        <v>44224Product2</v>
      </c>
      <c r="B429" s="5">
        <f>COUNTIF($A$1:A429,Loads[[#This Row],[Load]])</f>
        <v>10</v>
      </c>
      <c r="C429" s="3" t="str">
        <f>Loads[[#This Row],[Load]]&amp;Loads[[#This Row],[Count]]</f>
        <v>44224Product210</v>
      </c>
      <c r="D429" s="90">
        <v>44224</v>
      </c>
      <c r="E429" s="143">
        <v>0.71388888888888891</v>
      </c>
      <c r="F429" s="1" t="s">
        <v>9</v>
      </c>
      <c r="G429" s="2" t="s">
        <v>13</v>
      </c>
      <c r="H429" s="2" t="s">
        <v>42</v>
      </c>
      <c r="I429" s="1" t="s">
        <v>11</v>
      </c>
      <c r="J429" s="1" t="s">
        <v>8</v>
      </c>
      <c r="K429" s="89">
        <v>12880</v>
      </c>
      <c r="L429" s="3">
        <v>60.52</v>
      </c>
      <c r="M429" s="3">
        <v>12.47</v>
      </c>
      <c r="N429" s="3" t="s">
        <v>8</v>
      </c>
      <c r="O429" s="3" t="s">
        <v>8</v>
      </c>
    </row>
    <row r="430" spans="1:15" x14ac:dyDescent="0.35">
      <c r="A430" s="5" t="str">
        <f>Loads[[#This Row],[Date]]&amp;Loads[[#This Row],[Product]]</f>
        <v>44225Product2</v>
      </c>
      <c r="B430" s="5">
        <f>COUNTIF($A$1:A430,Loads[[#This Row],[Load]])</f>
        <v>1</v>
      </c>
      <c r="C430" s="3" t="str">
        <f>Loads[[#This Row],[Load]]&amp;Loads[[#This Row],[Count]]</f>
        <v>44225Product21</v>
      </c>
      <c r="D430" s="90">
        <v>44225</v>
      </c>
      <c r="E430" s="143">
        <v>1.1111111111111112E-2</v>
      </c>
      <c r="F430" s="1" t="s">
        <v>9</v>
      </c>
      <c r="G430" s="2" t="s">
        <v>13</v>
      </c>
      <c r="H430" s="2" t="s">
        <v>42</v>
      </c>
      <c r="I430" s="1" t="s">
        <v>11</v>
      </c>
      <c r="J430" s="1" t="s">
        <v>8</v>
      </c>
      <c r="K430" s="89">
        <v>12500</v>
      </c>
      <c r="L430" s="3">
        <v>58.49</v>
      </c>
      <c r="M430" s="3">
        <v>8.0399999999999991</v>
      </c>
      <c r="N430" s="3" t="s">
        <v>8</v>
      </c>
      <c r="O430" s="3" t="s">
        <v>8</v>
      </c>
    </row>
    <row r="431" spans="1:15" x14ac:dyDescent="0.35">
      <c r="A431" s="5" t="str">
        <f>Loads[[#This Row],[Date]]&amp;Loads[[#This Row],[Product]]</f>
        <v>44225Product2</v>
      </c>
      <c r="B431" s="5">
        <f>COUNTIF($A$1:A431,Loads[[#This Row],[Load]])</f>
        <v>2</v>
      </c>
      <c r="C431" s="3" t="str">
        <f>Loads[[#This Row],[Load]]&amp;Loads[[#This Row],[Count]]</f>
        <v>44225Product22</v>
      </c>
      <c r="D431" s="90">
        <v>44225</v>
      </c>
      <c r="E431" s="143">
        <v>0.61041666666666672</v>
      </c>
      <c r="F431" s="1" t="s">
        <v>9</v>
      </c>
      <c r="G431" s="2" t="s">
        <v>13</v>
      </c>
      <c r="H431" s="2" t="s">
        <v>42</v>
      </c>
      <c r="I431" s="1" t="s">
        <v>11</v>
      </c>
      <c r="J431" s="1" t="s">
        <v>8</v>
      </c>
      <c r="K431" s="89">
        <v>10900</v>
      </c>
      <c r="L431" s="3">
        <v>57.81</v>
      </c>
      <c r="M431" s="3">
        <v>11.49</v>
      </c>
      <c r="N431" s="3" t="s">
        <v>8</v>
      </c>
      <c r="O431" s="3" t="s">
        <v>8</v>
      </c>
    </row>
    <row r="432" spans="1:15" x14ac:dyDescent="0.35">
      <c r="A432" s="5" t="str">
        <f>Loads[[#This Row],[Date]]&amp;Loads[[#This Row],[Product]]</f>
        <v>44225Product2</v>
      </c>
      <c r="B432" s="5">
        <f>COUNTIF($A$1:A432,Loads[[#This Row],[Load]])</f>
        <v>3</v>
      </c>
      <c r="C432" s="3" t="str">
        <f>Loads[[#This Row],[Load]]&amp;Loads[[#This Row],[Count]]</f>
        <v>44225Product23</v>
      </c>
      <c r="D432" s="90">
        <v>44225</v>
      </c>
      <c r="E432" s="143">
        <v>3.472222222222222E-3</v>
      </c>
      <c r="F432" s="1" t="s">
        <v>9</v>
      </c>
      <c r="G432" s="2" t="s">
        <v>13</v>
      </c>
      <c r="H432" s="2" t="s">
        <v>42</v>
      </c>
      <c r="I432" s="1" t="s">
        <v>11</v>
      </c>
      <c r="J432" s="1" t="s">
        <v>8</v>
      </c>
      <c r="K432" s="89">
        <v>11860</v>
      </c>
      <c r="L432" s="3">
        <v>60.79</v>
      </c>
      <c r="M432" s="3">
        <v>9.06</v>
      </c>
      <c r="N432" s="3" t="s">
        <v>8</v>
      </c>
      <c r="O432" s="3" t="s">
        <v>8</v>
      </c>
    </row>
    <row r="433" spans="1:15" x14ac:dyDescent="0.35">
      <c r="A433" s="5" t="str">
        <f>Loads[[#This Row],[Date]]&amp;Loads[[#This Row],[Product]]</f>
        <v>44225Product2</v>
      </c>
      <c r="B433" s="5">
        <f>COUNTIF($A$1:A433,Loads[[#This Row],[Load]])</f>
        <v>4</v>
      </c>
      <c r="C433" s="3" t="str">
        <f>Loads[[#This Row],[Load]]&amp;Loads[[#This Row],[Count]]</f>
        <v>44225Product24</v>
      </c>
      <c r="D433" s="90">
        <v>44225</v>
      </c>
      <c r="E433" s="143">
        <v>0.26597222222222222</v>
      </c>
      <c r="F433" s="1" t="s">
        <v>9</v>
      </c>
      <c r="G433" s="2" t="s">
        <v>13</v>
      </c>
      <c r="H433" s="2" t="s">
        <v>42</v>
      </c>
      <c r="I433" s="1" t="s">
        <v>11</v>
      </c>
      <c r="J433" s="1" t="s">
        <v>8</v>
      </c>
      <c r="K433" s="89">
        <v>10460</v>
      </c>
      <c r="L433" s="3">
        <v>62.49</v>
      </c>
      <c r="M433" s="3">
        <v>10.38</v>
      </c>
      <c r="N433" s="3" t="s">
        <v>8</v>
      </c>
      <c r="O433" s="3" t="s">
        <v>8</v>
      </c>
    </row>
    <row r="434" spans="1:15" x14ac:dyDescent="0.35">
      <c r="A434" s="5" t="str">
        <f>Loads[[#This Row],[Date]]&amp;Loads[[#This Row],[Product]]</f>
        <v>44225Product2</v>
      </c>
      <c r="B434" s="5">
        <f>COUNTIF($A$1:A434,Loads[[#This Row],[Load]])</f>
        <v>5</v>
      </c>
      <c r="C434" s="3" t="str">
        <f>Loads[[#This Row],[Load]]&amp;Loads[[#This Row],[Count]]</f>
        <v>44225Product25</v>
      </c>
      <c r="D434" s="90">
        <v>44225</v>
      </c>
      <c r="E434" s="143">
        <v>0.1173611111111111</v>
      </c>
      <c r="F434" s="1" t="s">
        <v>9</v>
      </c>
      <c r="G434" s="2" t="s">
        <v>13</v>
      </c>
      <c r="H434" s="2" t="s">
        <v>42</v>
      </c>
      <c r="I434" s="1" t="s">
        <v>11</v>
      </c>
      <c r="J434" s="1" t="s">
        <v>8</v>
      </c>
      <c r="K434" s="89">
        <v>11300</v>
      </c>
      <c r="L434" s="3">
        <v>56.71</v>
      </c>
      <c r="M434" s="3">
        <v>10.07</v>
      </c>
      <c r="N434" s="3" t="s">
        <v>8</v>
      </c>
      <c r="O434" s="3" t="s">
        <v>8</v>
      </c>
    </row>
    <row r="435" spans="1:15" x14ac:dyDescent="0.35">
      <c r="A435" s="5" t="str">
        <f>Loads[[#This Row],[Date]]&amp;Loads[[#This Row],[Product]]</f>
        <v>44225Product2</v>
      </c>
      <c r="B435" s="5">
        <f>COUNTIF($A$1:A435,Loads[[#This Row],[Load]])</f>
        <v>6</v>
      </c>
      <c r="C435" s="3" t="str">
        <f>Loads[[#This Row],[Load]]&amp;Loads[[#This Row],[Count]]</f>
        <v>44225Product26</v>
      </c>
      <c r="D435" s="90">
        <v>44225</v>
      </c>
      <c r="E435" s="143">
        <v>0.4777777777777778</v>
      </c>
      <c r="F435" s="1" t="s">
        <v>9</v>
      </c>
      <c r="G435" s="2" t="s">
        <v>13</v>
      </c>
      <c r="H435" s="2" t="s">
        <v>42</v>
      </c>
      <c r="I435" s="1" t="s">
        <v>11</v>
      </c>
      <c r="J435" s="1" t="s">
        <v>8</v>
      </c>
      <c r="K435" s="89">
        <v>16620</v>
      </c>
      <c r="L435" s="3">
        <v>59.16</v>
      </c>
      <c r="M435" s="3">
        <v>10.73</v>
      </c>
      <c r="N435" s="3" t="s">
        <v>8</v>
      </c>
      <c r="O435" s="3" t="s">
        <v>8</v>
      </c>
    </row>
    <row r="436" spans="1:15" x14ac:dyDescent="0.35">
      <c r="A436" s="5" t="str">
        <f>Loads[[#This Row],[Date]]&amp;Loads[[#This Row],[Product]]</f>
        <v>44225Product2</v>
      </c>
      <c r="B436" s="5">
        <f>COUNTIF($A$1:A436,Loads[[#This Row],[Load]])</f>
        <v>7</v>
      </c>
      <c r="C436" s="3" t="str">
        <f>Loads[[#This Row],[Load]]&amp;Loads[[#This Row],[Count]]</f>
        <v>44225Product27</v>
      </c>
      <c r="D436" s="90">
        <v>44225</v>
      </c>
      <c r="E436" s="143">
        <v>0.4694444444444445</v>
      </c>
      <c r="F436" s="1" t="s">
        <v>9</v>
      </c>
      <c r="G436" s="2" t="s">
        <v>13</v>
      </c>
      <c r="H436" s="2" t="s">
        <v>42</v>
      </c>
      <c r="I436" s="1" t="s">
        <v>11</v>
      </c>
      <c r="J436" s="1" t="s">
        <v>8</v>
      </c>
      <c r="K436" s="89">
        <v>9800</v>
      </c>
      <c r="L436" s="3">
        <v>58.12</v>
      </c>
      <c r="M436" s="3">
        <v>10.61</v>
      </c>
      <c r="N436" s="3" t="s">
        <v>8</v>
      </c>
      <c r="O436" s="3" t="s">
        <v>8</v>
      </c>
    </row>
    <row r="437" spans="1:15" x14ac:dyDescent="0.35">
      <c r="A437" s="5" t="str">
        <f>Loads[[#This Row],[Date]]&amp;Loads[[#This Row],[Product]]</f>
        <v>44225Product2</v>
      </c>
      <c r="B437" s="5">
        <f>COUNTIF($A$1:A437,Loads[[#This Row],[Load]])</f>
        <v>8</v>
      </c>
      <c r="C437" s="3" t="str">
        <f>Loads[[#This Row],[Load]]&amp;Loads[[#This Row],[Count]]</f>
        <v>44225Product28</v>
      </c>
      <c r="D437" s="90">
        <v>44225</v>
      </c>
      <c r="E437" s="143">
        <v>0.94861111111111107</v>
      </c>
      <c r="F437" s="1" t="s">
        <v>9</v>
      </c>
      <c r="G437" s="2" t="s">
        <v>13</v>
      </c>
      <c r="H437" s="2" t="s">
        <v>42</v>
      </c>
      <c r="I437" s="1" t="s">
        <v>11</v>
      </c>
      <c r="J437" s="1" t="s">
        <v>8</v>
      </c>
      <c r="K437" s="89">
        <v>12160</v>
      </c>
      <c r="L437" s="3">
        <v>64.42</v>
      </c>
      <c r="M437" s="3">
        <v>8.5500000000000007</v>
      </c>
      <c r="N437" s="3" t="s">
        <v>8</v>
      </c>
      <c r="O437" s="3" t="s">
        <v>8</v>
      </c>
    </row>
    <row r="438" spans="1:15" x14ac:dyDescent="0.35">
      <c r="A438" s="5" t="str">
        <f>Loads[[#This Row],[Date]]&amp;Loads[[#This Row],[Product]]</f>
        <v>44225Product2</v>
      </c>
      <c r="B438" s="5">
        <f>COUNTIF($A$1:A438,Loads[[#This Row],[Load]])</f>
        <v>9</v>
      </c>
      <c r="C438" s="3" t="str">
        <f>Loads[[#This Row],[Load]]&amp;Loads[[#This Row],[Count]]</f>
        <v>44225Product29</v>
      </c>
      <c r="D438" s="90">
        <v>44225</v>
      </c>
      <c r="E438" s="143">
        <v>0.80694444444444446</v>
      </c>
      <c r="F438" s="1" t="s">
        <v>9</v>
      </c>
      <c r="G438" s="2" t="s">
        <v>13</v>
      </c>
      <c r="H438" s="2" t="s">
        <v>42</v>
      </c>
      <c r="I438" s="1" t="s">
        <v>11</v>
      </c>
      <c r="J438" s="1" t="s">
        <v>8</v>
      </c>
      <c r="K438" s="89">
        <v>10280</v>
      </c>
      <c r="L438" s="3">
        <v>57.95</v>
      </c>
      <c r="M438" s="3">
        <v>12.24</v>
      </c>
      <c r="N438" s="3" t="s">
        <v>8</v>
      </c>
      <c r="O438" s="3" t="s">
        <v>8</v>
      </c>
    </row>
    <row r="439" spans="1:15" x14ac:dyDescent="0.35">
      <c r="A439" s="5" t="str">
        <f>Loads[[#This Row],[Date]]&amp;Loads[[#This Row],[Product]]</f>
        <v>44226Product2</v>
      </c>
      <c r="B439" s="5">
        <f>COUNTIF($A$1:A439,Loads[[#This Row],[Load]])</f>
        <v>1</v>
      </c>
      <c r="C439" s="3" t="str">
        <f>Loads[[#This Row],[Load]]&amp;Loads[[#This Row],[Count]]</f>
        <v>44226Product21</v>
      </c>
      <c r="D439" s="90">
        <v>44226</v>
      </c>
      <c r="E439" s="143">
        <v>0.11875000000000001</v>
      </c>
      <c r="F439" s="1" t="s">
        <v>9</v>
      </c>
      <c r="G439" s="2" t="s">
        <v>13</v>
      </c>
      <c r="H439" s="2" t="s">
        <v>42</v>
      </c>
      <c r="I439" s="1" t="s">
        <v>11</v>
      </c>
      <c r="J439" s="1" t="s">
        <v>8</v>
      </c>
      <c r="K439" s="89">
        <v>16320</v>
      </c>
      <c r="L439" s="3">
        <v>59.16</v>
      </c>
      <c r="M439" s="3">
        <v>10.73</v>
      </c>
      <c r="N439" s="3" t="s">
        <v>8</v>
      </c>
      <c r="O439" s="3" t="s">
        <v>8</v>
      </c>
    </row>
    <row r="440" spans="1:15" x14ac:dyDescent="0.35">
      <c r="A440" s="5" t="str">
        <f>Loads[[#This Row],[Date]]&amp;Loads[[#This Row],[Product]]</f>
        <v>44226Product2</v>
      </c>
      <c r="B440" s="5">
        <f>COUNTIF($A$1:A440,Loads[[#This Row],[Load]])</f>
        <v>2</v>
      </c>
      <c r="C440" s="3" t="str">
        <f>Loads[[#This Row],[Load]]&amp;Loads[[#This Row],[Count]]</f>
        <v>44226Product22</v>
      </c>
      <c r="D440" s="90">
        <v>44226</v>
      </c>
      <c r="E440" s="143">
        <v>0.27847222222222223</v>
      </c>
      <c r="F440" s="1" t="s">
        <v>9</v>
      </c>
      <c r="G440" s="2" t="s">
        <v>13</v>
      </c>
      <c r="H440" s="2" t="s">
        <v>42</v>
      </c>
      <c r="I440" s="1" t="s">
        <v>11</v>
      </c>
      <c r="J440" s="1" t="s">
        <v>8</v>
      </c>
      <c r="K440" s="89">
        <v>12360</v>
      </c>
      <c r="L440" s="3">
        <v>58.72</v>
      </c>
      <c r="M440" s="3">
        <v>10.06</v>
      </c>
      <c r="N440" s="3" t="s">
        <v>8</v>
      </c>
      <c r="O440" s="3" t="s">
        <v>8</v>
      </c>
    </row>
    <row r="441" spans="1:15" x14ac:dyDescent="0.35">
      <c r="A441" s="5" t="str">
        <f>Loads[[#This Row],[Date]]&amp;Loads[[#This Row],[Product]]</f>
        <v>44226Product2</v>
      </c>
      <c r="B441" s="5">
        <f>COUNTIF($A$1:A441,Loads[[#This Row],[Load]])</f>
        <v>3</v>
      </c>
      <c r="C441" s="3" t="str">
        <f>Loads[[#This Row],[Load]]&amp;Loads[[#This Row],[Count]]</f>
        <v>44226Product23</v>
      </c>
      <c r="D441" s="90">
        <v>44226</v>
      </c>
      <c r="E441" s="143">
        <v>0.53819444444444442</v>
      </c>
      <c r="F441" s="1" t="s">
        <v>9</v>
      </c>
      <c r="G441" s="2" t="s">
        <v>13</v>
      </c>
      <c r="H441" s="2" t="s">
        <v>42</v>
      </c>
      <c r="I441" s="1" t="s">
        <v>11</v>
      </c>
      <c r="J441" s="1" t="s">
        <v>8</v>
      </c>
      <c r="K441" s="89">
        <v>11900</v>
      </c>
      <c r="L441" s="3">
        <v>58.52</v>
      </c>
      <c r="M441" s="3">
        <v>11.3</v>
      </c>
      <c r="N441" s="3" t="s">
        <v>8</v>
      </c>
      <c r="O441" s="3" t="s">
        <v>8</v>
      </c>
    </row>
    <row r="442" spans="1:15" x14ac:dyDescent="0.35">
      <c r="A442" s="5" t="str">
        <f>Loads[[#This Row],[Date]]&amp;Loads[[#This Row],[Product]]</f>
        <v>44226Product2</v>
      </c>
      <c r="B442" s="5">
        <f>COUNTIF($A$1:A442,Loads[[#This Row],[Load]])</f>
        <v>4</v>
      </c>
      <c r="C442" s="3" t="str">
        <f>Loads[[#This Row],[Load]]&amp;Loads[[#This Row],[Count]]</f>
        <v>44226Product24</v>
      </c>
      <c r="D442" s="90">
        <v>44226</v>
      </c>
      <c r="E442" s="143">
        <v>0.3972222222222222</v>
      </c>
      <c r="F442" s="1" t="s">
        <v>9</v>
      </c>
      <c r="G442" s="2" t="s">
        <v>13</v>
      </c>
      <c r="H442" s="2" t="s">
        <v>42</v>
      </c>
      <c r="I442" s="1" t="s">
        <v>11</v>
      </c>
      <c r="J442" s="1" t="s">
        <v>8</v>
      </c>
      <c r="K442" s="89">
        <v>11020</v>
      </c>
      <c r="L442" s="3">
        <v>58.29</v>
      </c>
      <c r="M442" s="3">
        <v>11.46</v>
      </c>
      <c r="N442" s="3" t="s">
        <v>8</v>
      </c>
      <c r="O442" s="3" t="s">
        <v>8</v>
      </c>
    </row>
    <row r="443" spans="1:15" x14ac:dyDescent="0.35">
      <c r="A443" s="5" t="str">
        <f>Loads[[#This Row],[Date]]&amp;Loads[[#This Row],[Product]]</f>
        <v>44226Product2</v>
      </c>
      <c r="B443" s="5">
        <f>COUNTIF($A$1:A443,Loads[[#This Row],[Load]])</f>
        <v>5</v>
      </c>
      <c r="C443" s="3" t="str">
        <f>Loads[[#This Row],[Load]]&amp;Loads[[#This Row],[Count]]</f>
        <v>44226Product25</v>
      </c>
      <c r="D443" s="90">
        <v>44226</v>
      </c>
      <c r="E443" s="143">
        <v>0.89236111111111116</v>
      </c>
      <c r="F443" s="1" t="s">
        <v>9</v>
      </c>
      <c r="G443" s="2" t="s">
        <v>13</v>
      </c>
      <c r="H443" s="2" t="s">
        <v>42</v>
      </c>
      <c r="I443" s="1" t="s">
        <v>11</v>
      </c>
      <c r="J443" s="1" t="s">
        <v>8</v>
      </c>
      <c r="K443" s="89">
        <v>16440</v>
      </c>
      <c r="L443" s="3">
        <v>58.46</v>
      </c>
      <c r="M443" s="3">
        <v>10.07</v>
      </c>
      <c r="N443" s="3" t="s">
        <v>8</v>
      </c>
      <c r="O443" s="3" t="s">
        <v>8</v>
      </c>
    </row>
    <row r="444" spans="1:15" x14ac:dyDescent="0.35">
      <c r="A444" s="5" t="str">
        <f>Loads[[#This Row],[Date]]&amp;Loads[[#This Row],[Product]]</f>
        <v>44226Product2</v>
      </c>
      <c r="B444" s="5">
        <f>COUNTIF($A$1:A444,Loads[[#This Row],[Load]])</f>
        <v>6</v>
      </c>
      <c r="C444" s="3" t="str">
        <f>Loads[[#This Row],[Load]]&amp;Loads[[#This Row],[Count]]</f>
        <v>44226Product26</v>
      </c>
      <c r="D444" s="90">
        <v>44226</v>
      </c>
      <c r="E444" s="143">
        <v>0.67499999999999993</v>
      </c>
      <c r="F444" s="1" t="s">
        <v>9</v>
      </c>
      <c r="G444" s="2" t="s">
        <v>13</v>
      </c>
      <c r="H444" s="2" t="s">
        <v>42</v>
      </c>
      <c r="I444" s="1" t="s">
        <v>11</v>
      </c>
      <c r="J444" s="1" t="s">
        <v>8</v>
      </c>
      <c r="K444" s="89">
        <v>10360</v>
      </c>
      <c r="L444" s="3">
        <v>58.81</v>
      </c>
      <c r="M444" s="3">
        <v>11.49</v>
      </c>
      <c r="N444" s="3" t="s">
        <v>8</v>
      </c>
      <c r="O444" s="3" t="s">
        <v>8</v>
      </c>
    </row>
    <row r="445" spans="1:15" x14ac:dyDescent="0.35">
      <c r="A445" s="5" t="str">
        <f>Loads[[#This Row],[Date]]&amp;Loads[[#This Row],[Product]]</f>
        <v>44227Product2</v>
      </c>
      <c r="B445" s="5">
        <f>COUNTIF($A$1:A445,Loads[[#This Row],[Load]])</f>
        <v>1</v>
      </c>
      <c r="C445" s="3" t="str">
        <f>Loads[[#This Row],[Load]]&amp;Loads[[#This Row],[Count]]</f>
        <v>44227Product21</v>
      </c>
      <c r="D445" s="90">
        <v>44227</v>
      </c>
      <c r="E445" s="143">
        <v>0.16527777777777777</v>
      </c>
      <c r="F445" s="1" t="s">
        <v>9</v>
      </c>
      <c r="G445" s="2" t="s">
        <v>13</v>
      </c>
      <c r="H445" s="2" t="s">
        <v>42</v>
      </c>
      <c r="I445" s="1" t="s">
        <v>11</v>
      </c>
      <c r="J445" s="1" t="s">
        <v>8</v>
      </c>
      <c r="K445" s="89">
        <v>11720</v>
      </c>
      <c r="L445" s="3">
        <v>56.73</v>
      </c>
      <c r="M445" s="3">
        <v>10.39</v>
      </c>
      <c r="N445" s="3" t="s">
        <v>8</v>
      </c>
      <c r="O445" s="3" t="s">
        <v>8</v>
      </c>
    </row>
    <row r="446" spans="1:15" x14ac:dyDescent="0.35">
      <c r="A446" s="5" t="str">
        <f>Loads[[#This Row],[Date]]&amp;Loads[[#This Row],[Product]]</f>
        <v>44227Product2</v>
      </c>
      <c r="B446" s="5">
        <f>COUNTIF($A$1:A446,Loads[[#This Row],[Load]])</f>
        <v>2</v>
      </c>
      <c r="C446" s="3" t="str">
        <f>Loads[[#This Row],[Load]]&amp;Loads[[#This Row],[Count]]</f>
        <v>44227Product22</v>
      </c>
      <c r="D446" s="90">
        <v>44227</v>
      </c>
      <c r="E446" s="143">
        <v>0.64513888888888882</v>
      </c>
      <c r="F446" s="1" t="s">
        <v>9</v>
      </c>
      <c r="G446" s="2" t="s">
        <v>13</v>
      </c>
      <c r="H446" s="2" t="s">
        <v>42</v>
      </c>
      <c r="I446" s="1" t="s">
        <v>11</v>
      </c>
      <c r="J446" s="1" t="s">
        <v>8</v>
      </c>
      <c r="K446" s="89">
        <v>12360</v>
      </c>
      <c r="L446" s="3">
        <v>58.52</v>
      </c>
      <c r="M446" s="3">
        <v>11.3</v>
      </c>
      <c r="N446" s="3" t="s">
        <v>8</v>
      </c>
      <c r="O446" s="3" t="s">
        <v>8</v>
      </c>
    </row>
    <row r="447" spans="1:15" x14ac:dyDescent="0.35">
      <c r="A447" s="5" t="str">
        <f>Loads[[#This Row],[Date]]&amp;Loads[[#This Row],[Product]]</f>
        <v>44227Product2</v>
      </c>
      <c r="B447" s="5">
        <f>COUNTIF($A$1:A447,Loads[[#This Row],[Load]])</f>
        <v>3</v>
      </c>
      <c r="C447" s="3" t="str">
        <f>Loads[[#This Row],[Load]]&amp;Loads[[#This Row],[Count]]</f>
        <v>44227Product23</v>
      </c>
      <c r="D447" s="90">
        <v>44227</v>
      </c>
      <c r="E447" s="143">
        <v>1.4583333333333332E-2</v>
      </c>
      <c r="F447" s="1" t="s">
        <v>9</v>
      </c>
      <c r="G447" s="2" t="s">
        <v>13</v>
      </c>
      <c r="H447" s="2" t="s">
        <v>42</v>
      </c>
      <c r="I447" s="1" t="s">
        <v>11</v>
      </c>
      <c r="J447" s="1" t="s">
        <v>8</v>
      </c>
      <c r="K447" s="89">
        <v>11660</v>
      </c>
      <c r="L447" s="3">
        <v>61.7</v>
      </c>
      <c r="M447" s="3">
        <v>9.89</v>
      </c>
      <c r="N447" s="3" t="s">
        <v>8</v>
      </c>
      <c r="O447" s="3" t="s">
        <v>8</v>
      </c>
    </row>
    <row r="448" spans="1:15" x14ac:dyDescent="0.35">
      <c r="A448" s="5" t="str">
        <f>Loads[[#This Row],[Date]]&amp;Loads[[#This Row],[Product]]</f>
        <v>44227Product2</v>
      </c>
      <c r="B448" s="5">
        <f>COUNTIF($A$1:A448,Loads[[#This Row],[Load]])</f>
        <v>4</v>
      </c>
      <c r="C448" s="3" t="str">
        <f>Loads[[#This Row],[Load]]&amp;Loads[[#This Row],[Count]]</f>
        <v>44227Product24</v>
      </c>
      <c r="D448" s="90">
        <v>44227</v>
      </c>
      <c r="E448" s="143">
        <v>0.37083333333333335</v>
      </c>
      <c r="F448" s="1" t="s">
        <v>9</v>
      </c>
      <c r="G448" s="2" t="s">
        <v>13</v>
      </c>
      <c r="H448" s="2" t="s">
        <v>42</v>
      </c>
      <c r="I448" s="1" t="s">
        <v>11</v>
      </c>
      <c r="J448" s="1" t="s">
        <v>8</v>
      </c>
      <c r="K448" s="89">
        <v>16680</v>
      </c>
      <c r="L448" s="3">
        <v>58.46</v>
      </c>
      <c r="M448" s="3">
        <v>10.07</v>
      </c>
      <c r="N448" s="3" t="s">
        <v>8</v>
      </c>
      <c r="O448" s="3" t="s">
        <v>8</v>
      </c>
    </row>
    <row r="449" spans="1:15" x14ac:dyDescent="0.35">
      <c r="A449" s="5" t="str">
        <f>Loads[[#This Row],[Date]]&amp;Loads[[#This Row],[Product]]</f>
        <v>44227Product2</v>
      </c>
      <c r="B449" s="5">
        <f>COUNTIF($A$1:A449,Loads[[#This Row],[Load]])</f>
        <v>5</v>
      </c>
      <c r="C449" s="3" t="str">
        <f>Loads[[#This Row],[Load]]&amp;Loads[[#This Row],[Count]]</f>
        <v>44227Product25</v>
      </c>
      <c r="D449" s="90">
        <v>44227</v>
      </c>
      <c r="E449" s="143">
        <v>0.50069444444444444</v>
      </c>
      <c r="F449" s="1" t="s">
        <v>9</v>
      </c>
      <c r="G449" s="2" t="s">
        <v>13</v>
      </c>
      <c r="H449" s="2" t="s">
        <v>42</v>
      </c>
      <c r="I449" s="1" t="s">
        <v>11</v>
      </c>
      <c r="J449" s="1" t="s">
        <v>8</v>
      </c>
      <c r="K449" s="89">
        <v>10880</v>
      </c>
      <c r="L449" s="3">
        <v>59.12</v>
      </c>
      <c r="M449" s="3">
        <v>9.98</v>
      </c>
      <c r="N449" s="3" t="s">
        <v>8</v>
      </c>
      <c r="O449" s="3" t="s">
        <v>8</v>
      </c>
    </row>
    <row r="450" spans="1:15" x14ac:dyDescent="0.35">
      <c r="A450" s="5" t="str">
        <f>Loads[[#This Row],[Date]]&amp;Loads[[#This Row],[Product]]</f>
        <v>44227Product2</v>
      </c>
      <c r="B450" s="5">
        <f>COUNTIF($A$1:A450,Loads[[#This Row],[Load]])</f>
        <v>6</v>
      </c>
      <c r="C450" s="3" t="str">
        <f>Loads[[#This Row],[Load]]&amp;Loads[[#This Row],[Count]]</f>
        <v>44227Product26</v>
      </c>
      <c r="D450" s="90">
        <v>44227</v>
      </c>
      <c r="E450" s="143">
        <v>0.88194444444444453</v>
      </c>
      <c r="F450" s="1" t="s">
        <v>9</v>
      </c>
      <c r="G450" s="2" t="s">
        <v>13</v>
      </c>
      <c r="H450" s="2" t="s">
        <v>42</v>
      </c>
      <c r="I450" s="1" t="s">
        <v>11</v>
      </c>
      <c r="J450" s="1" t="s">
        <v>8</v>
      </c>
      <c r="K450" s="89">
        <v>17600</v>
      </c>
      <c r="L450" s="3">
        <v>56.93</v>
      </c>
      <c r="M450" s="3">
        <v>10.050000000000001</v>
      </c>
      <c r="N450" s="3" t="s">
        <v>8</v>
      </c>
      <c r="O450" s="3" t="s">
        <v>8</v>
      </c>
    </row>
    <row r="451" spans="1:15" x14ac:dyDescent="0.35">
      <c r="A451" s="5" t="str">
        <f>Loads[[#This Row],[Date]]&amp;Loads[[#This Row],[Product]]</f>
        <v>44228Product2</v>
      </c>
      <c r="B451" s="5">
        <f>COUNTIF($A$1:A451,Loads[[#This Row],[Load]])</f>
        <v>1</v>
      </c>
      <c r="C451" s="3" t="str">
        <f>Loads[[#This Row],[Load]]&amp;Loads[[#This Row],[Count]]</f>
        <v>44228Product21</v>
      </c>
      <c r="D451" s="90">
        <v>44228</v>
      </c>
      <c r="E451" s="143">
        <v>5.2777777777777778E-2</v>
      </c>
      <c r="F451" s="1" t="s">
        <v>9</v>
      </c>
      <c r="G451" s="2" t="s">
        <v>13</v>
      </c>
      <c r="H451" s="2" t="s">
        <v>42</v>
      </c>
      <c r="I451" s="1" t="s">
        <v>11</v>
      </c>
      <c r="J451" s="1" t="s">
        <v>8</v>
      </c>
      <c r="K451" s="89">
        <v>11760</v>
      </c>
      <c r="L451" s="3">
        <v>61.37</v>
      </c>
      <c r="M451" s="3">
        <v>9.89</v>
      </c>
      <c r="N451" s="3" t="s">
        <v>8</v>
      </c>
      <c r="O451" s="3" t="s">
        <v>8</v>
      </c>
    </row>
    <row r="452" spans="1:15" x14ac:dyDescent="0.35">
      <c r="A452" s="5" t="str">
        <f>Loads[[#This Row],[Date]]&amp;Loads[[#This Row],[Product]]</f>
        <v>44228Product2</v>
      </c>
      <c r="B452" s="5">
        <f>COUNTIF($A$1:A452,Loads[[#This Row],[Load]])</f>
        <v>2</v>
      </c>
      <c r="C452" s="3" t="str">
        <f>Loads[[#This Row],[Load]]&amp;Loads[[#This Row],[Count]]</f>
        <v>44228Product22</v>
      </c>
      <c r="D452" s="90">
        <v>44228</v>
      </c>
      <c r="E452" s="143">
        <v>0.875</v>
      </c>
      <c r="F452" s="1" t="s">
        <v>9</v>
      </c>
      <c r="G452" s="2" t="s">
        <v>13</v>
      </c>
      <c r="H452" s="2" t="s">
        <v>42</v>
      </c>
      <c r="I452" s="1" t="s">
        <v>11</v>
      </c>
      <c r="J452" s="1" t="s">
        <v>8</v>
      </c>
      <c r="K452" s="89">
        <v>10000</v>
      </c>
      <c r="L452" s="3">
        <v>58</v>
      </c>
      <c r="M452" s="3">
        <v>10.039999999999999</v>
      </c>
      <c r="N452" s="3" t="s">
        <v>8</v>
      </c>
      <c r="O452" s="3" t="s">
        <v>8</v>
      </c>
    </row>
    <row r="453" spans="1:15" x14ac:dyDescent="0.35">
      <c r="A453" s="5" t="str">
        <f>Loads[[#This Row],[Date]]&amp;Loads[[#This Row],[Product]]</f>
        <v>44228Product2</v>
      </c>
      <c r="B453" s="5">
        <f>COUNTIF($A$1:A453,Loads[[#This Row],[Load]])</f>
        <v>3</v>
      </c>
      <c r="C453" s="3" t="str">
        <f>Loads[[#This Row],[Load]]&amp;Loads[[#This Row],[Count]]</f>
        <v>44228Product23</v>
      </c>
      <c r="D453" s="90">
        <v>44228</v>
      </c>
      <c r="E453" s="143">
        <v>0.74236111111111114</v>
      </c>
      <c r="F453" s="1" t="s">
        <v>9</v>
      </c>
      <c r="G453" s="2" t="s">
        <v>13</v>
      </c>
      <c r="H453" s="2" t="s">
        <v>42</v>
      </c>
      <c r="I453" s="1" t="s">
        <v>11</v>
      </c>
      <c r="J453" s="1" t="s">
        <v>8</v>
      </c>
      <c r="K453" s="89">
        <v>11500</v>
      </c>
      <c r="L453" s="3">
        <v>60.99</v>
      </c>
      <c r="M453" s="3">
        <v>10.77</v>
      </c>
      <c r="N453" s="3" t="s">
        <v>8</v>
      </c>
      <c r="O453" s="3" t="s">
        <v>8</v>
      </c>
    </row>
    <row r="454" spans="1:15" x14ac:dyDescent="0.35">
      <c r="A454" s="5" t="str">
        <f>Loads[[#This Row],[Date]]&amp;Loads[[#This Row],[Product]]</f>
        <v>44228Product2</v>
      </c>
      <c r="B454" s="5">
        <f>COUNTIF($A$1:A454,Loads[[#This Row],[Load]])</f>
        <v>4</v>
      </c>
      <c r="C454" s="3" t="str">
        <f>Loads[[#This Row],[Load]]&amp;Loads[[#This Row],[Count]]</f>
        <v>44228Product24</v>
      </c>
      <c r="D454" s="90">
        <v>44228</v>
      </c>
      <c r="E454" s="143">
        <v>0.4680555555555555</v>
      </c>
      <c r="F454" s="1" t="s">
        <v>9</v>
      </c>
      <c r="G454" s="2" t="s">
        <v>13</v>
      </c>
      <c r="H454" s="2" t="s">
        <v>42</v>
      </c>
      <c r="I454" s="1" t="s">
        <v>11</v>
      </c>
      <c r="J454" s="1" t="s">
        <v>8</v>
      </c>
      <c r="K454" s="89">
        <v>15220</v>
      </c>
      <c r="L454" s="3">
        <v>67.349999999999994</v>
      </c>
      <c r="M454" s="3">
        <v>9.74</v>
      </c>
      <c r="N454" s="3" t="s">
        <v>8</v>
      </c>
      <c r="O454" s="3" t="s">
        <v>8</v>
      </c>
    </row>
    <row r="455" spans="1:15" x14ac:dyDescent="0.35">
      <c r="A455" s="5" t="str">
        <f>Loads[[#This Row],[Date]]&amp;Loads[[#This Row],[Product]]</f>
        <v>44228Product2</v>
      </c>
      <c r="B455" s="5">
        <f>COUNTIF($A$1:A455,Loads[[#This Row],[Load]])</f>
        <v>5</v>
      </c>
      <c r="C455" s="3" t="str">
        <f>Loads[[#This Row],[Load]]&amp;Loads[[#This Row],[Count]]</f>
        <v>44228Product25</v>
      </c>
      <c r="D455" s="90">
        <v>44228</v>
      </c>
      <c r="E455" s="143">
        <v>0.58888888888888891</v>
      </c>
      <c r="F455" s="1" t="s">
        <v>9</v>
      </c>
      <c r="G455" s="2" t="s">
        <v>13</v>
      </c>
      <c r="H455" s="2" t="s">
        <v>42</v>
      </c>
      <c r="I455" s="1" t="s">
        <v>11</v>
      </c>
      <c r="J455" s="1" t="s">
        <v>8</v>
      </c>
      <c r="K455" s="89">
        <v>9620</v>
      </c>
      <c r="L455" s="3">
        <v>55.71</v>
      </c>
      <c r="M455" s="3">
        <v>11.02</v>
      </c>
      <c r="N455" s="3" t="s">
        <v>8</v>
      </c>
      <c r="O455" s="3" t="s">
        <v>8</v>
      </c>
    </row>
    <row r="456" spans="1:15" x14ac:dyDescent="0.35">
      <c r="A456" s="5" t="str">
        <f>Loads[[#This Row],[Date]]&amp;Loads[[#This Row],[Product]]</f>
        <v>44229Product2</v>
      </c>
      <c r="B456" s="5">
        <f>COUNTIF($A$1:A456,Loads[[#This Row],[Load]])</f>
        <v>1</v>
      </c>
      <c r="C456" s="3" t="str">
        <f>Loads[[#This Row],[Load]]&amp;Loads[[#This Row],[Count]]</f>
        <v>44229Product21</v>
      </c>
      <c r="D456" s="90">
        <v>44229</v>
      </c>
      <c r="E456" s="143">
        <v>0.20833333333333334</v>
      </c>
      <c r="F456" s="1" t="s">
        <v>9</v>
      </c>
      <c r="G456" s="2" t="s">
        <v>13</v>
      </c>
      <c r="H456" s="2" t="s">
        <v>42</v>
      </c>
      <c r="I456" s="1" t="s">
        <v>11</v>
      </c>
      <c r="J456" s="1" t="s">
        <v>8</v>
      </c>
      <c r="K456" s="89">
        <v>17100</v>
      </c>
      <c r="L456" s="3">
        <v>55.74</v>
      </c>
      <c r="M456" s="3">
        <v>10.16</v>
      </c>
      <c r="N456" s="3" t="s">
        <v>8</v>
      </c>
      <c r="O456" s="3" t="s">
        <v>8</v>
      </c>
    </row>
    <row r="457" spans="1:15" x14ac:dyDescent="0.35">
      <c r="A457" s="5" t="str">
        <f>Loads[[#This Row],[Date]]&amp;Loads[[#This Row],[Product]]</f>
        <v>44229Product2</v>
      </c>
      <c r="B457" s="5">
        <f>COUNTIF($A$1:A457,Loads[[#This Row],[Load]])</f>
        <v>2</v>
      </c>
      <c r="C457" s="3" t="str">
        <f>Loads[[#This Row],[Load]]&amp;Loads[[#This Row],[Count]]</f>
        <v>44229Product22</v>
      </c>
      <c r="D457" s="90">
        <v>44229</v>
      </c>
      <c r="E457" s="143">
        <v>0.67708333333333337</v>
      </c>
      <c r="F457" s="1" t="s">
        <v>9</v>
      </c>
      <c r="G457" s="2" t="s">
        <v>13</v>
      </c>
      <c r="H457" s="2" t="s">
        <v>42</v>
      </c>
      <c r="I457" s="1" t="s">
        <v>11</v>
      </c>
      <c r="J457" s="1" t="s">
        <v>8</v>
      </c>
      <c r="K457" s="89">
        <v>10200</v>
      </c>
      <c r="L457" s="3">
        <v>59.67</v>
      </c>
      <c r="M457" s="3">
        <v>10.61</v>
      </c>
      <c r="N457" s="3" t="s">
        <v>8</v>
      </c>
      <c r="O457" s="3" t="s">
        <v>8</v>
      </c>
    </row>
    <row r="458" spans="1:15" x14ac:dyDescent="0.35">
      <c r="A458" s="5" t="str">
        <f>Loads[[#This Row],[Date]]&amp;Loads[[#This Row],[Product]]</f>
        <v>44229Product2</v>
      </c>
      <c r="B458" s="5">
        <f>COUNTIF($A$1:A458,Loads[[#This Row],[Load]])</f>
        <v>3</v>
      </c>
      <c r="C458" s="3" t="str">
        <f>Loads[[#This Row],[Load]]&amp;Loads[[#This Row],[Count]]</f>
        <v>44229Product23</v>
      </c>
      <c r="D458" s="90">
        <v>44229</v>
      </c>
      <c r="E458" s="143">
        <v>0.5083333333333333</v>
      </c>
      <c r="F458" s="1" t="s">
        <v>9</v>
      </c>
      <c r="G458" s="2" t="s">
        <v>13</v>
      </c>
      <c r="H458" s="2" t="s">
        <v>42</v>
      </c>
      <c r="I458" s="1" t="s">
        <v>11</v>
      </c>
      <c r="J458" s="1" t="s">
        <v>8</v>
      </c>
      <c r="K458" s="89">
        <v>17140</v>
      </c>
      <c r="L458" s="3">
        <v>60.12</v>
      </c>
      <c r="M458" s="3">
        <v>9.9700000000000006</v>
      </c>
      <c r="N458" s="3" t="s">
        <v>8</v>
      </c>
      <c r="O458" s="3" t="s">
        <v>8</v>
      </c>
    </row>
    <row r="459" spans="1:15" x14ac:dyDescent="0.35">
      <c r="A459" s="5" t="str">
        <f>Loads[[#This Row],[Date]]&amp;Loads[[#This Row],[Product]]</f>
        <v>44229Product2</v>
      </c>
      <c r="B459" s="5">
        <f>COUNTIF($A$1:A459,Loads[[#This Row],[Load]])</f>
        <v>4</v>
      </c>
      <c r="C459" s="3" t="str">
        <f>Loads[[#This Row],[Load]]&amp;Loads[[#This Row],[Count]]</f>
        <v>44229Product24</v>
      </c>
      <c r="D459" s="90">
        <v>44229</v>
      </c>
      <c r="E459" s="143">
        <v>3.4027777777777775E-2</v>
      </c>
      <c r="F459" s="1" t="s">
        <v>9</v>
      </c>
      <c r="G459" s="2" t="s">
        <v>13</v>
      </c>
      <c r="H459" s="2" t="s">
        <v>42</v>
      </c>
      <c r="I459" s="1" t="s">
        <v>11</v>
      </c>
      <c r="J459" s="1" t="s">
        <v>8</v>
      </c>
      <c r="K459" s="89">
        <v>12660</v>
      </c>
      <c r="L459" s="3">
        <v>59.8</v>
      </c>
      <c r="M459" s="3">
        <v>10.26</v>
      </c>
      <c r="N459" s="3" t="s">
        <v>8</v>
      </c>
      <c r="O459" s="3" t="s">
        <v>8</v>
      </c>
    </row>
    <row r="460" spans="1:15" x14ac:dyDescent="0.35">
      <c r="A460" s="5" t="str">
        <f>Loads[[#This Row],[Date]]&amp;Loads[[#This Row],[Product]]</f>
        <v>44229Product2</v>
      </c>
      <c r="B460" s="5">
        <f>COUNTIF($A$1:A460,Loads[[#This Row],[Load]])</f>
        <v>5</v>
      </c>
      <c r="C460" s="3" t="str">
        <f>Loads[[#This Row],[Load]]&amp;Loads[[#This Row],[Count]]</f>
        <v>44229Product25</v>
      </c>
      <c r="D460" s="90">
        <v>44229</v>
      </c>
      <c r="E460" s="143">
        <v>0.87986111111111109</v>
      </c>
      <c r="F460" s="1" t="s">
        <v>9</v>
      </c>
      <c r="G460" s="2" t="s">
        <v>13</v>
      </c>
      <c r="H460" s="2" t="s">
        <v>42</v>
      </c>
      <c r="I460" s="1" t="s">
        <v>11</v>
      </c>
      <c r="J460" s="1" t="s">
        <v>8</v>
      </c>
      <c r="K460" s="89">
        <v>17320</v>
      </c>
      <c r="L460" s="3">
        <v>59.95</v>
      </c>
      <c r="M460" s="3">
        <v>9.6</v>
      </c>
      <c r="N460" s="3" t="s">
        <v>8</v>
      </c>
      <c r="O460" s="3" t="s">
        <v>8</v>
      </c>
    </row>
    <row r="461" spans="1:15" x14ac:dyDescent="0.35">
      <c r="A461" s="5" t="str">
        <f>Loads[[#This Row],[Date]]&amp;Loads[[#This Row],[Product]]</f>
        <v>44230Product2</v>
      </c>
      <c r="B461" s="5">
        <f>COUNTIF($A$1:A461,Loads[[#This Row],[Load]])</f>
        <v>1</v>
      </c>
      <c r="C461" s="3" t="str">
        <f>Loads[[#This Row],[Load]]&amp;Loads[[#This Row],[Count]]</f>
        <v>44230Product21</v>
      </c>
      <c r="D461" s="90">
        <v>44230</v>
      </c>
      <c r="E461" s="143">
        <v>0.17569444444444446</v>
      </c>
      <c r="F461" s="1" t="s">
        <v>9</v>
      </c>
      <c r="G461" s="2" t="s">
        <v>13</v>
      </c>
      <c r="H461" s="2" t="s">
        <v>42</v>
      </c>
      <c r="I461" s="1" t="s">
        <v>11</v>
      </c>
      <c r="J461" s="1" t="s">
        <v>8</v>
      </c>
      <c r="K461" s="89">
        <v>11080</v>
      </c>
      <c r="L461" s="3">
        <v>61.01</v>
      </c>
      <c r="M461" s="3">
        <v>10.87</v>
      </c>
      <c r="N461" s="3" t="s">
        <v>8</v>
      </c>
      <c r="O461" s="3" t="s">
        <v>8</v>
      </c>
    </row>
    <row r="462" spans="1:15" x14ac:dyDescent="0.35">
      <c r="A462" s="5" t="str">
        <f>Loads[[#This Row],[Date]]&amp;Loads[[#This Row],[Product]]</f>
        <v>44230Product2</v>
      </c>
      <c r="B462" s="5">
        <f>COUNTIF($A$1:A462,Loads[[#This Row],[Load]])</f>
        <v>2</v>
      </c>
      <c r="C462" s="3" t="str">
        <f>Loads[[#This Row],[Load]]&amp;Loads[[#This Row],[Count]]</f>
        <v>44230Product22</v>
      </c>
      <c r="D462" s="90">
        <v>44230</v>
      </c>
      <c r="E462" s="143">
        <v>0.17569444444444446</v>
      </c>
      <c r="F462" s="1" t="s">
        <v>9</v>
      </c>
      <c r="G462" s="2" t="s">
        <v>13</v>
      </c>
      <c r="H462" s="2" t="s">
        <v>42</v>
      </c>
      <c r="I462" s="1" t="s">
        <v>11</v>
      </c>
      <c r="J462" s="1" t="s">
        <v>8</v>
      </c>
      <c r="K462" s="89">
        <v>10900</v>
      </c>
      <c r="L462" s="3">
        <v>58.62</v>
      </c>
      <c r="M462" s="3">
        <v>10.85</v>
      </c>
      <c r="N462" s="3" t="s">
        <v>8</v>
      </c>
      <c r="O462" s="3" t="s">
        <v>8</v>
      </c>
    </row>
    <row r="463" spans="1:15" x14ac:dyDescent="0.35">
      <c r="A463" s="5" t="str">
        <f>Loads[[#This Row],[Date]]&amp;Loads[[#This Row],[Product]]</f>
        <v>44230Product2</v>
      </c>
      <c r="B463" s="5">
        <f>COUNTIF($A$1:A463,Loads[[#This Row],[Load]])</f>
        <v>3</v>
      </c>
      <c r="C463" s="3" t="str">
        <f>Loads[[#This Row],[Load]]&amp;Loads[[#This Row],[Count]]</f>
        <v>44230Product23</v>
      </c>
      <c r="D463" s="90">
        <v>44230</v>
      </c>
      <c r="E463" s="143">
        <v>0.1763888888888889</v>
      </c>
      <c r="F463" s="1" t="s">
        <v>9</v>
      </c>
      <c r="G463" s="2" t="s">
        <v>13</v>
      </c>
      <c r="H463" s="2" t="s">
        <v>42</v>
      </c>
      <c r="I463" s="1" t="s">
        <v>11</v>
      </c>
      <c r="J463" s="1" t="s">
        <v>8</v>
      </c>
      <c r="K463" s="89">
        <v>11780</v>
      </c>
      <c r="L463" s="3">
        <v>61.17</v>
      </c>
      <c r="M463" s="3">
        <v>10.06</v>
      </c>
      <c r="N463" s="3" t="s">
        <v>8</v>
      </c>
      <c r="O463" s="3" t="s">
        <v>8</v>
      </c>
    </row>
    <row r="464" spans="1:15" x14ac:dyDescent="0.35">
      <c r="A464" s="5" t="str">
        <f>Loads[[#This Row],[Date]]&amp;Loads[[#This Row],[Product]]</f>
        <v>44230Product2</v>
      </c>
      <c r="B464" s="5">
        <f>COUNTIF($A$1:A464,Loads[[#This Row],[Load]])</f>
        <v>4</v>
      </c>
      <c r="C464" s="3" t="str">
        <f>Loads[[#This Row],[Load]]&amp;Loads[[#This Row],[Count]]</f>
        <v>44230Product24</v>
      </c>
      <c r="D464" s="90">
        <v>44230</v>
      </c>
      <c r="E464" s="143">
        <v>0.17708333333333334</v>
      </c>
      <c r="F464" s="1" t="s">
        <v>9</v>
      </c>
      <c r="G464" s="2" t="s">
        <v>13</v>
      </c>
      <c r="H464" s="2" t="s">
        <v>42</v>
      </c>
      <c r="I464" s="1" t="s">
        <v>11</v>
      </c>
      <c r="J464" s="1" t="s">
        <v>8</v>
      </c>
      <c r="K464" s="89">
        <v>11480</v>
      </c>
      <c r="L464" s="3">
        <v>61.18</v>
      </c>
      <c r="M464" s="3">
        <v>10.17</v>
      </c>
      <c r="N464" s="3" t="s">
        <v>8</v>
      </c>
      <c r="O464" s="3" t="s">
        <v>8</v>
      </c>
    </row>
    <row r="465" spans="1:15" x14ac:dyDescent="0.35">
      <c r="A465" s="5" t="str">
        <f>Loads[[#This Row],[Date]]&amp;Loads[[#This Row],[Product]]</f>
        <v>44230Product2</v>
      </c>
      <c r="B465" s="5">
        <f>COUNTIF($A$1:A465,Loads[[#This Row],[Load]])</f>
        <v>5</v>
      </c>
      <c r="C465" s="3" t="str">
        <f>Loads[[#This Row],[Load]]&amp;Loads[[#This Row],[Count]]</f>
        <v>44230Product25</v>
      </c>
      <c r="D465" s="90">
        <v>44230</v>
      </c>
      <c r="E465" s="143">
        <v>0.17777777777777778</v>
      </c>
      <c r="F465" s="1" t="s">
        <v>9</v>
      </c>
      <c r="G465" s="2" t="s">
        <v>13</v>
      </c>
      <c r="H465" s="2" t="s">
        <v>42</v>
      </c>
      <c r="I465" s="1" t="s">
        <v>11</v>
      </c>
      <c r="J465" s="1" t="s">
        <v>8</v>
      </c>
      <c r="K465" s="89">
        <v>16100</v>
      </c>
      <c r="L465" s="3">
        <v>58.09</v>
      </c>
      <c r="M465" s="3">
        <v>10.53</v>
      </c>
      <c r="N465" s="3" t="s">
        <v>8</v>
      </c>
      <c r="O465" s="3" t="s">
        <v>8</v>
      </c>
    </row>
    <row r="466" spans="1:15" x14ac:dyDescent="0.35">
      <c r="A466" s="5" t="str">
        <f>Loads[[#This Row],[Date]]&amp;Loads[[#This Row],[Product]]</f>
        <v>44230Product2</v>
      </c>
      <c r="B466" s="5">
        <f>COUNTIF($A$1:A466,Loads[[#This Row],[Load]])</f>
        <v>6</v>
      </c>
      <c r="C466" s="3" t="str">
        <f>Loads[[#This Row],[Load]]&amp;Loads[[#This Row],[Count]]</f>
        <v>44230Product26</v>
      </c>
      <c r="D466" s="90">
        <v>44230</v>
      </c>
      <c r="E466" s="143">
        <v>0.17847222222222223</v>
      </c>
      <c r="F466" s="1" t="s">
        <v>9</v>
      </c>
      <c r="G466" s="2" t="s">
        <v>13</v>
      </c>
      <c r="H466" s="2" t="s">
        <v>42</v>
      </c>
      <c r="I466" s="1" t="s">
        <v>11</v>
      </c>
      <c r="J466" s="1" t="s">
        <v>8</v>
      </c>
      <c r="K466" s="89">
        <v>10720</v>
      </c>
      <c r="L466" s="3">
        <v>60.1</v>
      </c>
      <c r="M466" s="3">
        <v>11.55</v>
      </c>
      <c r="N466" s="3" t="s">
        <v>8</v>
      </c>
      <c r="O466" s="3" t="s">
        <v>8</v>
      </c>
    </row>
    <row r="467" spans="1:15" x14ac:dyDescent="0.35">
      <c r="A467" s="5" t="str">
        <f>Loads[[#This Row],[Date]]&amp;Loads[[#This Row],[Product]]</f>
        <v>44230Product2</v>
      </c>
      <c r="B467" s="5">
        <f>COUNTIF($A$1:A467,Loads[[#This Row],[Load]])</f>
        <v>7</v>
      </c>
      <c r="C467" s="3" t="str">
        <f>Loads[[#This Row],[Load]]&amp;Loads[[#This Row],[Count]]</f>
        <v>44230Product27</v>
      </c>
      <c r="D467" s="90">
        <v>44230</v>
      </c>
      <c r="E467" s="143">
        <v>0.17916666666666667</v>
      </c>
      <c r="F467" s="1" t="s">
        <v>9</v>
      </c>
      <c r="G467" s="2" t="s">
        <v>13</v>
      </c>
      <c r="H467" s="2" t="s">
        <v>42</v>
      </c>
      <c r="I467" s="1" t="s">
        <v>11</v>
      </c>
      <c r="J467" s="1" t="s">
        <v>8</v>
      </c>
      <c r="K467" s="89">
        <v>10820</v>
      </c>
      <c r="L467" s="3">
        <v>59.46</v>
      </c>
      <c r="M467" s="3">
        <v>11.13</v>
      </c>
      <c r="N467" s="3" t="s">
        <v>8</v>
      </c>
      <c r="O467" s="3" t="s">
        <v>8</v>
      </c>
    </row>
    <row r="468" spans="1:15" x14ac:dyDescent="0.35">
      <c r="A468" s="5" t="str">
        <f>Loads[[#This Row],[Date]]&amp;Loads[[#This Row],[Product]]</f>
        <v>44230Product2</v>
      </c>
      <c r="B468" s="5">
        <f>COUNTIF($A$1:A468,Loads[[#This Row],[Load]])</f>
        <v>8</v>
      </c>
      <c r="C468" s="3" t="str">
        <f>Loads[[#This Row],[Load]]&amp;Loads[[#This Row],[Count]]</f>
        <v>44230Product28</v>
      </c>
      <c r="D468" s="90">
        <v>44230</v>
      </c>
      <c r="E468" s="143">
        <v>0.17916666666666667</v>
      </c>
      <c r="F468" s="1" t="s">
        <v>9</v>
      </c>
      <c r="G468" s="2" t="s">
        <v>13</v>
      </c>
      <c r="H468" s="2" t="s">
        <v>42</v>
      </c>
      <c r="I468" s="1" t="s">
        <v>11</v>
      </c>
      <c r="J468" s="1" t="s">
        <v>8</v>
      </c>
      <c r="K468" s="89">
        <v>17260</v>
      </c>
      <c r="L468" s="3">
        <v>57.91</v>
      </c>
      <c r="M468" s="3">
        <v>12.07</v>
      </c>
      <c r="N468" s="3" t="s">
        <v>8</v>
      </c>
      <c r="O468" s="3" t="s">
        <v>8</v>
      </c>
    </row>
    <row r="469" spans="1:15" x14ac:dyDescent="0.35">
      <c r="A469" s="5" t="str">
        <f>Loads[[#This Row],[Date]]&amp;Loads[[#This Row],[Product]]</f>
        <v>44231Product2</v>
      </c>
      <c r="B469" s="5">
        <f>COUNTIF($A$1:A469,Loads[[#This Row],[Load]])</f>
        <v>1</v>
      </c>
      <c r="C469" s="3" t="str">
        <f>Loads[[#This Row],[Load]]&amp;Loads[[#This Row],[Count]]</f>
        <v>44231Product21</v>
      </c>
      <c r="D469" s="90">
        <v>44231</v>
      </c>
      <c r="E469" s="143">
        <v>0.13125000000000001</v>
      </c>
      <c r="F469" s="1" t="s">
        <v>9</v>
      </c>
      <c r="G469" s="2" t="s">
        <v>13</v>
      </c>
      <c r="H469" s="2" t="s">
        <v>42</v>
      </c>
      <c r="I469" s="1" t="s">
        <v>11</v>
      </c>
      <c r="J469" s="1" t="s">
        <v>8</v>
      </c>
      <c r="K469" s="89">
        <v>11320</v>
      </c>
      <c r="L469" s="3">
        <v>59.85</v>
      </c>
      <c r="M469" s="3">
        <v>12.69</v>
      </c>
      <c r="N469" s="3" t="s">
        <v>8</v>
      </c>
      <c r="O469" s="3" t="s">
        <v>8</v>
      </c>
    </row>
    <row r="470" spans="1:15" x14ac:dyDescent="0.35">
      <c r="A470" s="5" t="str">
        <f>Loads[[#This Row],[Date]]&amp;Loads[[#This Row],[Product]]</f>
        <v>44231Product2</v>
      </c>
      <c r="B470" s="5">
        <f>COUNTIF($A$1:A470,Loads[[#This Row],[Load]])</f>
        <v>2</v>
      </c>
      <c r="C470" s="3" t="str">
        <f>Loads[[#This Row],[Load]]&amp;Loads[[#This Row],[Count]]</f>
        <v>44231Product22</v>
      </c>
      <c r="D470" s="90">
        <v>44231</v>
      </c>
      <c r="E470" s="143">
        <v>0.13125000000000001</v>
      </c>
      <c r="F470" s="1" t="s">
        <v>9</v>
      </c>
      <c r="G470" s="2" t="s">
        <v>13</v>
      </c>
      <c r="H470" s="2" t="s">
        <v>42</v>
      </c>
      <c r="I470" s="1" t="s">
        <v>11</v>
      </c>
      <c r="J470" s="1" t="s">
        <v>8</v>
      </c>
      <c r="K470" s="89">
        <v>11580</v>
      </c>
      <c r="L470" s="3">
        <v>59.46</v>
      </c>
      <c r="M470" s="3">
        <v>11.13</v>
      </c>
      <c r="N470" s="3" t="s">
        <v>8</v>
      </c>
      <c r="O470" s="3" t="s">
        <v>8</v>
      </c>
    </row>
    <row r="471" spans="1:15" x14ac:dyDescent="0.35">
      <c r="A471" s="5" t="str">
        <f>Loads[[#This Row],[Date]]&amp;Loads[[#This Row],[Product]]</f>
        <v>44231Product2</v>
      </c>
      <c r="B471" s="5">
        <f>COUNTIF($A$1:A471,Loads[[#This Row],[Load]])</f>
        <v>3</v>
      </c>
      <c r="C471" s="3" t="str">
        <f>Loads[[#This Row],[Load]]&amp;Loads[[#This Row],[Count]]</f>
        <v>44231Product23</v>
      </c>
      <c r="D471" s="90">
        <v>44231</v>
      </c>
      <c r="E471" s="143">
        <v>0.13194444444444445</v>
      </c>
      <c r="F471" s="1" t="s">
        <v>9</v>
      </c>
      <c r="G471" s="2" t="s">
        <v>13</v>
      </c>
      <c r="H471" s="2" t="s">
        <v>42</v>
      </c>
      <c r="I471" s="1" t="s">
        <v>11</v>
      </c>
      <c r="J471" s="1" t="s">
        <v>8</v>
      </c>
      <c r="K471" s="89">
        <v>11060</v>
      </c>
      <c r="L471" s="3">
        <v>58.56</v>
      </c>
      <c r="M471" s="3">
        <v>10.79</v>
      </c>
      <c r="N471" s="3" t="s">
        <v>8</v>
      </c>
      <c r="O471" s="3" t="s">
        <v>8</v>
      </c>
    </row>
    <row r="472" spans="1:15" x14ac:dyDescent="0.35">
      <c r="A472" s="5" t="str">
        <f>Loads[[#This Row],[Date]]&amp;Loads[[#This Row],[Product]]</f>
        <v>44231Product2</v>
      </c>
      <c r="B472" s="5">
        <f>COUNTIF($A$1:A472,Loads[[#This Row],[Load]])</f>
        <v>4</v>
      </c>
      <c r="C472" s="3" t="str">
        <f>Loads[[#This Row],[Load]]&amp;Loads[[#This Row],[Count]]</f>
        <v>44231Product24</v>
      </c>
      <c r="D472" s="90">
        <v>44231</v>
      </c>
      <c r="E472" s="143">
        <v>0.13263888888888889</v>
      </c>
      <c r="F472" s="1" t="s">
        <v>9</v>
      </c>
      <c r="G472" s="2" t="s">
        <v>13</v>
      </c>
      <c r="H472" s="2" t="s">
        <v>42</v>
      </c>
      <c r="I472" s="1" t="s">
        <v>11</v>
      </c>
      <c r="J472" s="1" t="s">
        <v>8</v>
      </c>
      <c r="K472" s="89">
        <v>16940</v>
      </c>
      <c r="L472" s="3">
        <v>59.14</v>
      </c>
      <c r="M472" s="3">
        <v>8.8000000000000007</v>
      </c>
      <c r="N472" s="3" t="s">
        <v>8</v>
      </c>
      <c r="O472" s="3" t="s">
        <v>8</v>
      </c>
    </row>
    <row r="473" spans="1:15" x14ac:dyDescent="0.35">
      <c r="A473" s="5" t="str">
        <f>Loads[[#This Row],[Date]]&amp;Loads[[#This Row],[Product]]</f>
        <v>44231Product2</v>
      </c>
      <c r="B473" s="5">
        <f>COUNTIF($A$1:A473,Loads[[#This Row],[Load]])</f>
        <v>5</v>
      </c>
      <c r="C473" s="3" t="str">
        <f>Loads[[#This Row],[Load]]&amp;Loads[[#This Row],[Count]]</f>
        <v>44231Product25</v>
      </c>
      <c r="D473" s="90">
        <v>44231</v>
      </c>
      <c r="E473" s="143">
        <v>0.13472222222222222</v>
      </c>
      <c r="F473" s="1" t="s">
        <v>9</v>
      </c>
      <c r="G473" s="2" t="s">
        <v>13</v>
      </c>
      <c r="H473" s="2" t="s">
        <v>42</v>
      </c>
      <c r="I473" s="1" t="s">
        <v>11</v>
      </c>
      <c r="J473" s="1" t="s">
        <v>8</v>
      </c>
      <c r="K473" s="89">
        <v>10760</v>
      </c>
      <c r="L473" s="3">
        <v>59.44</v>
      </c>
      <c r="M473" s="3">
        <v>9.33</v>
      </c>
      <c r="N473" s="3" t="s">
        <v>8</v>
      </c>
      <c r="O473" s="3" t="s">
        <v>8</v>
      </c>
    </row>
    <row r="474" spans="1:15" x14ac:dyDescent="0.35">
      <c r="A474" s="5" t="str">
        <f>Loads[[#This Row],[Date]]&amp;Loads[[#This Row],[Product]]</f>
        <v>44231Product2</v>
      </c>
      <c r="B474" s="5">
        <f>COUNTIF($A$1:A474,Loads[[#This Row],[Load]])</f>
        <v>6</v>
      </c>
      <c r="C474" s="3" t="str">
        <f>Loads[[#This Row],[Load]]&amp;Loads[[#This Row],[Count]]</f>
        <v>44231Product26</v>
      </c>
      <c r="D474" s="90">
        <v>44231</v>
      </c>
      <c r="E474" s="143">
        <v>0.13541666666666666</v>
      </c>
      <c r="F474" s="1" t="s">
        <v>9</v>
      </c>
      <c r="G474" s="2" t="s">
        <v>13</v>
      </c>
      <c r="H474" s="2" t="s">
        <v>42</v>
      </c>
      <c r="I474" s="1" t="s">
        <v>11</v>
      </c>
      <c r="J474" s="1" t="s">
        <v>8</v>
      </c>
      <c r="K474" s="89">
        <v>11100</v>
      </c>
      <c r="L474" s="3">
        <v>58.68</v>
      </c>
      <c r="M474" s="3">
        <v>9.34</v>
      </c>
      <c r="N474" s="3" t="s">
        <v>8</v>
      </c>
      <c r="O474" s="3" t="s">
        <v>8</v>
      </c>
    </row>
    <row r="475" spans="1:15" x14ac:dyDescent="0.35">
      <c r="A475" s="5" t="str">
        <f>Loads[[#This Row],[Date]]&amp;Loads[[#This Row],[Product]]</f>
        <v>44231Product2</v>
      </c>
      <c r="B475" s="5">
        <f>COUNTIF($A$1:A475,Loads[[#This Row],[Load]])</f>
        <v>7</v>
      </c>
      <c r="C475" s="3" t="str">
        <f>Loads[[#This Row],[Load]]&amp;Loads[[#This Row],[Count]]</f>
        <v>44231Product27</v>
      </c>
      <c r="D475" s="90">
        <v>44231</v>
      </c>
      <c r="E475" s="143">
        <v>0.20833333333333334</v>
      </c>
      <c r="F475" s="1" t="s">
        <v>9</v>
      </c>
      <c r="G475" s="2" t="s">
        <v>13</v>
      </c>
      <c r="H475" s="2" t="s">
        <v>42</v>
      </c>
      <c r="I475" s="1" t="s">
        <v>11</v>
      </c>
      <c r="J475" s="1" t="s">
        <v>8</v>
      </c>
      <c r="K475" s="89">
        <v>10060</v>
      </c>
      <c r="L475" s="3">
        <v>57.72</v>
      </c>
      <c r="M475" s="3">
        <v>6.79</v>
      </c>
      <c r="N475" s="3" t="s">
        <v>8</v>
      </c>
      <c r="O475" s="3" t="s">
        <v>8</v>
      </c>
    </row>
    <row r="476" spans="1:15" x14ac:dyDescent="0.35">
      <c r="A476" s="5" t="str">
        <f>Loads[[#This Row],[Date]]&amp;Loads[[#This Row],[Product]]</f>
        <v>44231Product2</v>
      </c>
      <c r="B476" s="5">
        <f>COUNTIF($A$1:A476,Loads[[#This Row],[Load]])</f>
        <v>8</v>
      </c>
      <c r="C476" s="3" t="str">
        <f>Loads[[#This Row],[Load]]&amp;Loads[[#This Row],[Count]]</f>
        <v>44231Product28</v>
      </c>
      <c r="D476" s="90">
        <v>44231</v>
      </c>
      <c r="E476" s="143">
        <v>0.20902777777777778</v>
      </c>
      <c r="F476" s="1" t="s">
        <v>9</v>
      </c>
      <c r="G476" s="2" t="s">
        <v>13</v>
      </c>
      <c r="H476" s="2" t="s">
        <v>42</v>
      </c>
      <c r="I476" s="1" t="s">
        <v>11</v>
      </c>
      <c r="J476" s="1" t="s">
        <v>8</v>
      </c>
      <c r="K476" s="89">
        <v>11260</v>
      </c>
      <c r="L476" s="3">
        <v>59.3</v>
      </c>
      <c r="M476" s="3">
        <v>10.08</v>
      </c>
      <c r="N476" s="3" t="s">
        <v>8</v>
      </c>
      <c r="O476" s="3" t="s">
        <v>8</v>
      </c>
    </row>
    <row r="477" spans="1:15" x14ac:dyDescent="0.35">
      <c r="A477" s="5" t="str">
        <f>Loads[[#This Row],[Date]]&amp;Loads[[#This Row],[Product]]</f>
        <v>44231Product2</v>
      </c>
      <c r="B477" s="5">
        <f>COUNTIF($A$1:A477,Loads[[#This Row],[Load]])</f>
        <v>9</v>
      </c>
      <c r="C477" s="3" t="str">
        <f>Loads[[#This Row],[Load]]&amp;Loads[[#This Row],[Count]]</f>
        <v>44231Product29</v>
      </c>
      <c r="D477" s="90">
        <v>44231</v>
      </c>
      <c r="E477" s="143">
        <v>0.20902777777777778</v>
      </c>
      <c r="F477" s="1" t="s">
        <v>9</v>
      </c>
      <c r="G477" s="2" t="s">
        <v>13</v>
      </c>
      <c r="H477" s="2" t="s">
        <v>42</v>
      </c>
      <c r="I477" s="1" t="s">
        <v>11</v>
      </c>
      <c r="J477" s="1" t="s">
        <v>8</v>
      </c>
      <c r="K477" s="89">
        <v>12980</v>
      </c>
      <c r="L477" s="3">
        <v>59.57</v>
      </c>
      <c r="M477" s="3">
        <v>9.48</v>
      </c>
      <c r="N477" s="3" t="s">
        <v>8</v>
      </c>
      <c r="O477" s="3" t="s">
        <v>8</v>
      </c>
    </row>
    <row r="478" spans="1:15" x14ac:dyDescent="0.35">
      <c r="A478" s="5" t="str">
        <f>Loads[[#This Row],[Date]]&amp;Loads[[#This Row],[Product]]</f>
        <v>44231Product2</v>
      </c>
      <c r="B478" s="5">
        <f>COUNTIF($A$1:A478,Loads[[#This Row],[Load]])</f>
        <v>10</v>
      </c>
      <c r="C478" s="3" t="str">
        <f>Loads[[#This Row],[Load]]&amp;Loads[[#This Row],[Count]]</f>
        <v>44231Product210</v>
      </c>
      <c r="D478" s="90">
        <v>44231</v>
      </c>
      <c r="E478" s="143">
        <v>0.20972222222222223</v>
      </c>
      <c r="F478" s="1" t="s">
        <v>9</v>
      </c>
      <c r="G478" s="2" t="s">
        <v>13</v>
      </c>
      <c r="H478" s="2" t="s">
        <v>42</v>
      </c>
      <c r="I478" s="1" t="s">
        <v>11</v>
      </c>
      <c r="J478" s="1" t="s">
        <v>8</v>
      </c>
      <c r="K478" s="89">
        <v>14940</v>
      </c>
      <c r="L478" s="3">
        <v>57.05</v>
      </c>
      <c r="M478" s="3">
        <v>7.41</v>
      </c>
      <c r="N478" s="3" t="s">
        <v>8</v>
      </c>
      <c r="O478" s="3" t="s">
        <v>8</v>
      </c>
    </row>
    <row r="479" spans="1:15" x14ac:dyDescent="0.35">
      <c r="A479" s="5" t="str">
        <f>Loads[[#This Row],[Date]]&amp;Loads[[#This Row],[Product]]</f>
        <v>44231Product2</v>
      </c>
      <c r="B479" s="5">
        <f>COUNTIF($A$1:A479,Loads[[#This Row],[Load]])</f>
        <v>11</v>
      </c>
      <c r="C479" s="3" t="str">
        <f>Loads[[#This Row],[Load]]&amp;Loads[[#This Row],[Count]]</f>
        <v>44231Product211</v>
      </c>
      <c r="D479" s="90">
        <v>44231</v>
      </c>
      <c r="E479" s="143">
        <v>0.21041666666666667</v>
      </c>
      <c r="F479" s="1" t="s">
        <v>9</v>
      </c>
      <c r="G479" s="2" t="s">
        <v>13</v>
      </c>
      <c r="H479" s="2" t="s">
        <v>42</v>
      </c>
      <c r="I479" s="1" t="s">
        <v>11</v>
      </c>
      <c r="J479" s="1" t="s">
        <v>8</v>
      </c>
      <c r="K479" s="89">
        <v>12320</v>
      </c>
      <c r="L479" s="3">
        <v>60.76</v>
      </c>
      <c r="M479" s="3">
        <v>8.8000000000000007</v>
      </c>
      <c r="N479" s="3" t="s">
        <v>8</v>
      </c>
      <c r="O479" s="3" t="s">
        <v>8</v>
      </c>
    </row>
    <row r="480" spans="1:15" x14ac:dyDescent="0.35">
      <c r="A480" s="5" t="str">
        <f>Loads[[#This Row],[Date]]&amp;Loads[[#This Row],[Product]]</f>
        <v>44231Product2</v>
      </c>
      <c r="B480" s="5">
        <f>COUNTIF($A$1:A480,Loads[[#This Row],[Load]])</f>
        <v>12</v>
      </c>
      <c r="C480" s="3" t="str">
        <f>Loads[[#This Row],[Load]]&amp;Loads[[#This Row],[Count]]</f>
        <v>44231Product212</v>
      </c>
      <c r="D480" s="90">
        <v>44231</v>
      </c>
      <c r="E480" s="143">
        <v>0.28611111111111115</v>
      </c>
      <c r="F480" s="1" t="s">
        <v>9</v>
      </c>
      <c r="G480" s="2" t="s">
        <v>13</v>
      </c>
      <c r="H480" s="2" t="s">
        <v>42</v>
      </c>
      <c r="I480" s="1" t="s">
        <v>11</v>
      </c>
      <c r="J480" s="1" t="s">
        <v>8</v>
      </c>
      <c r="K480" s="89">
        <v>10060</v>
      </c>
      <c r="L480" s="3">
        <v>59.87</v>
      </c>
      <c r="M480" s="3">
        <v>9.34</v>
      </c>
      <c r="N480" s="3" t="s">
        <v>8</v>
      </c>
      <c r="O480" s="3" t="s">
        <v>8</v>
      </c>
    </row>
    <row r="481" spans="1:15" x14ac:dyDescent="0.35">
      <c r="A481" s="5" t="str">
        <f>Loads[[#This Row],[Date]]&amp;Loads[[#This Row],[Product]]</f>
        <v>44232Product2</v>
      </c>
      <c r="B481" s="5">
        <f>COUNTIF($A$1:A481,Loads[[#This Row],[Load]])</f>
        <v>1</v>
      </c>
      <c r="C481" s="3" t="str">
        <f>Loads[[#This Row],[Load]]&amp;Loads[[#This Row],[Count]]</f>
        <v>44232Product21</v>
      </c>
      <c r="D481" s="90">
        <v>44232</v>
      </c>
      <c r="E481" s="143">
        <v>0.1173611111111111</v>
      </c>
      <c r="F481" s="1" t="s">
        <v>9</v>
      </c>
      <c r="G481" s="2" t="s">
        <v>13</v>
      </c>
      <c r="H481" s="2" t="s">
        <v>42</v>
      </c>
      <c r="I481" s="1" t="s">
        <v>11</v>
      </c>
      <c r="J481" s="1" t="s">
        <v>8</v>
      </c>
      <c r="K481" s="89">
        <v>11160</v>
      </c>
      <c r="L481" s="3">
        <v>59.22</v>
      </c>
      <c r="M481" s="3">
        <v>8.4600000000000009</v>
      </c>
      <c r="N481" s="3" t="s">
        <v>8</v>
      </c>
      <c r="O481" s="3" t="s">
        <v>8</v>
      </c>
    </row>
    <row r="482" spans="1:15" x14ac:dyDescent="0.35">
      <c r="A482" s="5" t="str">
        <f>Loads[[#This Row],[Date]]&amp;Loads[[#This Row],[Product]]</f>
        <v>44232Product2</v>
      </c>
      <c r="B482" s="5">
        <f>COUNTIF($A$1:A482,Loads[[#This Row],[Load]])</f>
        <v>2</v>
      </c>
      <c r="C482" s="3" t="str">
        <f>Loads[[#This Row],[Load]]&amp;Loads[[#This Row],[Count]]</f>
        <v>44232Product22</v>
      </c>
      <c r="D482" s="90">
        <v>44232</v>
      </c>
      <c r="E482" s="143">
        <v>0.11805555555555557</v>
      </c>
      <c r="F482" s="1" t="s">
        <v>9</v>
      </c>
      <c r="G482" s="2" t="s">
        <v>13</v>
      </c>
      <c r="H482" s="2" t="s">
        <v>42</v>
      </c>
      <c r="I482" s="1" t="s">
        <v>11</v>
      </c>
      <c r="J482" s="1" t="s">
        <v>8</v>
      </c>
      <c r="K482" s="89">
        <v>11580</v>
      </c>
      <c r="L482" s="3">
        <v>58.64</v>
      </c>
      <c r="M482" s="3">
        <v>8.4700000000000006</v>
      </c>
      <c r="N482" s="3" t="s">
        <v>8</v>
      </c>
      <c r="O482" s="3" t="s">
        <v>8</v>
      </c>
    </row>
    <row r="483" spans="1:15" x14ac:dyDescent="0.35">
      <c r="A483" s="5" t="str">
        <f>Loads[[#This Row],[Date]]&amp;Loads[[#This Row],[Product]]</f>
        <v>44232Product2</v>
      </c>
      <c r="B483" s="5">
        <f>COUNTIF($A$1:A483,Loads[[#This Row],[Load]])</f>
        <v>3</v>
      </c>
      <c r="C483" s="3" t="str">
        <f>Loads[[#This Row],[Load]]&amp;Loads[[#This Row],[Count]]</f>
        <v>44232Product23</v>
      </c>
      <c r="D483" s="90">
        <v>44232</v>
      </c>
      <c r="E483" s="143">
        <v>0.11875000000000001</v>
      </c>
      <c r="F483" s="1" t="s">
        <v>9</v>
      </c>
      <c r="G483" s="2" t="s">
        <v>13</v>
      </c>
      <c r="H483" s="2" t="s">
        <v>42</v>
      </c>
      <c r="I483" s="1" t="s">
        <v>11</v>
      </c>
      <c r="J483" s="1" t="s">
        <v>8</v>
      </c>
      <c r="K483" s="89">
        <v>13200</v>
      </c>
      <c r="L483" s="3">
        <v>60.12</v>
      </c>
      <c r="M483" s="3">
        <v>8.24</v>
      </c>
      <c r="N483" s="3" t="s">
        <v>8</v>
      </c>
      <c r="O483" s="3" t="s">
        <v>8</v>
      </c>
    </row>
    <row r="484" spans="1:15" x14ac:dyDescent="0.35">
      <c r="A484" s="5" t="str">
        <f>Loads[[#This Row],[Date]]&amp;Loads[[#This Row],[Product]]</f>
        <v>44232Product2</v>
      </c>
      <c r="B484" s="5">
        <f>COUNTIF($A$1:A484,Loads[[#This Row],[Load]])</f>
        <v>4</v>
      </c>
      <c r="C484" s="3" t="str">
        <f>Loads[[#This Row],[Load]]&amp;Loads[[#This Row],[Count]]</f>
        <v>44232Product24</v>
      </c>
      <c r="D484" s="90">
        <v>44232</v>
      </c>
      <c r="E484" s="143">
        <v>0.11944444444444445</v>
      </c>
      <c r="F484" s="1" t="s">
        <v>9</v>
      </c>
      <c r="G484" s="2" t="s">
        <v>13</v>
      </c>
      <c r="H484" s="2" t="s">
        <v>42</v>
      </c>
      <c r="I484" s="1" t="s">
        <v>11</v>
      </c>
      <c r="J484" s="1" t="s">
        <v>8</v>
      </c>
      <c r="K484" s="89">
        <v>11940</v>
      </c>
      <c r="L484" s="3">
        <v>60.67</v>
      </c>
      <c r="M484" s="3">
        <v>8.91</v>
      </c>
      <c r="N484" s="3" t="s">
        <v>8</v>
      </c>
      <c r="O484" s="3" t="s">
        <v>8</v>
      </c>
    </row>
    <row r="485" spans="1:15" x14ac:dyDescent="0.35">
      <c r="A485" s="5" t="str">
        <f>Loads[[#This Row],[Date]]&amp;Loads[[#This Row],[Product]]</f>
        <v>44232Product2</v>
      </c>
      <c r="B485" s="5">
        <f>COUNTIF($A$1:A485,Loads[[#This Row],[Load]])</f>
        <v>5</v>
      </c>
      <c r="C485" s="3" t="str">
        <f>Loads[[#This Row],[Load]]&amp;Loads[[#This Row],[Count]]</f>
        <v>44232Product25</v>
      </c>
      <c r="D485" s="90">
        <v>44232</v>
      </c>
      <c r="E485" s="143">
        <v>0.11944444444444445</v>
      </c>
      <c r="F485" s="1" t="s">
        <v>9</v>
      </c>
      <c r="G485" s="2" t="s">
        <v>13</v>
      </c>
      <c r="H485" s="2" t="s">
        <v>42</v>
      </c>
      <c r="I485" s="1" t="s">
        <v>11</v>
      </c>
      <c r="J485" s="1" t="s">
        <v>8</v>
      </c>
      <c r="K485" s="89">
        <v>16120</v>
      </c>
      <c r="L485" s="3">
        <v>60.37</v>
      </c>
      <c r="M485" s="3">
        <v>7.11</v>
      </c>
      <c r="N485" s="3" t="s">
        <v>8</v>
      </c>
      <c r="O485" s="3" t="s">
        <v>8</v>
      </c>
    </row>
    <row r="486" spans="1:15" x14ac:dyDescent="0.35">
      <c r="A486" s="5" t="str">
        <f>Loads[[#This Row],[Date]]&amp;Loads[[#This Row],[Product]]</f>
        <v>44232Product2</v>
      </c>
      <c r="B486" s="5">
        <f>COUNTIF($A$1:A486,Loads[[#This Row],[Load]])</f>
        <v>6</v>
      </c>
      <c r="C486" s="3" t="str">
        <f>Loads[[#This Row],[Load]]&amp;Loads[[#This Row],[Count]]</f>
        <v>44232Product26</v>
      </c>
      <c r="D486" s="90">
        <v>44232</v>
      </c>
      <c r="E486" s="143">
        <v>0.12013888888888889</v>
      </c>
      <c r="F486" s="1" t="s">
        <v>9</v>
      </c>
      <c r="G486" s="2" t="s">
        <v>13</v>
      </c>
      <c r="H486" s="2" t="s">
        <v>42</v>
      </c>
      <c r="I486" s="1" t="s">
        <v>11</v>
      </c>
      <c r="J486" s="1" t="s">
        <v>8</v>
      </c>
      <c r="K486" s="89">
        <v>10700</v>
      </c>
      <c r="L486" s="3">
        <v>61.67</v>
      </c>
      <c r="M486" s="3">
        <v>8.6999999999999993</v>
      </c>
      <c r="N486" s="3" t="s">
        <v>8</v>
      </c>
      <c r="O486" s="3" t="s">
        <v>8</v>
      </c>
    </row>
    <row r="487" spans="1:15" x14ac:dyDescent="0.35">
      <c r="A487" s="5" t="str">
        <f>Loads[[#This Row],[Date]]&amp;Loads[[#This Row],[Product]]</f>
        <v>44232Product2</v>
      </c>
      <c r="B487" s="5">
        <f>COUNTIF($A$1:A487,Loads[[#This Row],[Load]])</f>
        <v>7</v>
      </c>
      <c r="C487" s="3" t="str">
        <f>Loads[[#This Row],[Load]]&amp;Loads[[#This Row],[Count]]</f>
        <v>44232Product27</v>
      </c>
      <c r="D487" s="90">
        <v>44232</v>
      </c>
      <c r="E487" s="143">
        <v>0.12083333333333333</v>
      </c>
      <c r="F487" s="1" t="s">
        <v>9</v>
      </c>
      <c r="G487" s="2" t="s">
        <v>13</v>
      </c>
      <c r="H487" s="2" t="s">
        <v>42</v>
      </c>
      <c r="I487" s="1" t="s">
        <v>11</v>
      </c>
      <c r="J487" s="1" t="s">
        <v>8</v>
      </c>
      <c r="K487" s="89">
        <v>11180</v>
      </c>
      <c r="L487" s="3">
        <v>60.17</v>
      </c>
      <c r="M487" s="3">
        <v>8.6</v>
      </c>
      <c r="N487" s="3" t="s">
        <v>8</v>
      </c>
      <c r="O487" s="3" t="s">
        <v>8</v>
      </c>
    </row>
    <row r="488" spans="1:15" x14ac:dyDescent="0.35">
      <c r="A488" s="5" t="str">
        <f>Loads[[#This Row],[Date]]&amp;Loads[[#This Row],[Product]]</f>
        <v>44232Product2</v>
      </c>
      <c r="B488" s="5">
        <f>COUNTIF($A$1:A488,Loads[[#This Row],[Load]])</f>
        <v>8</v>
      </c>
      <c r="C488" s="3" t="str">
        <f>Loads[[#This Row],[Load]]&amp;Loads[[#This Row],[Count]]</f>
        <v>44232Product28</v>
      </c>
      <c r="D488" s="90">
        <v>44232</v>
      </c>
      <c r="E488" s="143">
        <v>0.12152777777777778</v>
      </c>
      <c r="F488" s="1" t="s">
        <v>9</v>
      </c>
      <c r="G488" s="2" t="s">
        <v>13</v>
      </c>
      <c r="H488" s="2" t="s">
        <v>42</v>
      </c>
      <c r="I488" s="1" t="s">
        <v>11</v>
      </c>
      <c r="J488" s="1" t="s">
        <v>8</v>
      </c>
      <c r="K488" s="89">
        <v>16820</v>
      </c>
      <c r="L488" s="3">
        <v>59.35</v>
      </c>
      <c r="M488" s="3">
        <v>8.39</v>
      </c>
      <c r="N488" s="3" t="s">
        <v>8</v>
      </c>
      <c r="O488" s="3" t="s">
        <v>8</v>
      </c>
    </row>
    <row r="489" spans="1:15" x14ac:dyDescent="0.35">
      <c r="A489" s="5" t="str">
        <f>Loads[[#This Row],[Date]]&amp;Loads[[#This Row],[Product]]</f>
        <v>44232Product2</v>
      </c>
      <c r="B489" s="5">
        <f>COUNTIF($A$1:A489,Loads[[#This Row],[Load]])</f>
        <v>9</v>
      </c>
      <c r="C489" s="3" t="str">
        <f>Loads[[#This Row],[Load]]&amp;Loads[[#This Row],[Count]]</f>
        <v>44232Product29</v>
      </c>
      <c r="D489" s="90">
        <v>44232</v>
      </c>
      <c r="E489" s="143">
        <v>0.12361111111111112</v>
      </c>
      <c r="F489" s="1" t="s">
        <v>9</v>
      </c>
      <c r="G489" s="2" t="s">
        <v>13</v>
      </c>
      <c r="H489" s="2" t="s">
        <v>42</v>
      </c>
      <c r="I489" s="1" t="s">
        <v>11</v>
      </c>
      <c r="J489" s="1" t="s">
        <v>8</v>
      </c>
      <c r="K489" s="89">
        <v>12420</v>
      </c>
      <c r="L489" s="3">
        <v>58.7</v>
      </c>
      <c r="M489" s="3">
        <v>8.4499999999999993</v>
      </c>
      <c r="N489" s="3" t="s">
        <v>8</v>
      </c>
      <c r="O489" s="3" t="s">
        <v>8</v>
      </c>
    </row>
    <row r="490" spans="1:15" x14ac:dyDescent="0.35">
      <c r="A490" s="5" t="str">
        <f>Loads[[#This Row],[Date]]&amp;Loads[[#This Row],[Product]]</f>
        <v>44232Product2</v>
      </c>
      <c r="B490" s="5">
        <f>COUNTIF($A$1:A490,Loads[[#This Row],[Load]])</f>
        <v>10</v>
      </c>
      <c r="C490" s="3" t="str">
        <f>Loads[[#This Row],[Load]]&amp;Loads[[#This Row],[Count]]</f>
        <v>44232Product210</v>
      </c>
      <c r="D490" s="90">
        <v>44232</v>
      </c>
      <c r="E490" s="143">
        <v>0.12430555555555556</v>
      </c>
      <c r="F490" s="1" t="s">
        <v>9</v>
      </c>
      <c r="G490" s="2" t="s">
        <v>13</v>
      </c>
      <c r="H490" s="2" t="s">
        <v>42</v>
      </c>
      <c r="I490" s="1" t="s">
        <v>11</v>
      </c>
      <c r="J490" s="1" t="s">
        <v>8</v>
      </c>
      <c r="K490" s="89">
        <v>11440</v>
      </c>
      <c r="L490" s="3">
        <v>61.68</v>
      </c>
      <c r="M490" s="3">
        <v>9.74</v>
      </c>
      <c r="N490" s="3" t="s">
        <v>8</v>
      </c>
      <c r="O490" s="3" t="s">
        <v>8</v>
      </c>
    </row>
    <row r="491" spans="1:15" x14ac:dyDescent="0.35">
      <c r="A491" s="5" t="str">
        <f>Loads[[#This Row],[Date]]&amp;Loads[[#This Row],[Product]]</f>
        <v>44232Product2</v>
      </c>
      <c r="B491" s="5">
        <f>COUNTIF($A$1:A491,Loads[[#This Row],[Load]])</f>
        <v>11</v>
      </c>
      <c r="C491" s="3" t="str">
        <f>Loads[[#This Row],[Load]]&amp;Loads[[#This Row],[Count]]</f>
        <v>44232Product211</v>
      </c>
      <c r="D491" s="90">
        <v>44232</v>
      </c>
      <c r="E491" s="143">
        <v>0.125</v>
      </c>
      <c r="F491" s="1" t="s">
        <v>9</v>
      </c>
      <c r="G491" s="2" t="s">
        <v>13</v>
      </c>
      <c r="H491" s="2" t="s">
        <v>42</v>
      </c>
      <c r="I491" s="1" t="s">
        <v>11</v>
      </c>
      <c r="J491" s="1" t="s">
        <v>8</v>
      </c>
      <c r="K491" s="89">
        <v>12060</v>
      </c>
      <c r="L491" s="3">
        <v>60.98</v>
      </c>
      <c r="M491" s="3">
        <v>8.5500000000000007</v>
      </c>
      <c r="N491" s="3" t="s">
        <v>8</v>
      </c>
      <c r="O491" s="3" t="s">
        <v>8</v>
      </c>
    </row>
    <row r="492" spans="1:15" x14ac:dyDescent="0.35">
      <c r="A492" s="5" t="str">
        <f>Loads[[#This Row],[Date]]&amp;Loads[[#This Row],[Product]]</f>
        <v>44233Product2</v>
      </c>
      <c r="B492" s="5">
        <f>COUNTIF($A$1:A492,Loads[[#This Row],[Load]])</f>
        <v>1</v>
      </c>
      <c r="C492" s="3" t="str">
        <f>Loads[[#This Row],[Load]]&amp;Loads[[#This Row],[Count]]</f>
        <v>44233Product21</v>
      </c>
      <c r="D492" s="90">
        <v>44233</v>
      </c>
      <c r="E492" s="143">
        <v>0.10972222222222222</v>
      </c>
      <c r="F492" s="1" t="s">
        <v>9</v>
      </c>
      <c r="G492" s="2" t="s">
        <v>13</v>
      </c>
      <c r="H492" s="2" t="s">
        <v>42</v>
      </c>
      <c r="I492" s="1" t="s">
        <v>11</v>
      </c>
      <c r="J492" s="1" t="s">
        <v>8</v>
      </c>
      <c r="K492" s="89">
        <v>11040</v>
      </c>
      <c r="L492" s="3">
        <v>64.38</v>
      </c>
      <c r="M492" s="3">
        <v>9.09</v>
      </c>
      <c r="N492" s="3" t="s">
        <v>8</v>
      </c>
      <c r="O492" s="3" t="s">
        <v>8</v>
      </c>
    </row>
    <row r="493" spans="1:15" x14ac:dyDescent="0.35">
      <c r="A493" s="5" t="str">
        <f>Loads[[#This Row],[Date]]&amp;Loads[[#This Row],[Product]]</f>
        <v>44233Product2</v>
      </c>
      <c r="B493" s="5">
        <f>COUNTIF($A$1:A493,Loads[[#This Row],[Load]])</f>
        <v>2</v>
      </c>
      <c r="C493" s="3" t="str">
        <f>Loads[[#This Row],[Load]]&amp;Loads[[#This Row],[Count]]</f>
        <v>44233Product22</v>
      </c>
      <c r="D493" s="90">
        <v>44233</v>
      </c>
      <c r="E493" s="143">
        <v>0.11041666666666666</v>
      </c>
      <c r="F493" s="1" t="s">
        <v>9</v>
      </c>
      <c r="G493" s="2" t="s">
        <v>13</v>
      </c>
      <c r="H493" s="2" t="s">
        <v>42</v>
      </c>
      <c r="I493" s="1" t="s">
        <v>11</v>
      </c>
      <c r="J493" s="1" t="s">
        <v>8</v>
      </c>
      <c r="K493" s="89">
        <v>16040</v>
      </c>
      <c r="L493" s="3">
        <v>59.14</v>
      </c>
      <c r="M493" s="3">
        <v>9.41</v>
      </c>
      <c r="N493" s="3" t="s">
        <v>8</v>
      </c>
      <c r="O493" s="3" t="s">
        <v>8</v>
      </c>
    </row>
    <row r="494" spans="1:15" x14ac:dyDescent="0.35">
      <c r="A494" s="5" t="str">
        <f>Loads[[#This Row],[Date]]&amp;Loads[[#This Row],[Product]]</f>
        <v>44233Product2</v>
      </c>
      <c r="B494" s="5">
        <f>COUNTIF($A$1:A494,Loads[[#This Row],[Load]])</f>
        <v>3</v>
      </c>
      <c r="C494" s="3" t="str">
        <f>Loads[[#This Row],[Load]]&amp;Loads[[#This Row],[Count]]</f>
        <v>44233Product23</v>
      </c>
      <c r="D494" s="90">
        <v>44233</v>
      </c>
      <c r="E494" s="143">
        <v>0.1111111111111111</v>
      </c>
      <c r="F494" s="1" t="s">
        <v>9</v>
      </c>
      <c r="G494" s="2" t="s">
        <v>13</v>
      </c>
      <c r="H494" s="2" t="s">
        <v>42</v>
      </c>
      <c r="I494" s="1" t="s">
        <v>11</v>
      </c>
      <c r="J494" s="1" t="s">
        <v>8</v>
      </c>
      <c r="K494" s="89">
        <v>11600</v>
      </c>
      <c r="L494" s="3">
        <v>59.13</v>
      </c>
      <c r="M494" s="3">
        <v>9.0500000000000007</v>
      </c>
      <c r="N494" s="3" t="s">
        <v>8</v>
      </c>
      <c r="O494" s="3" t="s">
        <v>8</v>
      </c>
    </row>
    <row r="495" spans="1:15" x14ac:dyDescent="0.35">
      <c r="A495" s="5" t="str">
        <f>Loads[[#This Row],[Date]]&amp;Loads[[#This Row],[Product]]</f>
        <v>44233Product2</v>
      </c>
      <c r="B495" s="5">
        <f>COUNTIF($A$1:A495,Loads[[#This Row],[Load]])</f>
        <v>4</v>
      </c>
      <c r="C495" s="3" t="str">
        <f>Loads[[#This Row],[Load]]&amp;Loads[[#This Row],[Count]]</f>
        <v>44233Product24</v>
      </c>
      <c r="D495" s="90">
        <v>44233</v>
      </c>
      <c r="E495" s="143">
        <v>0.1111111111111111</v>
      </c>
      <c r="F495" s="1" t="s">
        <v>9</v>
      </c>
      <c r="G495" s="2" t="s">
        <v>13</v>
      </c>
      <c r="H495" s="2" t="s">
        <v>42</v>
      </c>
      <c r="I495" s="1" t="s">
        <v>11</v>
      </c>
      <c r="J495" s="1" t="s">
        <v>8</v>
      </c>
      <c r="K495" s="89">
        <v>11200</v>
      </c>
      <c r="L495" s="3">
        <v>60.56</v>
      </c>
      <c r="M495" s="3">
        <v>9.24</v>
      </c>
      <c r="N495" s="3" t="s">
        <v>8</v>
      </c>
      <c r="O495" s="3" t="s">
        <v>8</v>
      </c>
    </row>
    <row r="496" spans="1:15" x14ac:dyDescent="0.35">
      <c r="A496" s="5" t="str">
        <f>Loads[[#This Row],[Date]]&amp;Loads[[#This Row],[Product]]</f>
        <v>44233Product2</v>
      </c>
      <c r="B496" s="5">
        <f>COUNTIF($A$1:A496,Loads[[#This Row],[Load]])</f>
        <v>5</v>
      </c>
      <c r="C496" s="3" t="str">
        <f>Loads[[#This Row],[Load]]&amp;Loads[[#This Row],[Count]]</f>
        <v>44233Product25</v>
      </c>
      <c r="D496" s="90">
        <v>44233</v>
      </c>
      <c r="E496" s="143">
        <v>0.11180555555555556</v>
      </c>
      <c r="F496" s="1" t="s">
        <v>9</v>
      </c>
      <c r="G496" s="2" t="s">
        <v>13</v>
      </c>
      <c r="H496" s="2" t="s">
        <v>42</v>
      </c>
      <c r="I496" s="1" t="s">
        <v>11</v>
      </c>
      <c r="J496" s="1" t="s">
        <v>8</v>
      </c>
      <c r="K496" s="89">
        <v>11240</v>
      </c>
      <c r="L496" s="3">
        <v>62.04</v>
      </c>
      <c r="M496" s="3">
        <v>9.41</v>
      </c>
      <c r="N496" s="3" t="s">
        <v>8</v>
      </c>
      <c r="O496" s="3" t="s">
        <v>8</v>
      </c>
    </row>
    <row r="497" spans="1:15" x14ac:dyDescent="0.35">
      <c r="A497" s="5" t="str">
        <f>Loads[[#This Row],[Date]]&amp;Loads[[#This Row],[Product]]</f>
        <v>44233Product2</v>
      </c>
      <c r="B497" s="5">
        <f>COUNTIF($A$1:A497,Loads[[#This Row],[Load]])</f>
        <v>6</v>
      </c>
      <c r="C497" s="3" t="str">
        <f>Loads[[#This Row],[Load]]&amp;Loads[[#This Row],[Count]]</f>
        <v>44233Product26</v>
      </c>
      <c r="D497" s="90">
        <v>44233</v>
      </c>
      <c r="E497" s="143">
        <v>0.1125</v>
      </c>
      <c r="F497" s="1" t="s">
        <v>9</v>
      </c>
      <c r="G497" s="2" t="s">
        <v>13</v>
      </c>
      <c r="H497" s="2" t="s">
        <v>42</v>
      </c>
      <c r="I497" s="1" t="s">
        <v>11</v>
      </c>
      <c r="J497" s="1" t="s">
        <v>8</v>
      </c>
      <c r="K497" s="89">
        <v>11540</v>
      </c>
      <c r="L497" s="3">
        <v>64.44</v>
      </c>
      <c r="M497" s="3">
        <v>9.09</v>
      </c>
      <c r="N497" s="3" t="s">
        <v>8</v>
      </c>
      <c r="O497" s="3" t="s">
        <v>8</v>
      </c>
    </row>
    <row r="498" spans="1:15" x14ac:dyDescent="0.35">
      <c r="A498" s="5" t="str">
        <f>Loads[[#This Row],[Date]]&amp;Loads[[#This Row],[Product]]</f>
        <v>44233Product2</v>
      </c>
      <c r="B498" s="5">
        <f>COUNTIF($A$1:A498,Loads[[#This Row],[Load]])</f>
        <v>7</v>
      </c>
      <c r="C498" s="3" t="str">
        <f>Loads[[#This Row],[Load]]&amp;Loads[[#This Row],[Count]]</f>
        <v>44233Product27</v>
      </c>
      <c r="D498" s="90">
        <v>44233</v>
      </c>
      <c r="E498" s="143">
        <v>0.1125</v>
      </c>
      <c r="F498" s="1" t="s">
        <v>9</v>
      </c>
      <c r="G498" s="2" t="s">
        <v>13</v>
      </c>
      <c r="H498" s="2" t="s">
        <v>42</v>
      </c>
      <c r="I498" s="1" t="s">
        <v>11</v>
      </c>
      <c r="J498" s="1" t="s">
        <v>8</v>
      </c>
      <c r="K498" s="89">
        <v>16460</v>
      </c>
      <c r="L498" s="3">
        <v>60.89</v>
      </c>
      <c r="M498" s="3">
        <v>9.43</v>
      </c>
      <c r="N498" s="3" t="s">
        <v>8</v>
      </c>
      <c r="O498" s="3" t="s">
        <v>8</v>
      </c>
    </row>
    <row r="499" spans="1:15" x14ac:dyDescent="0.35">
      <c r="A499" s="5" t="str">
        <f>Loads[[#This Row],[Date]]&amp;Loads[[#This Row],[Product]]</f>
        <v>44233Product2</v>
      </c>
      <c r="B499" s="5">
        <f>COUNTIF($A$1:A499,Loads[[#This Row],[Load]])</f>
        <v>8</v>
      </c>
      <c r="C499" s="3" t="str">
        <f>Loads[[#This Row],[Load]]&amp;Loads[[#This Row],[Count]]</f>
        <v>44233Product28</v>
      </c>
      <c r="D499" s="90">
        <v>44233</v>
      </c>
      <c r="E499" s="143">
        <v>0.11319444444444444</v>
      </c>
      <c r="F499" s="1" t="s">
        <v>9</v>
      </c>
      <c r="G499" s="2" t="s">
        <v>13</v>
      </c>
      <c r="H499" s="2" t="s">
        <v>42</v>
      </c>
      <c r="I499" s="1" t="s">
        <v>11</v>
      </c>
      <c r="J499" s="1" t="s">
        <v>8</v>
      </c>
      <c r="K499" s="89">
        <v>9880</v>
      </c>
      <c r="L499" s="3">
        <v>59.22</v>
      </c>
      <c r="M499" s="3">
        <v>9.33</v>
      </c>
      <c r="N499" s="3" t="s">
        <v>8</v>
      </c>
      <c r="O499" s="3" t="s">
        <v>8</v>
      </c>
    </row>
    <row r="500" spans="1:15" x14ac:dyDescent="0.35">
      <c r="A500" s="5" t="str">
        <f>Loads[[#This Row],[Date]]&amp;Loads[[#This Row],[Product]]</f>
        <v>44233Product2</v>
      </c>
      <c r="B500" s="5">
        <f>COUNTIF($A$1:A500,Loads[[#This Row],[Load]])</f>
        <v>9</v>
      </c>
      <c r="C500" s="3" t="str">
        <f>Loads[[#This Row],[Load]]&amp;Loads[[#This Row],[Count]]</f>
        <v>44233Product29</v>
      </c>
      <c r="D500" s="90">
        <v>44233</v>
      </c>
      <c r="E500" s="143">
        <v>0.11388888888888889</v>
      </c>
      <c r="F500" s="1" t="s">
        <v>9</v>
      </c>
      <c r="G500" s="2" t="s">
        <v>13</v>
      </c>
      <c r="H500" s="2" t="s">
        <v>42</v>
      </c>
      <c r="I500" s="1" t="s">
        <v>11</v>
      </c>
      <c r="J500" s="1" t="s">
        <v>8</v>
      </c>
      <c r="K500" s="89">
        <v>11120</v>
      </c>
      <c r="L500" s="3">
        <v>60.1</v>
      </c>
      <c r="M500" s="3">
        <v>9.15</v>
      </c>
      <c r="N500" s="3" t="s">
        <v>8</v>
      </c>
      <c r="O500" s="3" t="s">
        <v>8</v>
      </c>
    </row>
    <row r="501" spans="1:15" x14ac:dyDescent="0.35">
      <c r="A501" s="5" t="str">
        <f>Loads[[#This Row],[Date]]&amp;Loads[[#This Row],[Product]]</f>
        <v>44233Product2</v>
      </c>
      <c r="B501" s="5">
        <f>COUNTIF($A$1:A501,Loads[[#This Row],[Load]])</f>
        <v>10</v>
      </c>
      <c r="C501" s="3" t="str">
        <f>Loads[[#This Row],[Load]]&amp;Loads[[#This Row],[Count]]</f>
        <v>44233Product210</v>
      </c>
      <c r="D501" s="90">
        <v>44233</v>
      </c>
      <c r="E501" s="143">
        <v>0.11458333333333333</v>
      </c>
      <c r="F501" s="1" t="s">
        <v>9</v>
      </c>
      <c r="G501" s="2" t="s">
        <v>13</v>
      </c>
      <c r="H501" s="2" t="s">
        <v>42</v>
      </c>
      <c r="I501" s="1" t="s">
        <v>11</v>
      </c>
      <c r="J501" s="1" t="s">
        <v>8</v>
      </c>
      <c r="K501" s="89">
        <v>10560</v>
      </c>
      <c r="L501" s="3">
        <v>59.57</v>
      </c>
      <c r="M501" s="3">
        <v>9.26</v>
      </c>
      <c r="N501" s="3" t="s">
        <v>8</v>
      </c>
      <c r="O501" s="3" t="s">
        <v>8</v>
      </c>
    </row>
    <row r="502" spans="1:15" x14ac:dyDescent="0.35">
      <c r="A502" s="5" t="str">
        <f>Loads[[#This Row],[Date]]&amp;Loads[[#This Row],[Product]]</f>
        <v>44233Product2</v>
      </c>
      <c r="B502" s="5">
        <f>COUNTIF($A$1:A502,Loads[[#This Row],[Load]])</f>
        <v>11</v>
      </c>
      <c r="C502" s="3" t="str">
        <f>Loads[[#This Row],[Load]]&amp;Loads[[#This Row],[Count]]</f>
        <v>44233Product211</v>
      </c>
      <c r="D502" s="90">
        <v>44233</v>
      </c>
      <c r="E502" s="143">
        <v>0.11527777777777777</v>
      </c>
      <c r="F502" s="1" t="s">
        <v>9</v>
      </c>
      <c r="G502" s="2" t="s">
        <v>13</v>
      </c>
      <c r="H502" s="2" t="s">
        <v>42</v>
      </c>
      <c r="I502" s="1" t="s">
        <v>11</v>
      </c>
      <c r="J502" s="1" t="s">
        <v>8</v>
      </c>
      <c r="K502" s="89">
        <v>17060</v>
      </c>
      <c r="L502" s="3">
        <v>60.12</v>
      </c>
      <c r="M502" s="3">
        <v>9.39</v>
      </c>
      <c r="N502" s="3" t="s">
        <v>8</v>
      </c>
      <c r="O502" s="3" t="s">
        <v>8</v>
      </c>
    </row>
    <row r="503" spans="1:15" x14ac:dyDescent="0.35">
      <c r="A503" s="5" t="str">
        <f>Loads[[#This Row],[Date]]&amp;Loads[[#This Row],[Product]]</f>
        <v>44233Product2</v>
      </c>
      <c r="B503" s="5">
        <f>COUNTIF($A$1:A503,Loads[[#This Row],[Load]])</f>
        <v>12</v>
      </c>
      <c r="C503" s="3" t="str">
        <f>Loads[[#This Row],[Load]]&amp;Loads[[#This Row],[Count]]</f>
        <v>44233Product212</v>
      </c>
      <c r="D503" s="90">
        <v>44233</v>
      </c>
      <c r="E503" s="143">
        <v>0.11597222222222221</v>
      </c>
      <c r="F503" s="1" t="s">
        <v>9</v>
      </c>
      <c r="G503" s="2" t="s">
        <v>13</v>
      </c>
      <c r="H503" s="2" t="s">
        <v>42</v>
      </c>
      <c r="I503" s="1" t="s">
        <v>11</v>
      </c>
      <c r="J503" s="1" t="s">
        <v>8</v>
      </c>
      <c r="K503" s="89">
        <v>11560</v>
      </c>
      <c r="L503" s="3">
        <v>59.65</v>
      </c>
      <c r="M503" s="3">
        <v>8.36</v>
      </c>
      <c r="N503" s="3" t="s">
        <v>8</v>
      </c>
      <c r="O503" s="3" t="s">
        <v>8</v>
      </c>
    </row>
    <row r="504" spans="1:15" x14ac:dyDescent="0.35">
      <c r="A504" s="5" t="str">
        <f>Loads[[#This Row],[Date]]&amp;Loads[[#This Row],[Product]]</f>
        <v>44233Product2</v>
      </c>
      <c r="B504" s="5">
        <f>COUNTIF($A$1:A504,Loads[[#This Row],[Load]])</f>
        <v>13</v>
      </c>
      <c r="C504" s="3" t="str">
        <f>Loads[[#This Row],[Load]]&amp;Loads[[#This Row],[Count]]</f>
        <v>44233Product213</v>
      </c>
      <c r="D504" s="90">
        <v>44233</v>
      </c>
      <c r="E504" s="143">
        <v>0.11666666666666665</v>
      </c>
      <c r="F504" s="1" t="s">
        <v>9</v>
      </c>
      <c r="G504" s="2" t="s">
        <v>13</v>
      </c>
      <c r="H504" s="2" t="s">
        <v>42</v>
      </c>
      <c r="I504" s="1" t="s">
        <v>11</v>
      </c>
      <c r="J504" s="1" t="s">
        <v>8</v>
      </c>
      <c r="K504" s="89">
        <v>12060</v>
      </c>
      <c r="L504" s="3">
        <v>60.94</v>
      </c>
      <c r="M504" s="3">
        <v>8.7799999999999994</v>
      </c>
      <c r="N504" s="3" t="s">
        <v>8</v>
      </c>
      <c r="O504" s="3" t="s">
        <v>8</v>
      </c>
    </row>
    <row r="505" spans="1:15" x14ac:dyDescent="0.35">
      <c r="A505" s="5" t="str">
        <f>Loads[[#This Row],[Date]]&amp;Loads[[#This Row],[Product]]</f>
        <v>44233Product2</v>
      </c>
      <c r="B505" s="5">
        <f>COUNTIF($A$1:A505,Loads[[#This Row],[Load]])</f>
        <v>14</v>
      </c>
      <c r="C505" s="3" t="str">
        <f>Loads[[#This Row],[Load]]&amp;Loads[[#This Row],[Count]]</f>
        <v>44233Product214</v>
      </c>
      <c r="D505" s="90">
        <v>44233</v>
      </c>
      <c r="E505" s="143">
        <v>0.11666666666666665</v>
      </c>
      <c r="F505" s="1" t="s">
        <v>9</v>
      </c>
      <c r="G505" s="2" t="s">
        <v>13</v>
      </c>
      <c r="H505" s="2" t="s">
        <v>42</v>
      </c>
      <c r="I505" s="1" t="s">
        <v>11</v>
      </c>
      <c r="J505" s="1" t="s">
        <v>8</v>
      </c>
      <c r="K505" s="89">
        <v>12340</v>
      </c>
      <c r="L505" s="3">
        <v>58.75</v>
      </c>
      <c r="M505" s="3">
        <v>9.19</v>
      </c>
      <c r="N505" s="3" t="s">
        <v>8</v>
      </c>
      <c r="O505" s="3" t="s">
        <v>8</v>
      </c>
    </row>
    <row r="506" spans="1:15" x14ac:dyDescent="0.35">
      <c r="A506" s="5" t="str">
        <f>Loads[[#This Row],[Date]]&amp;Loads[[#This Row],[Product]]</f>
        <v>44234Product2</v>
      </c>
      <c r="B506" s="5">
        <f>COUNTIF($A$1:A506,Loads[[#This Row],[Load]])</f>
        <v>1</v>
      </c>
      <c r="C506" s="3" t="str">
        <f>Loads[[#This Row],[Load]]&amp;Loads[[#This Row],[Count]]</f>
        <v>44234Product21</v>
      </c>
      <c r="D506" s="90">
        <v>44234</v>
      </c>
      <c r="E506" s="143">
        <v>0.13680555555555554</v>
      </c>
      <c r="F506" s="1" t="s">
        <v>9</v>
      </c>
      <c r="G506" s="2" t="s">
        <v>13</v>
      </c>
      <c r="H506" s="2" t="s">
        <v>42</v>
      </c>
      <c r="I506" s="1" t="s">
        <v>11</v>
      </c>
      <c r="J506" s="1" t="s">
        <v>8</v>
      </c>
      <c r="K506" s="89">
        <v>13160</v>
      </c>
      <c r="L506" s="3">
        <v>59.92</v>
      </c>
      <c r="M506" s="3">
        <v>9.9499999999999993</v>
      </c>
      <c r="N506" s="3" t="s">
        <v>8</v>
      </c>
      <c r="O506" s="3" t="s">
        <v>8</v>
      </c>
    </row>
    <row r="507" spans="1:15" x14ac:dyDescent="0.35">
      <c r="A507" s="5" t="str">
        <f>Loads[[#This Row],[Date]]&amp;Loads[[#This Row],[Product]]</f>
        <v>44234Product2</v>
      </c>
      <c r="B507" s="5">
        <f>COUNTIF($A$1:A507,Loads[[#This Row],[Load]])</f>
        <v>2</v>
      </c>
      <c r="C507" s="3" t="str">
        <f>Loads[[#This Row],[Load]]&amp;Loads[[#This Row],[Count]]</f>
        <v>44234Product22</v>
      </c>
      <c r="D507" s="90">
        <v>44234</v>
      </c>
      <c r="E507" s="143">
        <v>0.13749999999999998</v>
      </c>
      <c r="F507" s="1" t="s">
        <v>9</v>
      </c>
      <c r="G507" s="2" t="s">
        <v>13</v>
      </c>
      <c r="H507" s="2" t="s">
        <v>42</v>
      </c>
      <c r="I507" s="1" t="s">
        <v>11</v>
      </c>
      <c r="J507" s="1" t="s">
        <v>8</v>
      </c>
      <c r="K507" s="89">
        <v>17380</v>
      </c>
      <c r="L507" s="3">
        <v>60.89</v>
      </c>
      <c r="M507" s="3">
        <v>9.43</v>
      </c>
      <c r="N507" s="3" t="s">
        <v>8</v>
      </c>
      <c r="O507" s="3" t="s">
        <v>8</v>
      </c>
    </row>
    <row r="508" spans="1:15" x14ac:dyDescent="0.35">
      <c r="A508" s="5" t="str">
        <f>Loads[[#This Row],[Date]]&amp;Loads[[#This Row],[Product]]</f>
        <v>44234Product2</v>
      </c>
      <c r="B508" s="5">
        <f>COUNTIF($A$1:A508,Loads[[#This Row],[Load]])</f>
        <v>3</v>
      </c>
      <c r="C508" s="3" t="str">
        <f>Loads[[#This Row],[Load]]&amp;Loads[[#This Row],[Count]]</f>
        <v>44234Product23</v>
      </c>
      <c r="D508" s="90">
        <v>44234</v>
      </c>
      <c r="E508" s="143">
        <v>0.13819444444444443</v>
      </c>
      <c r="F508" s="1" t="s">
        <v>9</v>
      </c>
      <c r="G508" s="2" t="s">
        <v>13</v>
      </c>
      <c r="H508" s="2" t="s">
        <v>42</v>
      </c>
      <c r="I508" s="1" t="s">
        <v>11</v>
      </c>
      <c r="J508" s="1" t="s">
        <v>8</v>
      </c>
      <c r="K508" s="89">
        <v>11100</v>
      </c>
      <c r="L508" s="3">
        <v>60.55</v>
      </c>
      <c r="M508" s="3">
        <v>9.08</v>
      </c>
      <c r="N508" s="3" t="s">
        <v>8</v>
      </c>
      <c r="O508" s="3" t="s">
        <v>8</v>
      </c>
    </row>
    <row r="509" spans="1:15" x14ac:dyDescent="0.35">
      <c r="A509" s="5" t="str">
        <f>Loads[[#This Row],[Date]]&amp;Loads[[#This Row],[Product]]</f>
        <v>44234Product2</v>
      </c>
      <c r="B509" s="5">
        <f>COUNTIF($A$1:A509,Loads[[#This Row],[Load]])</f>
        <v>4</v>
      </c>
      <c r="C509" s="3" t="str">
        <f>Loads[[#This Row],[Load]]&amp;Loads[[#This Row],[Count]]</f>
        <v>44234Product24</v>
      </c>
      <c r="D509" s="90">
        <v>44234</v>
      </c>
      <c r="E509" s="143">
        <v>0.1388888888888889</v>
      </c>
      <c r="F509" s="1" t="s">
        <v>9</v>
      </c>
      <c r="G509" s="2" t="s">
        <v>13</v>
      </c>
      <c r="H509" s="2" t="s">
        <v>42</v>
      </c>
      <c r="I509" s="1" t="s">
        <v>11</v>
      </c>
      <c r="J509" s="1" t="s">
        <v>8</v>
      </c>
      <c r="K509" s="89">
        <v>11800</v>
      </c>
      <c r="L509" s="3">
        <v>58</v>
      </c>
      <c r="M509" s="3">
        <v>9.74</v>
      </c>
      <c r="N509" s="3" t="s">
        <v>8</v>
      </c>
      <c r="O509" s="3" t="s">
        <v>8</v>
      </c>
    </row>
    <row r="510" spans="1:15" x14ac:dyDescent="0.35">
      <c r="A510" s="5" t="str">
        <f>Loads[[#This Row],[Date]]&amp;Loads[[#This Row],[Product]]</f>
        <v>44234Product2</v>
      </c>
      <c r="B510" s="5">
        <f>COUNTIF($A$1:A510,Loads[[#This Row],[Load]])</f>
        <v>5</v>
      </c>
      <c r="C510" s="3" t="str">
        <f>Loads[[#This Row],[Load]]&amp;Loads[[#This Row],[Count]]</f>
        <v>44234Product25</v>
      </c>
      <c r="D510" s="90">
        <v>44234</v>
      </c>
      <c r="E510" s="143">
        <v>0.1388888888888889</v>
      </c>
      <c r="F510" s="1" t="s">
        <v>9</v>
      </c>
      <c r="G510" s="2" t="s">
        <v>13</v>
      </c>
      <c r="H510" s="2" t="s">
        <v>42</v>
      </c>
      <c r="I510" s="1" t="s">
        <v>11</v>
      </c>
      <c r="J510" s="1" t="s">
        <v>8</v>
      </c>
      <c r="K510" s="89">
        <v>11260</v>
      </c>
      <c r="L510" s="3">
        <v>60.59</v>
      </c>
      <c r="M510" s="3">
        <v>9.16</v>
      </c>
      <c r="N510" s="3" t="s">
        <v>8</v>
      </c>
      <c r="O510" s="3" t="s">
        <v>8</v>
      </c>
    </row>
    <row r="511" spans="1:15" x14ac:dyDescent="0.35">
      <c r="A511" s="5" t="str">
        <f>Loads[[#This Row],[Date]]&amp;Loads[[#This Row],[Product]]</f>
        <v>44234Product2</v>
      </c>
      <c r="B511" s="5">
        <f>COUNTIF($A$1:A511,Loads[[#This Row],[Load]])</f>
        <v>6</v>
      </c>
      <c r="C511" s="3" t="str">
        <f>Loads[[#This Row],[Load]]&amp;Loads[[#This Row],[Count]]</f>
        <v>44234Product26</v>
      </c>
      <c r="D511" s="90">
        <v>44234</v>
      </c>
      <c r="E511" s="143">
        <v>0.13958333333333334</v>
      </c>
      <c r="F511" s="1" t="s">
        <v>9</v>
      </c>
      <c r="G511" s="2" t="s">
        <v>13</v>
      </c>
      <c r="H511" s="2" t="s">
        <v>42</v>
      </c>
      <c r="I511" s="1" t="s">
        <v>11</v>
      </c>
      <c r="J511" s="1" t="s">
        <v>8</v>
      </c>
      <c r="K511" s="89">
        <v>17220</v>
      </c>
      <c r="L511" s="3">
        <v>58.48</v>
      </c>
      <c r="M511" s="3">
        <v>10.210000000000001</v>
      </c>
      <c r="N511" s="3" t="s">
        <v>8</v>
      </c>
      <c r="O511" s="3" t="s">
        <v>8</v>
      </c>
    </row>
    <row r="512" spans="1:15" x14ac:dyDescent="0.35">
      <c r="A512" s="5" t="str">
        <f>Loads[[#This Row],[Date]]&amp;Loads[[#This Row],[Product]]</f>
        <v>44234Product2</v>
      </c>
      <c r="B512" s="5">
        <f>COUNTIF($A$1:A512,Loads[[#This Row],[Load]])</f>
        <v>7</v>
      </c>
      <c r="C512" s="3" t="str">
        <f>Loads[[#This Row],[Load]]&amp;Loads[[#This Row],[Count]]</f>
        <v>44234Product27</v>
      </c>
      <c r="D512" s="90">
        <v>44234</v>
      </c>
      <c r="E512" s="143">
        <v>0.13958333333333334</v>
      </c>
      <c r="F512" s="1" t="s">
        <v>9</v>
      </c>
      <c r="G512" s="2" t="s">
        <v>13</v>
      </c>
      <c r="H512" s="2" t="s">
        <v>42</v>
      </c>
      <c r="I512" s="1" t="s">
        <v>11</v>
      </c>
      <c r="J512" s="1" t="s">
        <v>8</v>
      </c>
      <c r="K512" s="89">
        <v>12780</v>
      </c>
      <c r="L512" s="3">
        <v>60.27</v>
      </c>
      <c r="M512" s="3">
        <v>9.41</v>
      </c>
      <c r="N512" s="3" t="s">
        <v>8</v>
      </c>
      <c r="O512" s="3" t="s">
        <v>8</v>
      </c>
    </row>
    <row r="513" spans="1:15" x14ac:dyDescent="0.35">
      <c r="A513" s="5" t="str">
        <f>Loads[[#This Row],[Date]]&amp;Loads[[#This Row],[Product]]</f>
        <v>44234Product2</v>
      </c>
      <c r="B513" s="5">
        <f>COUNTIF($A$1:A513,Loads[[#This Row],[Load]])</f>
        <v>8</v>
      </c>
      <c r="C513" s="3" t="str">
        <f>Loads[[#This Row],[Load]]&amp;Loads[[#This Row],[Count]]</f>
        <v>44234Product28</v>
      </c>
      <c r="D513" s="90">
        <v>44234</v>
      </c>
      <c r="E513" s="143">
        <v>0.14027777777777778</v>
      </c>
      <c r="F513" s="1" t="s">
        <v>9</v>
      </c>
      <c r="G513" s="2" t="s">
        <v>13</v>
      </c>
      <c r="H513" s="2" t="s">
        <v>42</v>
      </c>
      <c r="I513" s="1" t="s">
        <v>11</v>
      </c>
      <c r="J513" s="1" t="s">
        <v>8</v>
      </c>
      <c r="K513" s="89">
        <v>11820</v>
      </c>
      <c r="L513" s="3">
        <v>56.95</v>
      </c>
      <c r="M513" s="3">
        <v>10.56</v>
      </c>
      <c r="N513" s="3" t="s">
        <v>8</v>
      </c>
      <c r="O513" s="3" t="s">
        <v>8</v>
      </c>
    </row>
    <row r="514" spans="1:15" x14ac:dyDescent="0.35">
      <c r="A514" s="5" t="str">
        <f>Loads[[#This Row],[Date]]&amp;Loads[[#This Row],[Product]]</f>
        <v>44234Product2</v>
      </c>
      <c r="B514" s="5">
        <f>COUNTIF($A$1:A514,Loads[[#This Row],[Load]])</f>
        <v>9</v>
      </c>
      <c r="C514" s="3" t="str">
        <f>Loads[[#This Row],[Load]]&amp;Loads[[#This Row],[Count]]</f>
        <v>44234Product29</v>
      </c>
      <c r="D514" s="90">
        <v>44234</v>
      </c>
      <c r="E514" s="143">
        <v>0.14097222222222222</v>
      </c>
      <c r="F514" s="1" t="s">
        <v>9</v>
      </c>
      <c r="G514" s="2" t="s">
        <v>13</v>
      </c>
      <c r="H514" s="2" t="s">
        <v>42</v>
      </c>
      <c r="I514" s="1" t="s">
        <v>11</v>
      </c>
      <c r="J514" s="1" t="s">
        <v>8</v>
      </c>
      <c r="K514" s="89">
        <v>12160</v>
      </c>
      <c r="L514" s="3">
        <v>55.85</v>
      </c>
      <c r="M514" s="3">
        <v>10.91</v>
      </c>
      <c r="N514" s="3" t="s">
        <v>8</v>
      </c>
      <c r="O514" s="3" t="s">
        <v>8</v>
      </c>
    </row>
    <row r="515" spans="1:15" x14ac:dyDescent="0.35">
      <c r="A515" s="5" t="str">
        <f>Loads[[#This Row],[Date]]&amp;Loads[[#This Row],[Product]]</f>
        <v>44234Product2</v>
      </c>
      <c r="B515" s="5">
        <f>COUNTIF($A$1:A515,Loads[[#This Row],[Load]])</f>
        <v>10</v>
      </c>
      <c r="C515" s="3" t="str">
        <f>Loads[[#This Row],[Load]]&amp;Loads[[#This Row],[Count]]</f>
        <v>44234Product210</v>
      </c>
      <c r="D515" s="90">
        <v>44234</v>
      </c>
      <c r="E515" s="143">
        <v>0.14097222222222222</v>
      </c>
      <c r="F515" s="1" t="s">
        <v>9</v>
      </c>
      <c r="G515" s="2" t="s">
        <v>13</v>
      </c>
      <c r="H515" s="2" t="s">
        <v>42</v>
      </c>
      <c r="I515" s="1" t="s">
        <v>11</v>
      </c>
      <c r="J515" s="1" t="s">
        <v>8</v>
      </c>
      <c r="K515" s="89">
        <v>10760</v>
      </c>
      <c r="L515" s="3">
        <v>57.19</v>
      </c>
      <c r="M515" s="3">
        <v>11.06</v>
      </c>
      <c r="N515" s="3" t="s">
        <v>8</v>
      </c>
      <c r="O515" s="3" t="s">
        <v>8</v>
      </c>
    </row>
    <row r="516" spans="1:15" x14ac:dyDescent="0.35">
      <c r="A516" s="5" t="str">
        <f>Loads[[#This Row],[Date]]&amp;Loads[[#This Row],[Product]]</f>
        <v>44234Product2</v>
      </c>
      <c r="B516" s="5">
        <f>COUNTIF($A$1:A516,Loads[[#This Row],[Load]])</f>
        <v>11</v>
      </c>
      <c r="C516" s="3" t="str">
        <f>Loads[[#This Row],[Load]]&amp;Loads[[#This Row],[Count]]</f>
        <v>44234Product211</v>
      </c>
      <c r="D516" s="90">
        <v>44234</v>
      </c>
      <c r="E516" s="143">
        <v>0.14166666666666666</v>
      </c>
      <c r="F516" s="1" t="s">
        <v>9</v>
      </c>
      <c r="G516" s="2" t="s">
        <v>13</v>
      </c>
      <c r="H516" s="2" t="s">
        <v>42</v>
      </c>
      <c r="I516" s="1" t="s">
        <v>11</v>
      </c>
      <c r="J516" s="1" t="s">
        <v>8</v>
      </c>
      <c r="K516" s="89">
        <v>8640</v>
      </c>
      <c r="L516" s="3">
        <v>59.06</v>
      </c>
      <c r="M516" s="3">
        <v>8.69</v>
      </c>
      <c r="N516" s="3" t="s">
        <v>8</v>
      </c>
      <c r="O516" s="3" t="s">
        <v>8</v>
      </c>
    </row>
    <row r="517" spans="1:15" x14ac:dyDescent="0.35">
      <c r="A517" s="5" t="str">
        <f>Loads[[#This Row],[Date]]&amp;Loads[[#This Row],[Product]]</f>
        <v>44235Product2</v>
      </c>
      <c r="B517" s="5">
        <f>COUNTIF($A$1:A517,Loads[[#This Row],[Load]])</f>
        <v>1</v>
      </c>
      <c r="C517" s="3" t="str">
        <f>Loads[[#This Row],[Load]]&amp;Loads[[#This Row],[Count]]</f>
        <v>44235Product21</v>
      </c>
      <c r="D517" s="90">
        <v>44235</v>
      </c>
      <c r="E517" s="143">
        <v>0.11597222222222221</v>
      </c>
      <c r="F517" s="1" t="s">
        <v>9</v>
      </c>
      <c r="G517" s="2" t="s">
        <v>13</v>
      </c>
      <c r="H517" s="2" t="s">
        <v>42</v>
      </c>
      <c r="I517" s="1" t="s">
        <v>11</v>
      </c>
      <c r="J517" s="1" t="s">
        <v>8</v>
      </c>
      <c r="K517" s="89">
        <v>15680</v>
      </c>
      <c r="L517" s="3">
        <v>58.73</v>
      </c>
      <c r="M517" s="3">
        <v>9.1199999999999992</v>
      </c>
      <c r="N517" s="3" t="s">
        <v>8</v>
      </c>
      <c r="O517" s="3" t="s">
        <v>8</v>
      </c>
    </row>
    <row r="518" spans="1:15" x14ac:dyDescent="0.35">
      <c r="A518" s="5" t="str">
        <f>Loads[[#This Row],[Date]]&amp;Loads[[#This Row],[Product]]</f>
        <v>44235Product2</v>
      </c>
      <c r="B518" s="5">
        <f>COUNTIF($A$1:A518,Loads[[#This Row],[Load]])</f>
        <v>2</v>
      </c>
      <c r="C518" s="3" t="str">
        <f>Loads[[#This Row],[Load]]&amp;Loads[[#This Row],[Count]]</f>
        <v>44235Product22</v>
      </c>
      <c r="D518" s="90">
        <v>44235</v>
      </c>
      <c r="E518" s="143">
        <v>0.1173611111111111</v>
      </c>
      <c r="F518" s="1" t="s">
        <v>9</v>
      </c>
      <c r="G518" s="2" t="s">
        <v>13</v>
      </c>
      <c r="H518" s="2" t="s">
        <v>42</v>
      </c>
      <c r="I518" s="1" t="s">
        <v>11</v>
      </c>
      <c r="J518" s="1" t="s">
        <v>8</v>
      </c>
      <c r="K518" s="89">
        <v>11080</v>
      </c>
      <c r="L518" s="3">
        <v>61.26</v>
      </c>
      <c r="M518" s="3">
        <v>9.64</v>
      </c>
      <c r="N518" s="3" t="s">
        <v>8</v>
      </c>
      <c r="O518" s="3" t="s">
        <v>8</v>
      </c>
    </row>
    <row r="519" spans="1:15" x14ac:dyDescent="0.35">
      <c r="A519" s="5" t="str">
        <f>Loads[[#This Row],[Date]]&amp;Loads[[#This Row],[Product]]</f>
        <v>44235Product2</v>
      </c>
      <c r="B519" s="5">
        <f>COUNTIF($A$1:A519,Loads[[#This Row],[Load]])</f>
        <v>3</v>
      </c>
      <c r="C519" s="3" t="str">
        <f>Loads[[#This Row],[Load]]&amp;Loads[[#This Row],[Count]]</f>
        <v>44235Product23</v>
      </c>
      <c r="D519" s="90">
        <v>44235</v>
      </c>
      <c r="E519" s="143">
        <v>0.1173611111111111</v>
      </c>
      <c r="F519" s="1" t="s">
        <v>9</v>
      </c>
      <c r="G519" s="2" t="s">
        <v>13</v>
      </c>
      <c r="H519" s="2" t="s">
        <v>42</v>
      </c>
      <c r="I519" s="1" t="s">
        <v>11</v>
      </c>
      <c r="J519" s="1" t="s">
        <v>8</v>
      </c>
      <c r="K519" s="89">
        <v>11620</v>
      </c>
      <c r="L519" s="3">
        <v>62.06</v>
      </c>
      <c r="M519" s="3">
        <v>9.74</v>
      </c>
      <c r="N519" s="3" t="s">
        <v>8</v>
      </c>
      <c r="O519" s="3" t="s">
        <v>8</v>
      </c>
    </row>
    <row r="520" spans="1:15" x14ac:dyDescent="0.35">
      <c r="A520" s="5" t="str">
        <f>Loads[[#This Row],[Date]]&amp;Loads[[#This Row],[Product]]</f>
        <v>44235Product2</v>
      </c>
      <c r="B520" s="5">
        <f>COUNTIF($A$1:A520,Loads[[#This Row],[Load]])</f>
        <v>4</v>
      </c>
      <c r="C520" s="3" t="str">
        <f>Loads[[#This Row],[Load]]&amp;Loads[[#This Row],[Count]]</f>
        <v>44235Product24</v>
      </c>
      <c r="D520" s="90">
        <v>44235</v>
      </c>
      <c r="E520" s="143">
        <v>0.11805555555555557</v>
      </c>
      <c r="F520" s="1" t="s">
        <v>9</v>
      </c>
      <c r="G520" s="2" t="s">
        <v>13</v>
      </c>
      <c r="H520" s="2" t="s">
        <v>42</v>
      </c>
      <c r="I520" s="1" t="s">
        <v>11</v>
      </c>
      <c r="J520" s="1" t="s">
        <v>8</v>
      </c>
      <c r="K520" s="89">
        <v>17540</v>
      </c>
      <c r="L520" s="3">
        <v>60.92</v>
      </c>
      <c r="M520" s="3">
        <v>8.64</v>
      </c>
      <c r="N520" s="3" t="s">
        <v>8</v>
      </c>
      <c r="O520" s="3" t="s">
        <v>8</v>
      </c>
    </row>
    <row r="521" spans="1:15" x14ac:dyDescent="0.35">
      <c r="A521" s="5" t="str">
        <f>Loads[[#This Row],[Date]]&amp;Loads[[#This Row],[Product]]</f>
        <v>44235Product2</v>
      </c>
      <c r="B521" s="5">
        <f>COUNTIF($A$1:A521,Loads[[#This Row],[Load]])</f>
        <v>5</v>
      </c>
      <c r="C521" s="3" t="str">
        <f>Loads[[#This Row],[Load]]&amp;Loads[[#This Row],[Count]]</f>
        <v>44235Product25</v>
      </c>
      <c r="D521" s="90">
        <v>44235</v>
      </c>
      <c r="E521" s="143">
        <v>0.11875000000000001</v>
      </c>
      <c r="F521" s="1" t="s">
        <v>9</v>
      </c>
      <c r="G521" s="2" t="s">
        <v>13</v>
      </c>
      <c r="H521" s="2" t="s">
        <v>42</v>
      </c>
      <c r="I521" s="1" t="s">
        <v>11</v>
      </c>
      <c r="J521" s="1" t="s">
        <v>8</v>
      </c>
      <c r="K521" s="89">
        <v>11700</v>
      </c>
      <c r="L521" s="3">
        <v>59.71</v>
      </c>
      <c r="M521" s="3">
        <v>9.44</v>
      </c>
      <c r="N521" s="3" t="s">
        <v>8</v>
      </c>
      <c r="O521" s="3" t="s">
        <v>8</v>
      </c>
    </row>
    <row r="522" spans="1:15" x14ac:dyDescent="0.35">
      <c r="A522" s="5" t="str">
        <f>Loads[[#This Row],[Date]]&amp;Loads[[#This Row],[Product]]</f>
        <v>44235Product2</v>
      </c>
      <c r="B522" s="5">
        <f>COUNTIF($A$1:A522,Loads[[#This Row],[Load]])</f>
        <v>6</v>
      </c>
      <c r="C522" s="3" t="str">
        <f>Loads[[#This Row],[Load]]&amp;Loads[[#This Row],[Count]]</f>
        <v>44235Product26</v>
      </c>
      <c r="D522" s="90">
        <v>44235</v>
      </c>
      <c r="E522" s="143">
        <v>0.11875000000000001</v>
      </c>
      <c r="F522" s="1" t="s">
        <v>9</v>
      </c>
      <c r="G522" s="2" t="s">
        <v>13</v>
      </c>
      <c r="H522" s="2" t="s">
        <v>42</v>
      </c>
      <c r="I522" s="1" t="s">
        <v>11</v>
      </c>
      <c r="J522" s="1" t="s">
        <v>8</v>
      </c>
      <c r="K522" s="89">
        <v>12540</v>
      </c>
      <c r="L522" s="3">
        <v>61.13</v>
      </c>
      <c r="M522" s="3">
        <v>8.33</v>
      </c>
      <c r="N522" s="3" t="s">
        <v>8</v>
      </c>
      <c r="O522" s="3" t="s">
        <v>8</v>
      </c>
    </row>
    <row r="523" spans="1:15" x14ac:dyDescent="0.35">
      <c r="A523" s="5" t="str">
        <f>Loads[[#This Row],[Date]]&amp;Loads[[#This Row],[Product]]</f>
        <v>44235Product2</v>
      </c>
      <c r="B523" s="5">
        <f>COUNTIF($A$1:A523,Loads[[#This Row],[Load]])</f>
        <v>7</v>
      </c>
      <c r="C523" s="3" t="str">
        <f>Loads[[#This Row],[Load]]&amp;Loads[[#This Row],[Count]]</f>
        <v>44235Product27</v>
      </c>
      <c r="D523" s="90">
        <v>44235</v>
      </c>
      <c r="E523" s="143">
        <v>0.11944444444444445</v>
      </c>
      <c r="F523" s="1" t="s">
        <v>9</v>
      </c>
      <c r="G523" s="2" t="s">
        <v>13</v>
      </c>
      <c r="H523" s="2" t="s">
        <v>42</v>
      </c>
      <c r="I523" s="1" t="s">
        <v>11</v>
      </c>
      <c r="J523" s="1" t="s">
        <v>8</v>
      </c>
      <c r="K523" s="89">
        <v>11820</v>
      </c>
      <c r="L523" s="3">
        <v>60.68</v>
      </c>
      <c r="M523" s="3">
        <v>8.81</v>
      </c>
      <c r="N523" s="3" t="s">
        <v>8</v>
      </c>
      <c r="O523" s="3" t="s">
        <v>8</v>
      </c>
    </row>
    <row r="524" spans="1:15" x14ac:dyDescent="0.35">
      <c r="A524" s="5" t="str">
        <f>Loads[[#This Row],[Date]]&amp;Loads[[#This Row],[Product]]</f>
        <v>44235Product2</v>
      </c>
      <c r="B524" s="5">
        <f>COUNTIF($A$1:A524,Loads[[#This Row],[Load]])</f>
        <v>8</v>
      </c>
      <c r="C524" s="3" t="str">
        <f>Loads[[#This Row],[Load]]&amp;Loads[[#This Row],[Count]]</f>
        <v>44235Product28</v>
      </c>
      <c r="D524" s="90">
        <v>44235</v>
      </c>
      <c r="E524" s="143">
        <v>0.11944444444444445</v>
      </c>
      <c r="F524" s="1" t="s">
        <v>9</v>
      </c>
      <c r="G524" s="2" t="s">
        <v>13</v>
      </c>
      <c r="H524" s="2" t="s">
        <v>42</v>
      </c>
      <c r="I524" s="1" t="s">
        <v>11</v>
      </c>
      <c r="J524" s="1" t="s">
        <v>8</v>
      </c>
      <c r="K524" s="89">
        <v>11380</v>
      </c>
      <c r="L524" s="3">
        <v>62.03</v>
      </c>
      <c r="M524" s="3">
        <v>8.6</v>
      </c>
      <c r="N524" s="3" t="s">
        <v>8</v>
      </c>
      <c r="O524" s="3" t="s">
        <v>8</v>
      </c>
    </row>
    <row r="525" spans="1:15" x14ac:dyDescent="0.35">
      <c r="A525" s="5" t="str">
        <f>Loads[[#This Row],[Date]]&amp;Loads[[#This Row],[Product]]</f>
        <v>44235Product2</v>
      </c>
      <c r="B525" s="5">
        <f>COUNTIF($A$1:A525,Loads[[#This Row],[Load]])</f>
        <v>9</v>
      </c>
      <c r="C525" s="3" t="str">
        <f>Loads[[#This Row],[Load]]&amp;Loads[[#This Row],[Count]]</f>
        <v>44235Product29</v>
      </c>
      <c r="D525" s="90">
        <v>44235</v>
      </c>
      <c r="E525" s="143">
        <v>0.12013888888888889</v>
      </c>
      <c r="F525" s="1" t="s">
        <v>9</v>
      </c>
      <c r="G525" s="2" t="s">
        <v>13</v>
      </c>
      <c r="H525" s="2" t="s">
        <v>42</v>
      </c>
      <c r="I525" s="1" t="s">
        <v>11</v>
      </c>
      <c r="J525" s="1" t="s">
        <v>8</v>
      </c>
      <c r="K525" s="89">
        <v>15500</v>
      </c>
      <c r="L525" s="3">
        <v>62.03</v>
      </c>
      <c r="M525" s="3">
        <v>9.09</v>
      </c>
      <c r="N525" s="3" t="s">
        <v>8</v>
      </c>
      <c r="O525" s="3" t="s">
        <v>8</v>
      </c>
    </row>
    <row r="526" spans="1:15" x14ac:dyDescent="0.35">
      <c r="A526" s="5" t="str">
        <f>Loads[[#This Row],[Date]]&amp;Loads[[#This Row],[Product]]</f>
        <v>44235Product2</v>
      </c>
      <c r="B526" s="5">
        <f>COUNTIF($A$1:A526,Loads[[#This Row],[Load]])</f>
        <v>10</v>
      </c>
      <c r="C526" s="3" t="str">
        <f>Loads[[#This Row],[Load]]&amp;Loads[[#This Row],[Count]]</f>
        <v>44235Product210</v>
      </c>
      <c r="D526" s="90">
        <v>44235</v>
      </c>
      <c r="E526" s="143">
        <v>0.12083333333333333</v>
      </c>
      <c r="F526" s="1" t="s">
        <v>9</v>
      </c>
      <c r="G526" s="2" t="s">
        <v>13</v>
      </c>
      <c r="H526" s="2" t="s">
        <v>42</v>
      </c>
      <c r="I526" s="1" t="s">
        <v>11</v>
      </c>
      <c r="J526" s="1" t="s">
        <v>8</v>
      </c>
      <c r="K526" s="89">
        <v>10520</v>
      </c>
      <c r="L526" s="3">
        <v>60.78</v>
      </c>
      <c r="M526" s="3">
        <v>9.44</v>
      </c>
      <c r="N526" s="3" t="s">
        <v>8</v>
      </c>
      <c r="O526" s="3" t="s">
        <v>8</v>
      </c>
    </row>
    <row r="527" spans="1:15" x14ac:dyDescent="0.35">
      <c r="A527" s="5" t="str">
        <f>Loads[[#This Row],[Date]]&amp;Loads[[#This Row],[Product]]</f>
        <v>44235Product2</v>
      </c>
      <c r="B527" s="5">
        <f>COUNTIF($A$1:A527,Loads[[#This Row],[Load]])</f>
        <v>11</v>
      </c>
      <c r="C527" s="3" t="str">
        <f>Loads[[#This Row],[Load]]&amp;Loads[[#This Row],[Count]]</f>
        <v>44235Product211</v>
      </c>
      <c r="D527" s="90">
        <v>44235</v>
      </c>
      <c r="E527" s="143">
        <v>0.12152777777777778</v>
      </c>
      <c r="F527" s="1" t="s">
        <v>9</v>
      </c>
      <c r="G527" s="2" t="s">
        <v>13</v>
      </c>
      <c r="H527" s="2" t="s">
        <v>42</v>
      </c>
      <c r="I527" s="1" t="s">
        <v>11</v>
      </c>
      <c r="J527" s="1" t="s">
        <v>8</v>
      </c>
      <c r="K527" s="89">
        <v>12820</v>
      </c>
      <c r="L527" s="3">
        <v>60.88</v>
      </c>
      <c r="M527" s="3">
        <v>9.1</v>
      </c>
      <c r="N527" s="3" t="s">
        <v>8</v>
      </c>
      <c r="O527" s="3" t="s">
        <v>8</v>
      </c>
    </row>
    <row r="528" spans="1:15" x14ac:dyDescent="0.35">
      <c r="A528" s="5" t="str">
        <f>Loads[[#This Row],[Date]]&amp;Loads[[#This Row],[Product]]</f>
        <v>44235Product2</v>
      </c>
      <c r="B528" s="5">
        <f>COUNTIF($A$1:A528,Loads[[#This Row],[Load]])</f>
        <v>12</v>
      </c>
      <c r="C528" s="3" t="str">
        <f>Loads[[#This Row],[Load]]&amp;Loads[[#This Row],[Count]]</f>
        <v>44235Product212</v>
      </c>
      <c r="D528" s="90">
        <v>44235</v>
      </c>
      <c r="E528" s="143">
        <v>0.12222222222222223</v>
      </c>
      <c r="F528" s="1" t="s">
        <v>9</v>
      </c>
      <c r="G528" s="2" t="s">
        <v>13</v>
      </c>
      <c r="H528" s="2" t="s">
        <v>42</v>
      </c>
      <c r="I528" s="1" t="s">
        <v>11</v>
      </c>
      <c r="J528" s="1" t="s">
        <v>8</v>
      </c>
      <c r="K528" s="89">
        <v>10860</v>
      </c>
      <c r="L528" s="3">
        <v>61.69</v>
      </c>
      <c r="M528" s="3">
        <v>9.15</v>
      </c>
      <c r="N528" s="3" t="s">
        <v>8</v>
      </c>
      <c r="O528" s="3" t="s">
        <v>8</v>
      </c>
    </row>
    <row r="529" spans="1:15" x14ac:dyDescent="0.35">
      <c r="A529" s="5" t="str">
        <f>Loads[[#This Row],[Date]]&amp;Loads[[#This Row],[Product]]</f>
        <v>44235Product2</v>
      </c>
      <c r="B529" s="5">
        <f>COUNTIF($A$1:A529,Loads[[#This Row],[Load]])</f>
        <v>13</v>
      </c>
      <c r="C529" s="3" t="str">
        <f>Loads[[#This Row],[Load]]&amp;Loads[[#This Row],[Count]]</f>
        <v>44235Product213</v>
      </c>
      <c r="D529" s="90">
        <v>44235</v>
      </c>
      <c r="E529" s="143">
        <v>0.12291666666666667</v>
      </c>
      <c r="F529" s="1" t="s">
        <v>9</v>
      </c>
      <c r="G529" s="2" t="s">
        <v>13</v>
      </c>
      <c r="H529" s="2" t="s">
        <v>42</v>
      </c>
      <c r="I529" s="1" t="s">
        <v>11</v>
      </c>
      <c r="J529" s="1" t="s">
        <v>8</v>
      </c>
      <c r="K529" s="89">
        <v>11220</v>
      </c>
      <c r="L529" s="3">
        <v>59.81</v>
      </c>
      <c r="M529" s="3">
        <v>9.35</v>
      </c>
      <c r="N529" s="3" t="s">
        <v>8</v>
      </c>
      <c r="O529" s="3" t="s">
        <v>8</v>
      </c>
    </row>
    <row r="530" spans="1:15" x14ac:dyDescent="0.35">
      <c r="A530" s="5" t="str">
        <f>Loads[[#This Row],[Date]]&amp;Loads[[#This Row],[Product]]</f>
        <v>44235Product2</v>
      </c>
      <c r="B530" s="5">
        <f>COUNTIF($A$1:A530,Loads[[#This Row],[Load]])</f>
        <v>14</v>
      </c>
      <c r="C530" s="3" t="str">
        <f>Loads[[#This Row],[Load]]&amp;Loads[[#This Row],[Count]]</f>
        <v>44235Product214</v>
      </c>
      <c r="D530" s="90">
        <v>44235</v>
      </c>
      <c r="E530" s="143">
        <v>0.12291666666666667</v>
      </c>
      <c r="F530" s="1" t="s">
        <v>9</v>
      </c>
      <c r="G530" s="2" t="s">
        <v>13</v>
      </c>
      <c r="H530" s="2" t="s">
        <v>42</v>
      </c>
      <c r="I530" s="1" t="s">
        <v>11</v>
      </c>
      <c r="J530" s="1" t="s">
        <v>8</v>
      </c>
      <c r="K530" s="89">
        <v>16220</v>
      </c>
      <c r="L530" s="3">
        <v>61.12</v>
      </c>
      <c r="M530" s="3">
        <v>9.8800000000000008</v>
      </c>
      <c r="N530" s="3" t="s">
        <v>8</v>
      </c>
      <c r="O530" s="3" t="s">
        <v>8</v>
      </c>
    </row>
    <row r="531" spans="1:15" x14ac:dyDescent="0.35">
      <c r="A531" s="5" t="str">
        <f>Loads[[#This Row],[Date]]&amp;Loads[[#This Row],[Product]]</f>
        <v>44235Product2</v>
      </c>
      <c r="B531" s="5">
        <f>COUNTIF($A$1:A531,Loads[[#This Row],[Load]])</f>
        <v>15</v>
      </c>
      <c r="C531" s="3" t="str">
        <f>Loads[[#This Row],[Load]]&amp;Loads[[#This Row],[Count]]</f>
        <v>44235Product215</v>
      </c>
      <c r="D531" s="90">
        <v>44235</v>
      </c>
      <c r="E531" s="143">
        <v>0.12361111111111112</v>
      </c>
      <c r="F531" s="1" t="s">
        <v>9</v>
      </c>
      <c r="G531" s="2" t="s">
        <v>13</v>
      </c>
      <c r="H531" s="2" t="s">
        <v>42</v>
      </c>
      <c r="I531" s="1" t="s">
        <v>11</v>
      </c>
      <c r="J531" s="1" t="s">
        <v>8</v>
      </c>
      <c r="K531" s="89">
        <v>11900</v>
      </c>
      <c r="L531" s="3">
        <v>58.65</v>
      </c>
      <c r="M531" s="3">
        <v>10.73</v>
      </c>
      <c r="N531" s="3" t="s">
        <v>8</v>
      </c>
      <c r="O531" s="3" t="s">
        <v>8</v>
      </c>
    </row>
    <row r="532" spans="1:15" x14ac:dyDescent="0.35">
      <c r="A532" s="5" t="str">
        <f>Loads[[#This Row],[Date]]&amp;Loads[[#This Row],[Product]]</f>
        <v>44236Product2</v>
      </c>
      <c r="B532" s="5">
        <f>COUNTIF($A$1:A532,Loads[[#This Row],[Load]])</f>
        <v>1</v>
      </c>
      <c r="C532" s="3" t="str">
        <f>Loads[[#This Row],[Load]]&amp;Loads[[#This Row],[Count]]</f>
        <v>44236Product21</v>
      </c>
      <c r="D532" s="90">
        <v>44236</v>
      </c>
      <c r="E532" s="143">
        <v>7.9861111111111105E-2</v>
      </c>
      <c r="F532" s="1" t="s">
        <v>9</v>
      </c>
      <c r="G532" s="2" t="s">
        <v>13</v>
      </c>
      <c r="H532" s="2" t="s">
        <v>42</v>
      </c>
      <c r="I532" s="1" t="s">
        <v>11</v>
      </c>
      <c r="J532" s="1" t="s">
        <v>8</v>
      </c>
      <c r="K532" s="89">
        <v>11820</v>
      </c>
      <c r="L532" s="3">
        <v>61.85</v>
      </c>
      <c r="M532" s="3">
        <v>9.02</v>
      </c>
      <c r="N532" s="3" t="s">
        <v>8</v>
      </c>
      <c r="O532" s="3" t="s">
        <v>8</v>
      </c>
    </row>
    <row r="533" spans="1:15" x14ac:dyDescent="0.35">
      <c r="A533" s="5" t="str">
        <f>Loads[[#This Row],[Date]]&amp;Loads[[#This Row],[Product]]</f>
        <v>44236Product2</v>
      </c>
      <c r="B533" s="5">
        <f>COUNTIF($A$1:A533,Loads[[#This Row],[Load]])</f>
        <v>2</v>
      </c>
      <c r="C533" s="3" t="str">
        <f>Loads[[#This Row],[Load]]&amp;Loads[[#This Row],[Count]]</f>
        <v>44236Product22</v>
      </c>
      <c r="D533" s="90">
        <v>44236</v>
      </c>
      <c r="E533" s="143">
        <v>8.0555555555555561E-2</v>
      </c>
      <c r="F533" s="1" t="s">
        <v>9</v>
      </c>
      <c r="G533" s="2" t="s">
        <v>13</v>
      </c>
      <c r="H533" s="2" t="s">
        <v>42</v>
      </c>
      <c r="I533" s="1" t="s">
        <v>11</v>
      </c>
      <c r="J533" s="1" t="s">
        <v>8</v>
      </c>
      <c r="K533" s="89">
        <v>12680</v>
      </c>
      <c r="L533" s="3">
        <v>62.02</v>
      </c>
      <c r="M533" s="3">
        <v>8.98</v>
      </c>
      <c r="N533" s="3" t="s">
        <v>8</v>
      </c>
      <c r="O533" s="3" t="s">
        <v>8</v>
      </c>
    </row>
    <row r="534" spans="1:15" x14ac:dyDescent="0.35">
      <c r="A534" s="5" t="str">
        <f>Loads[[#This Row],[Date]]&amp;Loads[[#This Row],[Product]]</f>
        <v>44237Product2</v>
      </c>
      <c r="B534" s="5">
        <f>COUNTIF($A$1:A534,Loads[[#This Row],[Load]])</f>
        <v>1</v>
      </c>
      <c r="C534" s="3" t="str">
        <f>Loads[[#This Row],[Load]]&amp;Loads[[#This Row],[Count]]</f>
        <v>44237Product21</v>
      </c>
      <c r="D534" s="90">
        <v>44237</v>
      </c>
      <c r="E534" s="143">
        <v>9.5833333333333326E-2</v>
      </c>
      <c r="F534" s="1" t="s">
        <v>9</v>
      </c>
      <c r="G534" s="2" t="s">
        <v>13</v>
      </c>
      <c r="H534" s="2" t="s">
        <v>42</v>
      </c>
      <c r="I534" s="1" t="s">
        <v>11</v>
      </c>
      <c r="J534" s="1" t="s">
        <v>8</v>
      </c>
      <c r="K534" s="89">
        <v>14200</v>
      </c>
      <c r="L534" s="3">
        <v>58.93</v>
      </c>
      <c r="M534" s="3">
        <v>9.9499999999999993</v>
      </c>
      <c r="N534" s="3" t="s">
        <v>8</v>
      </c>
      <c r="O534" s="3" t="s">
        <v>8</v>
      </c>
    </row>
    <row r="535" spans="1:15" x14ac:dyDescent="0.35">
      <c r="A535" s="5" t="str">
        <f>Loads[[#This Row],[Date]]&amp;Loads[[#This Row],[Product]]</f>
        <v>44237Product2</v>
      </c>
      <c r="B535" s="5">
        <f>COUNTIF($A$1:A535,Loads[[#This Row],[Load]])</f>
        <v>2</v>
      </c>
      <c r="C535" s="3" t="str">
        <f>Loads[[#This Row],[Load]]&amp;Loads[[#This Row],[Count]]</f>
        <v>44237Product22</v>
      </c>
      <c r="D535" s="90">
        <v>44237</v>
      </c>
      <c r="E535" s="143">
        <v>9.7222222222222224E-2</v>
      </c>
      <c r="F535" s="1" t="s">
        <v>9</v>
      </c>
      <c r="G535" s="2" t="s">
        <v>13</v>
      </c>
      <c r="H535" s="2" t="s">
        <v>42</v>
      </c>
      <c r="I535" s="1" t="s">
        <v>11</v>
      </c>
      <c r="J535" s="1" t="s">
        <v>8</v>
      </c>
      <c r="K535" s="89">
        <v>11180</v>
      </c>
      <c r="L535" s="3">
        <v>60.9</v>
      </c>
      <c r="M535" s="3">
        <v>7.66</v>
      </c>
      <c r="N535" s="3" t="s">
        <v>8</v>
      </c>
      <c r="O535" s="3" t="s">
        <v>8</v>
      </c>
    </row>
    <row r="536" spans="1:15" x14ac:dyDescent="0.35">
      <c r="A536" s="5" t="str">
        <f>Loads[[#This Row],[Date]]&amp;Loads[[#This Row],[Product]]</f>
        <v>44237Product2</v>
      </c>
      <c r="B536" s="5">
        <f>COUNTIF($A$1:A536,Loads[[#This Row],[Load]])</f>
        <v>3</v>
      </c>
      <c r="C536" s="3" t="str">
        <f>Loads[[#This Row],[Load]]&amp;Loads[[#This Row],[Count]]</f>
        <v>44237Product23</v>
      </c>
      <c r="D536" s="90">
        <v>44237</v>
      </c>
      <c r="E536" s="143">
        <v>9.7222222222222224E-2</v>
      </c>
      <c r="F536" s="1" t="s">
        <v>9</v>
      </c>
      <c r="G536" s="2" t="s">
        <v>13</v>
      </c>
      <c r="H536" s="2" t="s">
        <v>42</v>
      </c>
      <c r="I536" s="1" t="s">
        <v>11</v>
      </c>
      <c r="J536" s="1" t="s">
        <v>8</v>
      </c>
      <c r="K536" s="89">
        <v>10700</v>
      </c>
      <c r="L536" s="3">
        <v>57.26</v>
      </c>
      <c r="M536" s="3">
        <v>9.69</v>
      </c>
      <c r="N536" s="3" t="s">
        <v>8</v>
      </c>
      <c r="O536" s="3" t="s">
        <v>8</v>
      </c>
    </row>
    <row r="537" spans="1:15" x14ac:dyDescent="0.35">
      <c r="A537" s="5" t="str">
        <f>Loads[[#This Row],[Date]]&amp;Loads[[#This Row],[Product]]</f>
        <v>44237Product2</v>
      </c>
      <c r="B537" s="5">
        <f>COUNTIF($A$1:A537,Loads[[#This Row],[Load]])</f>
        <v>4</v>
      </c>
      <c r="C537" s="3" t="str">
        <f>Loads[[#This Row],[Load]]&amp;Loads[[#This Row],[Count]]</f>
        <v>44237Product24</v>
      </c>
      <c r="D537" s="90">
        <v>44237</v>
      </c>
      <c r="E537" s="143">
        <v>9.7916666666666666E-2</v>
      </c>
      <c r="F537" s="1" t="s">
        <v>9</v>
      </c>
      <c r="G537" s="2" t="s">
        <v>13</v>
      </c>
      <c r="H537" s="2" t="s">
        <v>42</v>
      </c>
      <c r="I537" s="1" t="s">
        <v>11</v>
      </c>
      <c r="J537" s="1" t="s">
        <v>8</v>
      </c>
      <c r="K537" s="89">
        <v>12100</v>
      </c>
      <c r="L537" s="3">
        <v>59.34</v>
      </c>
      <c r="M537" s="3">
        <v>10.29</v>
      </c>
      <c r="N537" s="3" t="s">
        <v>8</v>
      </c>
      <c r="O537" s="3" t="s">
        <v>8</v>
      </c>
    </row>
    <row r="538" spans="1:15" x14ac:dyDescent="0.35">
      <c r="A538" s="5" t="str">
        <f>Loads[[#This Row],[Date]]&amp;Loads[[#This Row],[Product]]</f>
        <v>44238Product2</v>
      </c>
      <c r="B538" s="5">
        <f>COUNTIF($A$1:A538,Loads[[#This Row],[Load]])</f>
        <v>1</v>
      </c>
      <c r="C538" s="3" t="str">
        <f>Loads[[#This Row],[Load]]&amp;Loads[[#This Row],[Count]]</f>
        <v>44238Product21</v>
      </c>
      <c r="D538" s="90">
        <v>44238</v>
      </c>
      <c r="E538" s="143">
        <v>5.4166666666666669E-2</v>
      </c>
      <c r="F538" s="1" t="s">
        <v>9</v>
      </c>
      <c r="G538" s="2" t="s">
        <v>13</v>
      </c>
      <c r="H538" s="2" t="s">
        <v>42</v>
      </c>
      <c r="I538" s="1" t="s">
        <v>11</v>
      </c>
      <c r="J538" s="1" t="s">
        <v>8</v>
      </c>
      <c r="K538" s="89">
        <v>13000</v>
      </c>
      <c r="L538" s="3">
        <v>57.73</v>
      </c>
      <c r="M538" s="3">
        <v>10.26</v>
      </c>
      <c r="N538" s="3" t="s">
        <v>8</v>
      </c>
      <c r="O538" s="3" t="s">
        <v>8</v>
      </c>
    </row>
    <row r="539" spans="1:15" x14ac:dyDescent="0.35">
      <c r="A539" s="5" t="str">
        <f>Loads[[#This Row],[Date]]&amp;Loads[[#This Row],[Product]]</f>
        <v>44238Product2</v>
      </c>
      <c r="B539" s="5">
        <f>COUNTIF($A$1:A539,Loads[[#This Row],[Load]])</f>
        <v>2</v>
      </c>
      <c r="C539" s="3" t="str">
        <f>Loads[[#This Row],[Load]]&amp;Loads[[#This Row],[Count]]</f>
        <v>44238Product22</v>
      </c>
      <c r="D539" s="90">
        <v>44238</v>
      </c>
      <c r="E539" s="143">
        <v>5.486111111111111E-2</v>
      </c>
      <c r="F539" s="1" t="s">
        <v>9</v>
      </c>
      <c r="G539" s="2" t="s">
        <v>13</v>
      </c>
      <c r="H539" s="2" t="s">
        <v>42</v>
      </c>
      <c r="I539" s="1" t="s">
        <v>11</v>
      </c>
      <c r="J539" s="1" t="s">
        <v>8</v>
      </c>
      <c r="K539" s="89">
        <v>12500</v>
      </c>
      <c r="L539" s="3">
        <v>56.7</v>
      </c>
      <c r="M539" s="3">
        <v>10.1</v>
      </c>
      <c r="N539" s="3" t="s">
        <v>8</v>
      </c>
      <c r="O539" s="3" t="s">
        <v>8</v>
      </c>
    </row>
    <row r="540" spans="1:15" x14ac:dyDescent="0.35">
      <c r="A540" s="5" t="str">
        <f>Loads[[#This Row],[Date]]&amp;Loads[[#This Row],[Product]]</f>
        <v>44238Product2</v>
      </c>
      <c r="B540" s="5">
        <f>COUNTIF($A$1:A540,Loads[[#This Row],[Load]])</f>
        <v>3</v>
      </c>
      <c r="C540" s="3" t="str">
        <f>Loads[[#This Row],[Load]]&amp;Loads[[#This Row],[Count]]</f>
        <v>44238Product23</v>
      </c>
      <c r="D540" s="90">
        <v>44238</v>
      </c>
      <c r="E540" s="143">
        <v>5.5555555555555552E-2</v>
      </c>
      <c r="F540" s="1" t="s">
        <v>9</v>
      </c>
      <c r="G540" s="2" t="s">
        <v>13</v>
      </c>
      <c r="H540" s="2" t="s">
        <v>42</v>
      </c>
      <c r="I540" s="1" t="s">
        <v>11</v>
      </c>
      <c r="J540" s="1" t="s">
        <v>8</v>
      </c>
      <c r="K540" s="89">
        <v>12500</v>
      </c>
      <c r="L540" s="3">
        <v>56.43</v>
      </c>
      <c r="M540" s="3">
        <v>9.6300000000000008</v>
      </c>
      <c r="N540" s="3" t="s">
        <v>8</v>
      </c>
      <c r="O540" s="3" t="s">
        <v>8</v>
      </c>
    </row>
    <row r="541" spans="1:15" x14ac:dyDescent="0.35">
      <c r="A541" s="5" t="str">
        <f>Loads[[#This Row],[Date]]&amp;Loads[[#This Row],[Product]]</f>
        <v>44239Product2</v>
      </c>
      <c r="B541" s="5">
        <f>COUNTIF($A$1:A541,Loads[[#This Row],[Load]])</f>
        <v>1</v>
      </c>
      <c r="C541" s="3" t="str">
        <f>Loads[[#This Row],[Load]]&amp;Loads[[#This Row],[Count]]</f>
        <v>44239Product21</v>
      </c>
      <c r="D541" s="90">
        <v>44239</v>
      </c>
      <c r="E541" s="143">
        <v>5.2777777777777778E-2</v>
      </c>
      <c r="F541" s="1" t="s">
        <v>9</v>
      </c>
      <c r="G541" s="2" t="s">
        <v>13</v>
      </c>
      <c r="H541" s="2" t="s">
        <v>42</v>
      </c>
      <c r="I541" s="1" t="s">
        <v>11</v>
      </c>
      <c r="J541" s="1" t="s">
        <v>8</v>
      </c>
      <c r="K541" s="89">
        <v>17000</v>
      </c>
      <c r="L541" s="3">
        <v>59.91</v>
      </c>
      <c r="M541" s="3">
        <v>10.42</v>
      </c>
      <c r="N541" s="3" t="s">
        <v>8</v>
      </c>
      <c r="O541" s="3" t="s">
        <v>8</v>
      </c>
    </row>
    <row r="542" spans="1:15" x14ac:dyDescent="0.35">
      <c r="A542" s="5" t="str">
        <f>Loads[[#This Row],[Date]]&amp;Loads[[#This Row],[Product]]</f>
        <v>44239Product2</v>
      </c>
      <c r="B542" s="5">
        <f>COUNTIF($A$1:A542,Loads[[#This Row],[Load]])</f>
        <v>2</v>
      </c>
      <c r="C542" s="3" t="str">
        <f>Loads[[#This Row],[Load]]&amp;Loads[[#This Row],[Count]]</f>
        <v>44239Product22</v>
      </c>
      <c r="D542" s="90">
        <v>44239</v>
      </c>
      <c r="E542" s="143">
        <v>0.29375000000000001</v>
      </c>
      <c r="F542" s="1" t="s">
        <v>9</v>
      </c>
      <c r="G542" s="2" t="s">
        <v>13</v>
      </c>
      <c r="H542" s="2" t="s">
        <v>42</v>
      </c>
      <c r="I542" s="1" t="s">
        <v>11</v>
      </c>
      <c r="J542" s="1" t="s">
        <v>8</v>
      </c>
      <c r="K542" s="89">
        <v>12500</v>
      </c>
      <c r="L542" s="3">
        <v>56.48</v>
      </c>
      <c r="M542" s="3">
        <v>10.71</v>
      </c>
      <c r="N542" s="3" t="s">
        <v>8</v>
      </c>
      <c r="O542" s="3" t="s">
        <v>8</v>
      </c>
    </row>
    <row r="543" spans="1:15" x14ac:dyDescent="0.35">
      <c r="A543" s="5" t="str">
        <f>Loads[[#This Row],[Date]]&amp;Loads[[#This Row],[Product]]</f>
        <v>44239Product2</v>
      </c>
      <c r="B543" s="5">
        <f>COUNTIF($A$1:A543,Loads[[#This Row],[Load]])</f>
        <v>3</v>
      </c>
      <c r="C543" s="3" t="str">
        <f>Loads[[#This Row],[Load]]&amp;Loads[[#This Row],[Count]]</f>
        <v>44239Product23</v>
      </c>
      <c r="D543" s="90">
        <v>44239</v>
      </c>
      <c r="E543" s="143">
        <v>0.29444444444444445</v>
      </c>
      <c r="F543" s="1" t="s">
        <v>9</v>
      </c>
      <c r="G543" s="2" t="s">
        <v>13</v>
      </c>
      <c r="H543" s="2" t="s">
        <v>42</v>
      </c>
      <c r="I543" s="1" t="s">
        <v>11</v>
      </c>
      <c r="J543" s="1" t="s">
        <v>8</v>
      </c>
      <c r="K543" s="89">
        <v>17000</v>
      </c>
      <c r="L543" s="3">
        <v>58</v>
      </c>
      <c r="M543" s="3">
        <v>9.82</v>
      </c>
      <c r="N543" s="3" t="s">
        <v>8</v>
      </c>
      <c r="O543" s="3" t="s">
        <v>8</v>
      </c>
    </row>
    <row r="544" spans="1:15" x14ac:dyDescent="0.35">
      <c r="A544" s="5" t="str">
        <f>Loads[[#This Row],[Date]]&amp;Loads[[#This Row],[Product]]</f>
        <v>44239Product2</v>
      </c>
      <c r="B544" s="5">
        <f>COUNTIF($A$1:A544,Loads[[#This Row],[Load]])</f>
        <v>4</v>
      </c>
      <c r="C544" s="3" t="str">
        <f>Loads[[#This Row],[Load]]&amp;Loads[[#This Row],[Count]]</f>
        <v>44239Product24</v>
      </c>
      <c r="D544" s="90">
        <v>44239</v>
      </c>
      <c r="E544" s="143">
        <v>0.29652777777777778</v>
      </c>
      <c r="F544" s="1" t="s">
        <v>9</v>
      </c>
      <c r="G544" s="2" t="s">
        <v>13</v>
      </c>
      <c r="H544" s="2" t="s">
        <v>42</v>
      </c>
      <c r="I544" s="1" t="s">
        <v>11</v>
      </c>
      <c r="J544" s="1" t="s">
        <v>8</v>
      </c>
      <c r="K544" s="89">
        <v>12820</v>
      </c>
      <c r="L544" s="3">
        <v>60.44</v>
      </c>
      <c r="M544" s="3">
        <v>9.9700000000000006</v>
      </c>
      <c r="N544" s="3" t="s">
        <v>8</v>
      </c>
      <c r="O544" s="3" t="s">
        <v>8</v>
      </c>
    </row>
    <row r="545" spans="1:15" x14ac:dyDescent="0.35">
      <c r="A545" s="5" t="str">
        <f>Loads[[#This Row],[Date]]&amp;Loads[[#This Row],[Product]]</f>
        <v>44239Product2</v>
      </c>
      <c r="B545" s="5">
        <f>COUNTIF($A$1:A545,Loads[[#This Row],[Load]])</f>
        <v>5</v>
      </c>
      <c r="C545" s="3" t="str">
        <f>Loads[[#This Row],[Load]]&amp;Loads[[#This Row],[Count]]</f>
        <v>44239Product25</v>
      </c>
      <c r="D545" s="90">
        <v>44239</v>
      </c>
      <c r="E545" s="143">
        <v>0.29722222222222222</v>
      </c>
      <c r="F545" s="1" t="s">
        <v>9</v>
      </c>
      <c r="G545" s="2" t="s">
        <v>13</v>
      </c>
      <c r="H545" s="2" t="s">
        <v>42</v>
      </c>
      <c r="I545" s="1" t="s">
        <v>11</v>
      </c>
      <c r="J545" s="1" t="s">
        <v>8</v>
      </c>
      <c r="K545" s="89">
        <v>12320</v>
      </c>
      <c r="L545" s="3">
        <v>58.32</v>
      </c>
      <c r="M545" s="3">
        <v>10.210000000000001</v>
      </c>
      <c r="N545" s="3" t="s">
        <v>8</v>
      </c>
      <c r="O545" s="3" t="s">
        <v>8</v>
      </c>
    </row>
    <row r="546" spans="1:15" x14ac:dyDescent="0.35">
      <c r="A546" s="5" t="str">
        <f>Loads[[#This Row],[Date]]&amp;Loads[[#This Row],[Product]]</f>
        <v>44240Product2</v>
      </c>
      <c r="B546" s="5">
        <f>COUNTIF($A$1:A546,Loads[[#This Row],[Load]])</f>
        <v>1</v>
      </c>
      <c r="C546" s="3" t="str">
        <f>Loads[[#This Row],[Load]]&amp;Loads[[#This Row],[Count]]</f>
        <v>44240Product21</v>
      </c>
      <c r="D546" s="90">
        <v>44240</v>
      </c>
      <c r="E546" s="143">
        <v>6.5972222222222224E-2</v>
      </c>
      <c r="F546" s="1" t="s">
        <v>9</v>
      </c>
      <c r="G546" s="2" t="s">
        <v>13</v>
      </c>
      <c r="H546" s="2" t="s">
        <v>42</v>
      </c>
      <c r="I546" s="1" t="s">
        <v>11</v>
      </c>
      <c r="J546" s="1" t="s">
        <v>8</v>
      </c>
      <c r="K546" s="89">
        <v>12100</v>
      </c>
      <c r="L546" s="3">
        <v>59.03</v>
      </c>
      <c r="M546" s="3">
        <v>9.31</v>
      </c>
      <c r="N546" s="3" t="s">
        <v>8</v>
      </c>
      <c r="O546" s="3" t="s">
        <v>8</v>
      </c>
    </row>
    <row r="547" spans="1:15" x14ac:dyDescent="0.35">
      <c r="A547" s="5" t="str">
        <f>Loads[[#This Row],[Date]]&amp;Loads[[#This Row],[Product]]</f>
        <v>44240Product2</v>
      </c>
      <c r="B547" s="5">
        <f>COUNTIF($A$1:A547,Loads[[#This Row],[Load]])</f>
        <v>2</v>
      </c>
      <c r="C547" s="3" t="str">
        <f>Loads[[#This Row],[Load]]&amp;Loads[[#This Row],[Count]]</f>
        <v>44240Product22</v>
      </c>
      <c r="D547" s="90">
        <v>44240</v>
      </c>
      <c r="E547" s="143">
        <v>6.6666666666666666E-2</v>
      </c>
      <c r="F547" s="1" t="s">
        <v>9</v>
      </c>
      <c r="G547" s="2" t="s">
        <v>13</v>
      </c>
      <c r="H547" s="2" t="s">
        <v>42</v>
      </c>
      <c r="I547" s="1" t="s">
        <v>11</v>
      </c>
      <c r="J547" s="1" t="s">
        <v>8</v>
      </c>
      <c r="K547" s="89">
        <v>16240</v>
      </c>
      <c r="L547" s="3">
        <v>59.71</v>
      </c>
      <c r="M547" s="3">
        <v>9.56</v>
      </c>
      <c r="N547" s="3" t="s">
        <v>8</v>
      </c>
      <c r="O547" s="3" t="s">
        <v>8</v>
      </c>
    </row>
    <row r="548" spans="1:15" x14ac:dyDescent="0.35">
      <c r="A548" s="5" t="str">
        <f>Loads[[#This Row],[Date]]&amp;Loads[[#This Row],[Product]]</f>
        <v>44240Product2</v>
      </c>
      <c r="B548" s="5">
        <f>COUNTIF($A$1:A548,Loads[[#This Row],[Load]])</f>
        <v>3</v>
      </c>
      <c r="C548" s="3" t="str">
        <f>Loads[[#This Row],[Load]]&amp;Loads[[#This Row],[Count]]</f>
        <v>44240Product23</v>
      </c>
      <c r="D548" s="90">
        <v>44240</v>
      </c>
      <c r="E548" s="143">
        <v>6.7361111111111108E-2</v>
      </c>
      <c r="F548" s="1" t="s">
        <v>9</v>
      </c>
      <c r="G548" s="2" t="s">
        <v>13</v>
      </c>
      <c r="H548" s="2" t="s">
        <v>42</v>
      </c>
      <c r="I548" s="1" t="s">
        <v>11</v>
      </c>
      <c r="J548" s="1" t="s">
        <v>8</v>
      </c>
      <c r="K548" s="89">
        <v>16340</v>
      </c>
      <c r="L548" s="3">
        <v>58.29</v>
      </c>
      <c r="M548" s="3">
        <v>9.5</v>
      </c>
      <c r="N548" s="3" t="s">
        <v>8</v>
      </c>
      <c r="O548" s="3" t="s">
        <v>8</v>
      </c>
    </row>
    <row r="549" spans="1:15" x14ac:dyDescent="0.35">
      <c r="A549" s="5" t="str">
        <f>Loads[[#This Row],[Date]]&amp;Loads[[#This Row],[Product]]</f>
        <v>44240Product2</v>
      </c>
      <c r="B549" s="5">
        <f>COUNTIF($A$1:A549,Loads[[#This Row],[Load]])</f>
        <v>4</v>
      </c>
      <c r="C549" s="3" t="str">
        <f>Loads[[#This Row],[Load]]&amp;Loads[[#This Row],[Count]]</f>
        <v>44240Product24</v>
      </c>
      <c r="D549" s="90">
        <v>44240</v>
      </c>
      <c r="E549" s="143">
        <v>6.805555555555555E-2</v>
      </c>
      <c r="F549" s="1" t="s">
        <v>9</v>
      </c>
      <c r="G549" s="2" t="s">
        <v>13</v>
      </c>
      <c r="H549" s="2" t="s">
        <v>42</v>
      </c>
      <c r="I549" s="1" t="s">
        <v>11</v>
      </c>
      <c r="J549" s="1" t="s">
        <v>8</v>
      </c>
      <c r="K549" s="89">
        <v>10080</v>
      </c>
      <c r="L549" s="3">
        <v>58.64</v>
      </c>
      <c r="M549" s="3">
        <v>10.33</v>
      </c>
      <c r="N549" s="3" t="s">
        <v>8</v>
      </c>
      <c r="O549" s="3" t="s">
        <v>8</v>
      </c>
    </row>
    <row r="550" spans="1:15" x14ac:dyDescent="0.35">
      <c r="A550" s="5" t="str">
        <f>Loads[[#This Row],[Date]]&amp;Loads[[#This Row],[Product]]</f>
        <v>44240Product2</v>
      </c>
      <c r="B550" s="5">
        <f>COUNTIF($A$1:A550,Loads[[#This Row],[Load]])</f>
        <v>5</v>
      </c>
      <c r="C550" s="3" t="str">
        <f>Loads[[#This Row],[Load]]&amp;Loads[[#This Row],[Count]]</f>
        <v>44240Product25</v>
      </c>
      <c r="D550" s="90">
        <v>44240</v>
      </c>
      <c r="E550" s="143">
        <v>6.8749999999999992E-2</v>
      </c>
      <c r="F550" s="1" t="s">
        <v>9</v>
      </c>
      <c r="G550" s="2" t="s">
        <v>13</v>
      </c>
      <c r="H550" s="2" t="s">
        <v>42</v>
      </c>
      <c r="I550" s="1" t="s">
        <v>11</v>
      </c>
      <c r="J550" s="1" t="s">
        <v>8</v>
      </c>
      <c r="K550" s="89">
        <v>15380</v>
      </c>
      <c r="L550" s="3">
        <v>58.23</v>
      </c>
      <c r="M550" s="3">
        <v>8.5299999999999994</v>
      </c>
      <c r="N550" s="3" t="s">
        <v>8</v>
      </c>
      <c r="O550" s="3" t="s">
        <v>8</v>
      </c>
    </row>
    <row r="551" spans="1:15" x14ac:dyDescent="0.35">
      <c r="A551" s="5" t="str">
        <f>Loads[[#This Row],[Date]]&amp;Loads[[#This Row],[Product]]</f>
        <v>44240Product2</v>
      </c>
      <c r="B551" s="5">
        <f>COUNTIF($A$1:A551,Loads[[#This Row],[Load]])</f>
        <v>6</v>
      </c>
      <c r="C551" s="3" t="str">
        <f>Loads[[#This Row],[Load]]&amp;Loads[[#This Row],[Count]]</f>
        <v>44240Product26</v>
      </c>
      <c r="D551" s="90">
        <v>44240</v>
      </c>
      <c r="E551" s="143">
        <v>6.9444444444444434E-2</v>
      </c>
      <c r="F551" s="1" t="s">
        <v>9</v>
      </c>
      <c r="G551" s="2" t="s">
        <v>13</v>
      </c>
      <c r="H551" s="2" t="s">
        <v>42</v>
      </c>
      <c r="I551" s="1" t="s">
        <v>11</v>
      </c>
      <c r="J551" s="1" t="s">
        <v>8</v>
      </c>
      <c r="K551" s="89">
        <v>11840</v>
      </c>
      <c r="L551" s="3">
        <v>63.27</v>
      </c>
      <c r="M551" s="3">
        <v>8.65</v>
      </c>
      <c r="N551" s="3" t="s">
        <v>8</v>
      </c>
      <c r="O551" s="3" t="s">
        <v>8</v>
      </c>
    </row>
    <row r="552" spans="1:15" x14ac:dyDescent="0.35">
      <c r="A552" s="5" t="str">
        <f>Loads[[#This Row],[Date]]&amp;Loads[[#This Row],[Product]]</f>
        <v>44240Product2</v>
      </c>
      <c r="B552" s="5">
        <f>COUNTIF($A$1:A552,Loads[[#This Row],[Load]])</f>
        <v>7</v>
      </c>
      <c r="C552" s="3" t="str">
        <f>Loads[[#This Row],[Load]]&amp;Loads[[#This Row],[Count]]</f>
        <v>44240Product27</v>
      </c>
      <c r="D552" s="90">
        <v>44240</v>
      </c>
      <c r="E552" s="143">
        <v>7.013888888888889E-2</v>
      </c>
      <c r="F552" s="1" t="s">
        <v>9</v>
      </c>
      <c r="G552" s="2" t="s">
        <v>13</v>
      </c>
      <c r="H552" s="2" t="s">
        <v>42</v>
      </c>
      <c r="I552" s="1" t="s">
        <v>11</v>
      </c>
      <c r="J552" s="1" t="s">
        <v>8</v>
      </c>
      <c r="K552" s="89">
        <v>12320</v>
      </c>
      <c r="L552" s="3">
        <v>59.69</v>
      </c>
      <c r="M552" s="3">
        <v>10.24</v>
      </c>
      <c r="N552" s="3" t="s">
        <v>8</v>
      </c>
      <c r="O552" s="3" t="s">
        <v>8</v>
      </c>
    </row>
    <row r="553" spans="1:15" x14ac:dyDescent="0.35">
      <c r="A553" s="5" t="str">
        <f>Loads[[#This Row],[Date]]&amp;Loads[[#This Row],[Product]]</f>
        <v>44240Product2</v>
      </c>
      <c r="B553" s="5">
        <f>COUNTIF($A$1:A553,Loads[[#This Row],[Load]])</f>
        <v>8</v>
      </c>
      <c r="C553" s="3" t="str">
        <f>Loads[[#This Row],[Load]]&amp;Loads[[#This Row],[Count]]</f>
        <v>44240Product28</v>
      </c>
      <c r="D553" s="90">
        <v>44240</v>
      </c>
      <c r="E553" s="143">
        <v>7.0833333333333331E-2</v>
      </c>
      <c r="F553" s="1" t="s">
        <v>9</v>
      </c>
      <c r="G553" s="2" t="s">
        <v>13</v>
      </c>
      <c r="H553" s="2" t="s">
        <v>42</v>
      </c>
      <c r="I553" s="1" t="s">
        <v>11</v>
      </c>
      <c r="J553" s="1" t="s">
        <v>8</v>
      </c>
      <c r="K553" s="89">
        <v>11040</v>
      </c>
      <c r="L553" s="3">
        <v>56.42</v>
      </c>
      <c r="M553" s="3">
        <v>11.72</v>
      </c>
      <c r="N553" s="3" t="s">
        <v>8</v>
      </c>
      <c r="O553" s="3" t="s">
        <v>8</v>
      </c>
    </row>
    <row r="554" spans="1:15" x14ac:dyDescent="0.35">
      <c r="A554" s="5" t="str">
        <f>Loads[[#This Row],[Date]]&amp;Loads[[#This Row],[Product]]</f>
        <v>44240Product2</v>
      </c>
      <c r="B554" s="5">
        <f>COUNTIF($A$1:A554,Loads[[#This Row],[Load]])</f>
        <v>9</v>
      </c>
      <c r="C554" s="3" t="str">
        <f>Loads[[#This Row],[Load]]&amp;Loads[[#This Row],[Count]]</f>
        <v>44240Product29</v>
      </c>
      <c r="D554" s="90">
        <v>44240</v>
      </c>
      <c r="E554" s="143">
        <v>7.2222222222222229E-2</v>
      </c>
      <c r="F554" s="1" t="s">
        <v>9</v>
      </c>
      <c r="G554" s="2" t="s">
        <v>13</v>
      </c>
      <c r="H554" s="2" t="s">
        <v>42</v>
      </c>
      <c r="I554" s="1" t="s">
        <v>11</v>
      </c>
      <c r="J554" s="1" t="s">
        <v>8</v>
      </c>
      <c r="K554" s="89">
        <v>11340</v>
      </c>
      <c r="L554" s="3">
        <v>57.76</v>
      </c>
      <c r="M554" s="3">
        <v>9.8800000000000008</v>
      </c>
      <c r="N554" s="3" t="s">
        <v>8</v>
      </c>
      <c r="O554" s="3" t="s">
        <v>8</v>
      </c>
    </row>
    <row r="555" spans="1:15" x14ac:dyDescent="0.35">
      <c r="A555" s="5" t="str">
        <f>Loads[[#This Row],[Date]]&amp;Loads[[#This Row],[Product]]</f>
        <v>44241Product2</v>
      </c>
      <c r="B555" s="5">
        <f>COUNTIF($A$1:A555,Loads[[#This Row],[Load]])</f>
        <v>1</v>
      </c>
      <c r="C555" s="3" t="str">
        <f>Loads[[#This Row],[Load]]&amp;Loads[[#This Row],[Count]]</f>
        <v>44241Product21</v>
      </c>
      <c r="D555" s="90">
        <v>44241</v>
      </c>
      <c r="E555" s="143">
        <v>4.0972222222222222E-2</v>
      </c>
      <c r="F555" s="1" t="s">
        <v>9</v>
      </c>
      <c r="G555" s="2" t="s">
        <v>13</v>
      </c>
      <c r="H555" s="2" t="s">
        <v>42</v>
      </c>
      <c r="I555" s="1" t="s">
        <v>11</v>
      </c>
      <c r="J555" s="1" t="s">
        <v>8</v>
      </c>
      <c r="K555" s="89">
        <v>13460</v>
      </c>
      <c r="L555" s="3">
        <v>58.93</v>
      </c>
      <c r="M555" s="3">
        <v>10.51</v>
      </c>
      <c r="N555" s="3" t="s">
        <v>8</v>
      </c>
      <c r="O555" s="3" t="s">
        <v>8</v>
      </c>
    </row>
    <row r="556" spans="1:15" x14ac:dyDescent="0.35">
      <c r="A556" s="5" t="str">
        <f>Loads[[#This Row],[Date]]&amp;Loads[[#This Row],[Product]]</f>
        <v>44241Product2</v>
      </c>
      <c r="B556" s="5">
        <f>COUNTIF($A$1:A556,Loads[[#This Row],[Load]])</f>
        <v>2</v>
      </c>
      <c r="C556" s="3" t="str">
        <f>Loads[[#This Row],[Load]]&amp;Loads[[#This Row],[Count]]</f>
        <v>44241Product22</v>
      </c>
      <c r="D556" s="90">
        <v>44241</v>
      </c>
      <c r="E556" s="143">
        <v>4.1666666666666664E-2</v>
      </c>
      <c r="F556" s="1" t="s">
        <v>9</v>
      </c>
      <c r="G556" s="2" t="s">
        <v>13</v>
      </c>
      <c r="H556" s="2" t="s">
        <v>42</v>
      </c>
      <c r="I556" s="1" t="s">
        <v>11</v>
      </c>
      <c r="J556" s="1" t="s">
        <v>8</v>
      </c>
      <c r="K556" s="89">
        <v>13120</v>
      </c>
      <c r="L556" s="3">
        <v>59.66</v>
      </c>
      <c r="M556" s="3">
        <v>9.9700000000000006</v>
      </c>
      <c r="N556" s="3" t="s">
        <v>8</v>
      </c>
      <c r="O556" s="3" t="s">
        <v>8</v>
      </c>
    </row>
    <row r="557" spans="1:15" x14ac:dyDescent="0.35">
      <c r="A557" s="5" t="str">
        <f>Loads[[#This Row],[Date]]&amp;Loads[[#This Row],[Product]]</f>
        <v>44241Product2</v>
      </c>
      <c r="B557" s="5">
        <f>COUNTIF($A$1:A557,Loads[[#This Row],[Load]])</f>
        <v>3</v>
      </c>
      <c r="C557" s="3" t="str">
        <f>Loads[[#This Row],[Load]]&amp;Loads[[#This Row],[Count]]</f>
        <v>44241Product23</v>
      </c>
      <c r="D557" s="90">
        <v>44241</v>
      </c>
      <c r="E557" s="143">
        <v>4.2361111111111106E-2</v>
      </c>
      <c r="F557" s="1" t="s">
        <v>9</v>
      </c>
      <c r="G557" s="2" t="s">
        <v>13</v>
      </c>
      <c r="H557" s="2" t="s">
        <v>42</v>
      </c>
      <c r="I557" s="1" t="s">
        <v>11</v>
      </c>
      <c r="J557" s="1" t="s">
        <v>8</v>
      </c>
      <c r="K557" s="89">
        <v>12520</v>
      </c>
      <c r="L557" s="3">
        <v>59.13</v>
      </c>
      <c r="M557" s="3">
        <v>10.050000000000001</v>
      </c>
      <c r="N557" s="3" t="s">
        <v>8</v>
      </c>
      <c r="O557" s="3" t="s">
        <v>8</v>
      </c>
    </row>
    <row r="558" spans="1:15" x14ac:dyDescent="0.35">
      <c r="A558" s="5" t="str">
        <f>Loads[[#This Row],[Date]]&amp;Loads[[#This Row],[Product]]</f>
        <v>44199Product7</v>
      </c>
      <c r="B558" s="5">
        <f>COUNTIF($A$1:A558,Loads[[#This Row],[Load]])</f>
        <v>1</v>
      </c>
      <c r="C558" s="3" t="str">
        <f>Loads[[#This Row],[Load]]&amp;Loads[[#This Row],[Count]]</f>
        <v>44199Product71</v>
      </c>
      <c r="D558" s="90">
        <v>44199</v>
      </c>
      <c r="E558" s="143">
        <v>9.375E-2</v>
      </c>
      <c r="F558" s="1" t="s">
        <v>9</v>
      </c>
      <c r="G558" s="2" t="s">
        <v>18</v>
      </c>
      <c r="H558" s="2" t="s">
        <v>42</v>
      </c>
      <c r="I558" s="1" t="s">
        <v>11</v>
      </c>
      <c r="J558" s="1" t="s">
        <v>8</v>
      </c>
      <c r="K558" s="89">
        <v>30020</v>
      </c>
      <c r="L558" s="3" t="s">
        <v>8</v>
      </c>
      <c r="M558" s="3">
        <v>21.01</v>
      </c>
      <c r="N558" s="3" t="s">
        <v>8</v>
      </c>
      <c r="O558" s="3">
        <v>41.9</v>
      </c>
    </row>
    <row r="559" spans="1:15" x14ac:dyDescent="0.35">
      <c r="A559" s="5" t="str">
        <f>Loads[[#This Row],[Date]]&amp;Loads[[#This Row],[Product]]</f>
        <v>44200Product7</v>
      </c>
      <c r="B559" s="5">
        <f>COUNTIF($A$1:A559,Loads[[#This Row],[Load]])</f>
        <v>1</v>
      </c>
      <c r="C559" s="3" t="str">
        <f>Loads[[#This Row],[Load]]&amp;Loads[[#This Row],[Count]]</f>
        <v>44200Product71</v>
      </c>
      <c r="D559" s="90">
        <v>44200</v>
      </c>
      <c r="E559" s="143">
        <v>0.3263888888888889</v>
      </c>
      <c r="F559" s="1" t="s">
        <v>9</v>
      </c>
      <c r="G559" s="2" t="s">
        <v>18</v>
      </c>
      <c r="H559" s="2" t="s">
        <v>42</v>
      </c>
      <c r="I559" s="1" t="s">
        <v>11</v>
      </c>
      <c r="J559" s="1" t="s">
        <v>8</v>
      </c>
      <c r="K559" s="89">
        <v>14000</v>
      </c>
      <c r="L559" s="3" t="s">
        <v>8</v>
      </c>
      <c r="M559" s="3">
        <v>21.01</v>
      </c>
      <c r="N559" s="3" t="s">
        <v>8</v>
      </c>
      <c r="O559" s="3">
        <v>41.9</v>
      </c>
    </row>
    <row r="560" spans="1:15" x14ac:dyDescent="0.35">
      <c r="A560" s="5" t="str">
        <f>Loads[[#This Row],[Date]]&amp;Loads[[#This Row],[Product]]</f>
        <v>44203Product7</v>
      </c>
      <c r="B560" s="5">
        <f>COUNTIF($A$1:A560,Loads[[#This Row],[Load]])</f>
        <v>1</v>
      </c>
      <c r="C560" s="3" t="str">
        <f>Loads[[#This Row],[Load]]&amp;Loads[[#This Row],[Count]]</f>
        <v>44203Product71</v>
      </c>
      <c r="D560" s="90">
        <v>44203</v>
      </c>
      <c r="E560" s="143">
        <v>0.93055555555555547</v>
      </c>
      <c r="F560" s="1" t="s">
        <v>9</v>
      </c>
      <c r="G560" s="2" t="s">
        <v>18</v>
      </c>
      <c r="H560" s="2" t="s">
        <v>42</v>
      </c>
      <c r="I560" s="1" t="s">
        <v>11</v>
      </c>
      <c r="J560" s="1" t="s">
        <v>8</v>
      </c>
      <c r="K560" s="89">
        <v>32440</v>
      </c>
      <c r="L560" s="3" t="s">
        <v>8</v>
      </c>
      <c r="M560" s="3">
        <v>24</v>
      </c>
      <c r="N560" s="3" t="s">
        <v>8</v>
      </c>
      <c r="O560" s="3">
        <v>41.3</v>
      </c>
    </row>
    <row r="561" spans="1:15" x14ac:dyDescent="0.35">
      <c r="A561" s="5" t="str">
        <f>Loads[[#This Row],[Date]]&amp;Loads[[#This Row],[Product]]</f>
        <v>44205Product7</v>
      </c>
      <c r="B561" s="5">
        <f>COUNTIF($A$1:A561,Loads[[#This Row],[Load]])</f>
        <v>1</v>
      </c>
      <c r="C561" s="3" t="str">
        <f>Loads[[#This Row],[Load]]&amp;Loads[[#This Row],[Count]]</f>
        <v>44205Product71</v>
      </c>
      <c r="D561" s="90">
        <v>44205</v>
      </c>
      <c r="E561" s="143">
        <v>0.73958333333333337</v>
      </c>
      <c r="F561" s="1" t="s">
        <v>9</v>
      </c>
      <c r="G561" s="2" t="s">
        <v>18</v>
      </c>
      <c r="H561" s="2" t="s">
        <v>42</v>
      </c>
      <c r="I561" s="1" t="s">
        <v>11</v>
      </c>
      <c r="J561" s="1" t="s">
        <v>8</v>
      </c>
      <c r="K561" s="89">
        <v>25320</v>
      </c>
      <c r="L561" s="3" t="s">
        <v>8</v>
      </c>
      <c r="M561" s="3">
        <v>24.63</v>
      </c>
      <c r="N561" s="3" t="s">
        <v>8</v>
      </c>
      <c r="O561" s="3">
        <v>42.71</v>
      </c>
    </row>
    <row r="562" spans="1:15" x14ac:dyDescent="0.35">
      <c r="A562" s="5" t="str">
        <f>Loads[[#This Row],[Date]]&amp;Loads[[#This Row],[Product]]</f>
        <v>44211Product7</v>
      </c>
      <c r="B562" s="5">
        <f>COUNTIF($A$1:A562,Loads[[#This Row],[Load]])</f>
        <v>1</v>
      </c>
      <c r="C562" s="3" t="str">
        <f>Loads[[#This Row],[Load]]&amp;Loads[[#This Row],[Count]]</f>
        <v>44211Product71</v>
      </c>
      <c r="D562" s="90">
        <v>44211</v>
      </c>
      <c r="E562" s="143">
        <v>7.0833333333333331E-2</v>
      </c>
      <c r="F562" s="1" t="s">
        <v>9</v>
      </c>
      <c r="G562" s="2" t="s">
        <v>18</v>
      </c>
      <c r="H562" s="2" t="s">
        <v>42</v>
      </c>
      <c r="I562" s="1" t="s">
        <v>11</v>
      </c>
      <c r="J562" s="1" t="s">
        <v>8</v>
      </c>
      <c r="K562" s="89">
        <v>33060</v>
      </c>
      <c r="L562" s="3" t="s">
        <v>8</v>
      </c>
      <c r="M562" s="3">
        <v>24.59</v>
      </c>
      <c r="N562" s="3" t="s">
        <v>8</v>
      </c>
      <c r="O562" s="3">
        <v>40.03</v>
      </c>
    </row>
    <row r="563" spans="1:15" x14ac:dyDescent="0.35">
      <c r="A563" s="5" t="str">
        <f>Loads[[#This Row],[Date]]&amp;Loads[[#This Row],[Product]]</f>
        <v>44217Product7</v>
      </c>
      <c r="B563" s="5">
        <f>COUNTIF($A$1:A563,Loads[[#This Row],[Load]])</f>
        <v>1</v>
      </c>
      <c r="C563" s="3" t="str">
        <f>Loads[[#This Row],[Load]]&amp;Loads[[#This Row],[Count]]</f>
        <v>44217Product71</v>
      </c>
      <c r="D563" s="90">
        <v>44217</v>
      </c>
      <c r="E563" s="143">
        <v>0.60486111111111118</v>
      </c>
      <c r="F563" s="1" t="s">
        <v>9</v>
      </c>
      <c r="G563" s="2" t="s">
        <v>18</v>
      </c>
      <c r="H563" s="2" t="s">
        <v>42</v>
      </c>
      <c r="I563" s="1" t="s">
        <v>11</v>
      </c>
      <c r="J563" s="1" t="s">
        <v>8</v>
      </c>
      <c r="K563" s="89">
        <v>25080</v>
      </c>
      <c r="L563" s="3" t="s">
        <v>8</v>
      </c>
      <c r="M563" s="3">
        <v>20.71</v>
      </c>
      <c r="N563" s="3" t="s">
        <v>8</v>
      </c>
      <c r="O563" s="3">
        <v>40.99</v>
      </c>
    </row>
    <row r="564" spans="1:15" x14ac:dyDescent="0.35">
      <c r="A564" s="5" t="str">
        <f>Loads[[#This Row],[Date]]&amp;Loads[[#This Row],[Product]]</f>
        <v>44217Product7</v>
      </c>
      <c r="B564" s="5">
        <f>COUNTIF($A$1:A564,Loads[[#This Row],[Load]])</f>
        <v>2</v>
      </c>
      <c r="C564" s="3" t="str">
        <f>Loads[[#This Row],[Load]]&amp;Loads[[#This Row],[Count]]</f>
        <v>44217Product72</v>
      </c>
      <c r="D564" s="90">
        <v>44217</v>
      </c>
      <c r="E564" s="143">
        <v>0.55555555555555558</v>
      </c>
      <c r="F564" s="1" t="s">
        <v>9</v>
      </c>
      <c r="G564" s="2" t="s">
        <v>18</v>
      </c>
      <c r="H564" s="2" t="s">
        <v>42</v>
      </c>
      <c r="I564" s="1" t="s">
        <v>11</v>
      </c>
      <c r="J564" s="1" t="s">
        <v>8</v>
      </c>
      <c r="K564" s="89">
        <v>26140</v>
      </c>
      <c r="L564" s="3" t="s">
        <v>8</v>
      </c>
      <c r="M564" s="3">
        <v>23.4</v>
      </c>
      <c r="N564" s="3" t="s">
        <v>8</v>
      </c>
      <c r="O564" s="3">
        <v>40.99</v>
      </c>
    </row>
    <row r="565" spans="1:15" x14ac:dyDescent="0.35">
      <c r="A565" s="5" t="str">
        <f>Loads[[#This Row],[Date]]&amp;Loads[[#This Row],[Product]]</f>
        <v>44218Product7</v>
      </c>
      <c r="B565" s="5">
        <f>COUNTIF($A$1:A565,Loads[[#This Row],[Load]])</f>
        <v>1</v>
      </c>
      <c r="C565" s="3" t="str">
        <f>Loads[[#This Row],[Load]]&amp;Loads[[#This Row],[Count]]</f>
        <v>44218Product71</v>
      </c>
      <c r="D565" s="90">
        <v>44218</v>
      </c>
      <c r="E565" s="143">
        <v>0.12986111111111112</v>
      </c>
      <c r="F565" s="1" t="s">
        <v>9</v>
      </c>
      <c r="G565" s="2" t="s">
        <v>18</v>
      </c>
      <c r="H565" s="2" t="s">
        <v>42</v>
      </c>
      <c r="I565" s="1" t="s">
        <v>11</v>
      </c>
      <c r="J565" s="1" t="s">
        <v>8</v>
      </c>
      <c r="K565" s="89">
        <v>27880</v>
      </c>
      <c r="L565" s="3" t="s">
        <v>8</v>
      </c>
      <c r="M565" s="3">
        <v>22.3</v>
      </c>
      <c r="N565" s="3" t="s">
        <v>8</v>
      </c>
      <c r="O565" s="3">
        <v>38.520000000000003</v>
      </c>
    </row>
    <row r="566" spans="1:15" x14ac:dyDescent="0.35">
      <c r="A566" s="5" t="str">
        <f>Loads[[#This Row],[Date]]&amp;Loads[[#This Row],[Product]]</f>
        <v>44221Product7</v>
      </c>
      <c r="B566" s="5">
        <f>COUNTIF($A$1:A566,Loads[[#This Row],[Load]])</f>
        <v>1</v>
      </c>
      <c r="C566" s="3" t="str">
        <f>Loads[[#This Row],[Load]]&amp;Loads[[#This Row],[Count]]</f>
        <v>44221Product71</v>
      </c>
      <c r="D566" s="90">
        <v>44221</v>
      </c>
      <c r="E566" s="143">
        <v>0.11319444444444444</v>
      </c>
      <c r="F566" s="1" t="s">
        <v>9</v>
      </c>
      <c r="G566" s="2" t="s">
        <v>18</v>
      </c>
      <c r="H566" s="2" t="s">
        <v>42</v>
      </c>
      <c r="I566" s="1" t="s">
        <v>11</v>
      </c>
      <c r="J566" s="1" t="s">
        <v>8</v>
      </c>
      <c r="K566" s="89">
        <v>24580</v>
      </c>
      <c r="L566" s="3" t="s">
        <v>8</v>
      </c>
      <c r="M566" s="3">
        <v>23.93</v>
      </c>
      <c r="N566" s="3" t="s">
        <v>8</v>
      </c>
      <c r="O566" s="3">
        <v>37.630000000000003</v>
      </c>
    </row>
    <row r="567" spans="1:15" x14ac:dyDescent="0.35">
      <c r="A567" s="5" t="str">
        <f>Loads[[#This Row],[Date]]&amp;Loads[[#This Row],[Product]]</f>
        <v>44222Product7</v>
      </c>
      <c r="B567" s="5">
        <f>COUNTIF($A$1:A567,Loads[[#This Row],[Load]])</f>
        <v>1</v>
      </c>
      <c r="C567" s="3" t="str">
        <f>Loads[[#This Row],[Load]]&amp;Loads[[#This Row],[Count]]</f>
        <v>44222Product71</v>
      </c>
      <c r="D567" s="90">
        <v>44222</v>
      </c>
      <c r="E567" s="143">
        <v>6.0416666666666667E-2</v>
      </c>
      <c r="F567" s="1" t="s">
        <v>9</v>
      </c>
      <c r="G567" s="2" t="s">
        <v>18</v>
      </c>
      <c r="H567" s="2" t="s">
        <v>42</v>
      </c>
      <c r="I567" s="1" t="s">
        <v>11</v>
      </c>
      <c r="J567" s="1" t="s">
        <v>8</v>
      </c>
      <c r="K567" s="89">
        <v>24160</v>
      </c>
      <c r="L567" s="3" t="s">
        <v>8</v>
      </c>
      <c r="M567" s="3">
        <v>21.3</v>
      </c>
      <c r="N567" s="3" t="s">
        <v>8</v>
      </c>
      <c r="O567" s="3">
        <v>41.47</v>
      </c>
    </row>
    <row r="568" spans="1:15" x14ac:dyDescent="0.35">
      <c r="A568" s="5" t="str">
        <f>Loads[[#This Row],[Date]]&amp;Loads[[#This Row],[Product]]</f>
        <v>44223Product7</v>
      </c>
      <c r="B568" s="5">
        <f>COUNTIF($A$1:A568,Loads[[#This Row],[Load]])</f>
        <v>1</v>
      </c>
      <c r="C568" s="3" t="str">
        <f>Loads[[#This Row],[Load]]&amp;Loads[[#This Row],[Count]]</f>
        <v>44223Product71</v>
      </c>
      <c r="D568" s="90">
        <v>44223</v>
      </c>
      <c r="E568" s="143">
        <v>6.3888888888888884E-2</v>
      </c>
      <c r="F568" s="1" t="s">
        <v>9</v>
      </c>
      <c r="G568" s="2" t="s">
        <v>18</v>
      </c>
      <c r="H568" s="2" t="s">
        <v>42</v>
      </c>
      <c r="I568" s="1" t="s">
        <v>11</v>
      </c>
      <c r="J568" s="1" t="s">
        <v>8</v>
      </c>
      <c r="K568" s="89">
        <v>29640</v>
      </c>
      <c r="L568" s="3" t="s">
        <v>8</v>
      </c>
      <c r="M568" s="3">
        <v>20.7</v>
      </c>
      <c r="N568" s="3" t="s">
        <v>8</v>
      </c>
      <c r="O568" s="3">
        <v>42.83</v>
      </c>
    </row>
    <row r="569" spans="1:15" x14ac:dyDescent="0.35">
      <c r="A569" s="5" t="str">
        <f>Loads[[#This Row],[Date]]&amp;Loads[[#This Row],[Product]]</f>
        <v>44223Product7</v>
      </c>
      <c r="B569" s="5">
        <f>COUNTIF($A$1:A569,Loads[[#This Row],[Load]])</f>
        <v>2</v>
      </c>
      <c r="C569" s="3" t="str">
        <f>Loads[[#This Row],[Load]]&amp;Loads[[#This Row],[Count]]</f>
        <v>44223Product72</v>
      </c>
      <c r="D569" s="90">
        <v>44223</v>
      </c>
      <c r="E569" s="143">
        <v>6.458333333333334E-2</v>
      </c>
      <c r="F569" s="1" t="s">
        <v>9</v>
      </c>
      <c r="G569" s="2" t="s">
        <v>18</v>
      </c>
      <c r="H569" s="2" t="s">
        <v>42</v>
      </c>
      <c r="I569" s="1" t="s">
        <v>11</v>
      </c>
      <c r="J569" s="1" t="s">
        <v>8</v>
      </c>
      <c r="K569" s="89">
        <v>20080</v>
      </c>
      <c r="L569" s="3" t="s">
        <v>8</v>
      </c>
      <c r="M569" s="3">
        <v>21.5</v>
      </c>
      <c r="N569" s="3" t="s">
        <v>8</v>
      </c>
      <c r="O569" s="3">
        <v>41.5</v>
      </c>
    </row>
    <row r="570" spans="1:15" x14ac:dyDescent="0.35">
      <c r="A570" s="5" t="str">
        <f>Loads[[#This Row],[Date]]&amp;Loads[[#This Row],[Product]]</f>
        <v>44224Product7</v>
      </c>
      <c r="B570" s="5">
        <f>COUNTIF($A$1:A570,Loads[[#This Row],[Load]])</f>
        <v>1</v>
      </c>
      <c r="C570" s="3" t="str">
        <f>Loads[[#This Row],[Load]]&amp;Loads[[#This Row],[Count]]</f>
        <v>44224Product71</v>
      </c>
      <c r="D570" s="90">
        <v>44224</v>
      </c>
      <c r="E570" s="143">
        <v>0.81111111111111101</v>
      </c>
      <c r="F570" s="1" t="s">
        <v>9</v>
      </c>
      <c r="G570" s="2" t="s">
        <v>18</v>
      </c>
      <c r="H570" s="2" t="s">
        <v>42</v>
      </c>
      <c r="I570" s="1" t="s">
        <v>11</v>
      </c>
      <c r="J570" s="1" t="s">
        <v>8</v>
      </c>
      <c r="K570" s="89">
        <v>24780</v>
      </c>
      <c r="L570" s="3" t="s">
        <v>8</v>
      </c>
      <c r="M570" s="3">
        <v>21.69</v>
      </c>
      <c r="N570" s="3" t="s">
        <v>8</v>
      </c>
      <c r="O570" s="3">
        <v>41.64</v>
      </c>
    </row>
    <row r="571" spans="1:15" x14ac:dyDescent="0.35">
      <c r="A571" s="5" t="str">
        <f>Loads[[#This Row],[Date]]&amp;Loads[[#This Row],[Product]]</f>
        <v>44225Product7</v>
      </c>
      <c r="B571" s="5">
        <f>COUNTIF($A$1:A571,Loads[[#This Row],[Load]])</f>
        <v>1</v>
      </c>
      <c r="C571" s="3" t="str">
        <f>Loads[[#This Row],[Load]]&amp;Loads[[#This Row],[Count]]</f>
        <v>44225Product71</v>
      </c>
      <c r="D571" s="90">
        <v>44225</v>
      </c>
      <c r="E571" s="143">
        <v>0.93819444444444444</v>
      </c>
      <c r="F571" s="1" t="s">
        <v>9</v>
      </c>
      <c r="G571" s="2" t="s">
        <v>18</v>
      </c>
      <c r="H571" s="2" t="s">
        <v>42</v>
      </c>
      <c r="I571" s="1" t="s">
        <v>11</v>
      </c>
      <c r="J571" s="1" t="s">
        <v>8</v>
      </c>
      <c r="K571" s="89">
        <v>27280</v>
      </c>
      <c r="L571" s="3" t="s">
        <v>8</v>
      </c>
      <c r="M571" s="3">
        <v>20.399999999999999</v>
      </c>
      <c r="N571" s="3" t="s">
        <v>8</v>
      </c>
      <c r="O571" s="3">
        <v>40.380000000000003</v>
      </c>
    </row>
    <row r="572" spans="1:15" x14ac:dyDescent="0.35">
      <c r="A572" s="5" t="str">
        <f>Loads[[#This Row],[Date]]&amp;Loads[[#This Row],[Product]]</f>
        <v>44225Product7</v>
      </c>
      <c r="B572" s="5">
        <f>COUNTIF($A$1:A572,Loads[[#This Row],[Load]])</f>
        <v>2</v>
      </c>
      <c r="C572" s="3" t="str">
        <f>Loads[[#This Row],[Load]]&amp;Loads[[#This Row],[Count]]</f>
        <v>44225Product72</v>
      </c>
      <c r="D572" s="90">
        <v>44225</v>
      </c>
      <c r="E572" s="143">
        <v>0.23333333333333331</v>
      </c>
      <c r="F572" s="1" t="s">
        <v>9</v>
      </c>
      <c r="G572" s="2" t="s">
        <v>18</v>
      </c>
      <c r="H572" s="2" t="s">
        <v>42</v>
      </c>
      <c r="I572" s="1" t="s">
        <v>11</v>
      </c>
      <c r="J572" s="1" t="s">
        <v>8</v>
      </c>
      <c r="K572" s="89">
        <v>28320</v>
      </c>
      <c r="L572" s="3" t="s">
        <v>8</v>
      </c>
      <c r="M572" s="3">
        <v>24.04</v>
      </c>
      <c r="N572" s="3" t="s">
        <v>8</v>
      </c>
      <c r="O572" s="3">
        <v>41.59</v>
      </c>
    </row>
    <row r="573" spans="1:15" x14ac:dyDescent="0.35">
      <c r="A573" s="5" t="str">
        <f>Loads[[#This Row],[Date]]&amp;Loads[[#This Row],[Product]]</f>
        <v>44226Product7</v>
      </c>
      <c r="B573" s="5">
        <f>COUNTIF($A$1:A573,Loads[[#This Row],[Load]])</f>
        <v>1</v>
      </c>
      <c r="C573" s="3" t="str">
        <f>Loads[[#This Row],[Load]]&amp;Loads[[#This Row],[Count]]</f>
        <v>44226Product71</v>
      </c>
      <c r="D573" s="90">
        <v>44226</v>
      </c>
      <c r="E573" s="143">
        <v>0.9590277777777777</v>
      </c>
      <c r="F573" s="1" t="s">
        <v>9</v>
      </c>
      <c r="G573" s="2" t="s">
        <v>18</v>
      </c>
      <c r="H573" s="2" t="s">
        <v>42</v>
      </c>
      <c r="I573" s="1" t="s">
        <v>11</v>
      </c>
      <c r="J573" s="1" t="s">
        <v>8</v>
      </c>
      <c r="K573" s="89">
        <v>27280</v>
      </c>
      <c r="L573" s="3" t="s">
        <v>8</v>
      </c>
      <c r="M573" s="3">
        <v>24</v>
      </c>
      <c r="N573" s="3" t="s">
        <v>8</v>
      </c>
      <c r="O573" s="3">
        <v>53.25</v>
      </c>
    </row>
    <row r="574" spans="1:15" x14ac:dyDescent="0.35">
      <c r="A574" s="5" t="str">
        <f>Loads[[#This Row],[Date]]&amp;Loads[[#This Row],[Product]]</f>
        <v>44226Product7</v>
      </c>
      <c r="B574" s="5">
        <f>COUNTIF($A$1:A574,Loads[[#This Row],[Load]])</f>
        <v>2</v>
      </c>
      <c r="C574" s="3" t="str">
        <f>Loads[[#This Row],[Load]]&amp;Loads[[#This Row],[Count]]</f>
        <v>44226Product72</v>
      </c>
      <c r="D574" s="90">
        <v>44226</v>
      </c>
      <c r="E574" s="143">
        <v>0.72152777777777777</v>
      </c>
      <c r="F574" s="1" t="s">
        <v>9</v>
      </c>
      <c r="G574" s="2" t="s">
        <v>18</v>
      </c>
      <c r="H574" s="2" t="s">
        <v>42</v>
      </c>
      <c r="I574" s="1" t="s">
        <v>11</v>
      </c>
      <c r="J574" s="1" t="s">
        <v>8</v>
      </c>
      <c r="K574" s="89">
        <v>29680</v>
      </c>
      <c r="L574" s="3" t="s">
        <v>8</v>
      </c>
      <c r="M574" s="3">
        <v>22.26</v>
      </c>
      <c r="N574" s="3" t="s">
        <v>8</v>
      </c>
      <c r="O574" s="3">
        <v>53.13</v>
      </c>
    </row>
    <row r="575" spans="1:15" x14ac:dyDescent="0.35">
      <c r="A575" s="5" t="str">
        <f>Loads[[#This Row],[Date]]&amp;Loads[[#This Row],[Product]]</f>
        <v>44227Product7</v>
      </c>
      <c r="B575" s="5">
        <f>COUNTIF($A$1:A575,Loads[[#This Row],[Load]])</f>
        <v>1</v>
      </c>
      <c r="C575" s="3" t="str">
        <f>Loads[[#This Row],[Load]]&amp;Loads[[#This Row],[Count]]</f>
        <v>44227Product71</v>
      </c>
      <c r="D575" s="90">
        <v>44227</v>
      </c>
      <c r="E575" s="143">
        <v>0.70833333333333337</v>
      </c>
      <c r="F575" s="1" t="s">
        <v>9</v>
      </c>
      <c r="G575" s="2" t="s">
        <v>18</v>
      </c>
      <c r="H575" s="2" t="s">
        <v>42</v>
      </c>
      <c r="I575" s="1" t="s">
        <v>11</v>
      </c>
      <c r="J575" s="1" t="s">
        <v>8</v>
      </c>
      <c r="K575" s="89">
        <v>26060</v>
      </c>
      <c r="L575" s="3" t="s">
        <v>8</v>
      </c>
      <c r="M575" s="3">
        <v>24.05</v>
      </c>
      <c r="N575" s="3" t="s">
        <v>8</v>
      </c>
      <c r="O575" s="3">
        <v>41.61</v>
      </c>
    </row>
    <row r="576" spans="1:15" x14ac:dyDescent="0.35">
      <c r="A576" s="5" t="str">
        <f>Loads[[#This Row],[Date]]&amp;Loads[[#This Row],[Product]]</f>
        <v>44229Product7</v>
      </c>
      <c r="B576" s="5">
        <f>COUNTIF($A$1:A576,Loads[[#This Row],[Load]])</f>
        <v>1</v>
      </c>
      <c r="C576" s="3" t="str">
        <f>Loads[[#This Row],[Load]]&amp;Loads[[#This Row],[Count]]</f>
        <v>44229Product71</v>
      </c>
      <c r="D576" s="90">
        <v>44229</v>
      </c>
      <c r="E576" s="143">
        <v>0.75</v>
      </c>
      <c r="F576" s="1" t="s">
        <v>9</v>
      </c>
      <c r="G576" s="2" t="s">
        <v>18</v>
      </c>
      <c r="H576" s="2" t="s">
        <v>42</v>
      </c>
      <c r="I576" s="1" t="s">
        <v>11</v>
      </c>
      <c r="J576" s="1" t="s">
        <v>8</v>
      </c>
      <c r="K576" s="89">
        <v>29960</v>
      </c>
      <c r="L576" s="3" t="s">
        <v>8</v>
      </c>
      <c r="M576" s="3">
        <v>24</v>
      </c>
      <c r="N576" s="3" t="s">
        <v>8</v>
      </c>
      <c r="O576" s="3">
        <v>42</v>
      </c>
    </row>
    <row r="577" spans="1:15" x14ac:dyDescent="0.35">
      <c r="A577" s="5" t="str">
        <f>Loads[[#This Row],[Date]]&amp;Loads[[#This Row],[Product]]</f>
        <v>44230Product7</v>
      </c>
      <c r="B577" s="5">
        <f>COUNTIF($A$1:A577,Loads[[#This Row],[Load]])</f>
        <v>1</v>
      </c>
      <c r="C577" s="3" t="str">
        <f>Loads[[#This Row],[Load]]&amp;Loads[[#This Row],[Count]]</f>
        <v>44230Product71</v>
      </c>
      <c r="D577" s="90">
        <v>44230</v>
      </c>
      <c r="E577" s="143">
        <v>4.6527777777777779E-2</v>
      </c>
      <c r="F577" s="1" t="s">
        <v>9</v>
      </c>
      <c r="G577" s="2" t="s">
        <v>18</v>
      </c>
      <c r="H577" s="2" t="s">
        <v>42</v>
      </c>
      <c r="I577" s="1" t="s">
        <v>11</v>
      </c>
      <c r="J577" s="1" t="s">
        <v>8</v>
      </c>
      <c r="K577" s="89">
        <v>29040</v>
      </c>
      <c r="L577" s="3" t="s">
        <v>8</v>
      </c>
      <c r="M577" s="3">
        <v>23.78</v>
      </c>
      <c r="N577" s="3" t="s">
        <v>8</v>
      </c>
      <c r="O577" s="3">
        <v>41.1</v>
      </c>
    </row>
    <row r="578" spans="1:15" x14ac:dyDescent="0.35">
      <c r="A578" s="5" t="str">
        <f>Loads[[#This Row],[Date]]&amp;Loads[[#This Row],[Product]]</f>
        <v>44231Product7</v>
      </c>
      <c r="B578" s="5">
        <f>COUNTIF($A$1:A578,Loads[[#This Row],[Load]])</f>
        <v>1</v>
      </c>
      <c r="C578" s="3" t="str">
        <f>Loads[[#This Row],[Load]]&amp;Loads[[#This Row],[Count]]</f>
        <v>44231Product71</v>
      </c>
      <c r="D578" s="90">
        <v>44231</v>
      </c>
      <c r="E578" s="143">
        <v>6.6666666666666666E-2</v>
      </c>
      <c r="F578" s="1" t="s">
        <v>9</v>
      </c>
      <c r="G578" s="2" t="s">
        <v>18</v>
      </c>
      <c r="H578" s="2" t="s">
        <v>42</v>
      </c>
      <c r="I578" s="1" t="s">
        <v>11</v>
      </c>
      <c r="J578" s="1" t="s">
        <v>8</v>
      </c>
      <c r="K578" s="89">
        <v>28580</v>
      </c>
      <c r="L578" s="3" t="s">
        <v>8</v>
      </c>
      <c r="M578" s="3">
        <v>21.9</v>
      </c>
      <c r="N578" s="3" t="s">
        <v>8</v>
      </c>
      <c r="O578" s="3">
        <v>37.57</v>
      </c>
    </row>
    <row r="579" spans="1:15" x14ac:dyDescent="0.35">
      <c r="A579" s="5" t="str">
        <f>Loads[[#This Row],[Date]]&amp;Loads[[#This Row],[Product]]</f>
        <v>44233Product7</v>
      </c>
      <c r="B579" s="5">
        <f>COUNTIF($A$1:A579,Loads[[#This Row],[Load]])</f>
        <v>1</v>
      </c>
      <c r="C579" s="3" t="str">
        <f>Loads[[#This Row],[Load]]&amp;Loads[[#This Row],[Count]]</f>
        <v>44233Product71</v>
      </c>
      <c r="D579" s="90">
        <v>44233</v>
      </c>
      <c r="E579" s="143">
        <v>1.9444444444444445E-2</v>
      </c>
      <c r="F579" s="1" t="s">
        <v>9</v>
      </c>
      <c r="G579" s="2" t="s">
        <v>18</v>
      </c>
      <c r="H579" s="2" t="s">
        <v>42</v>
      </c>
      <c r="I579" s="1" t="s">
        <v>11</v>
      </c>
      <c r="J579" s="1" t="s">
        <v>8</v>
      </c>
      <c r="K579" s="89">
        <v>27140</v>
      </c>
      <c r="L579" s="3" t="s">
        <v>8</v>
      </c>
      <c r="M579" s="3">
        <v>23.88</v>
      </c>
      <c r="N579" s="3" t="s">
        <v>8</v>
      </c>
      <c r="O579" s="3">
        <v>51.29</v>
      </c>
    </row>
    <row r="580" spans="1:15" x14ac:dyDescent="0.35">
      <c r="A580" s="5" t="str">
        <f>Loads[[#This Row],[Date]]&amp;Loads[[#This Row],[Product]]</f>
        <v>44237Product7</v>
      </c>
      <c r="B580" s="5">
        <f>COUNTIF($A$1:A580,Loads[[#This Row],[Load]])</f>
        <v>1</v>
      </c>
      <c r="C580" s="3" t="str">
        <f>Loads[[#This Row],[Load]]&amp;Loads[[#This Row],[Count]]</f>
        <v>44237Product71</v>
      </c>
      <c r="D580" s="90">
        <v>44237</v>
      </c>
      <c r="E580" s="143">
        <v>6.458333333333334E-2</v>
      </c>
      <c r="F580" s="1" t="s">
        <v>9</v>
      </c>
      <c r="G580" s="2" t="s">
        <v>18</v>
      </c>
      <c r="H580" s="2" t="s">
        <v>42</v>
      </c>
      <c r="I580" s="1" t="s">
        <v>11</v>
      </c>
      <c r="J580" s="1" t="s">
        <v>8</v>
      </c>
      <c r="K580" s="89">
        <v>24100</v>
      </c>
      <c r="L580" s="3" t="s">
        <v>8</v>
      </c>
      <c r="M580" s="3">
        <v>23.5</v>
      </c>
      <c r="N580" s="3" t="s">
        <v>8</v>
      </c>
      <c r="O580" s="3">
        <v>40.57</v>
      </c>
    </row>
    <row r="581" spans="1:15" x14ac:dyDescent="0.35">
      <c r="A581" s="5" t="str">
        <f>Loads[[#This Row],[Date]]&amp;Loads[[#This Row],[Product]]</f>
        <v>44238Product7</v>
      </c>
      <c r="B581" s="5">
        <f>COUNTIF($A$1:A581,Loads[[#This Row],[Load]])</f>
        <v>1</v>
      </c>
      <c r="C581" s="3" t="str">
        <f>Loads[[#This Row],[Load]]&amp;Loads[[#This Row],[Count]]</f>
        <v>44238Product71</v>
      </c>
      <c r="D581" s="90">
        <v>44238</v>
      </c>
      <c r="E581" s="143">
        <v>6.7361111111111108E-2</v>
      </c>
      <c r="F581" s="1" t="s">
        <v>9</v>
      </c>
      <c r="G581" s="2" t="s">
        <v>18</v>
      </c>
      <c r="H581" s="2" t="s">
        <v>42</v>
      </c>
      <c r="I581" s="1" t="s">
        <v>11</v>
      </c>
      <c r="J581" s="1" t="s">
        <v>8</v>
      </c>
      <c r="K581" s="89">
        <v>20180</v>
      </c>
      <c r="L581" s="3" t="s">
        <v>8</v>
      </c>
      <c r="M581" s="3">
        <v>21.42</v>
      </c>
      <c r="N581" s="3" t="s">
        <v>8</v>
      </c>
      <c r="O581" s="3">
        <v>40.99</v>
      </c>
    </row>
    <row r="582" spans="1:15" x14ac:dyDescent="0.35">
      <c r="A582" s="5" t="str">
        <f>Loads[[#This Row],[Date]]&amp;Loads[[#This Row],[Product]]</f>
        <v>44239Product7</v>
      </c>
      <c r="B582" s="5">
        <f>COUNTIF($A$1:A582,Loads[[#This Row],[Load]])</f>
        <v>1</v>
      </c>
      <c r="C582" s="3" t="str">
        <f>Loads[[#This Row],[Load]]&amp;Loads[[#This Row],[Count]]</f>
        <v>44239Product71</v>
      </c>
      <c r="D582" s="90">
        <v>44239</v>
      </c>
      <c r="E582" s="143">
        <v>3.8194444444444441E-2</v>
      </c>
      <c r="F582" s="1" t="s">
        <v>9</v>
      </c>
      <c r="G582" s="2" t="s">
        <v>18</v>
      </c>
      <c r="H582" s="2" t="s">
        <v>42</v>
      </c>
      <c r="I582" s="1" t="s">
        <v>11</v>
      </c>
      <c r="J582" s="1" t="s">
        <v>8</v>
      </c>
      <c r="K582" s="89">
        <v>27680</v>
      </c>
      <c r="L582" s="3" t="s">
        <v>8</v>
      </c>
      <c r="M582" s="3">
        <v>20.92</v>
      </c>
      <c r="N582" s="3" t="s">
        <v>8</v>
      </c>
      <c r="O582" s="3">
        <v>30.81</v>
      </c>
    </row>
    <row r="583" spans="1:15" x14ac:dyDescent="0.35">
      <c r="A583" s="5" t="str">
        <f>Loads[[#This Row],[Date]]&amp;Loads[[#This Row],[Product]]</f>
        <v>44240Product7</v>
      </c>
      <c r="B583" s="5">
        <f>COUNTIF($A$1:A583,Loads[[#This Row],[Load]])</f>
        <v>1</v>
      </c>
      <c r="C583" s="3" t="str">
        <f>Loads[[#This Row],[Load]]&amp;Loads[[#This Row],[Count]]</f>
        <v>44240Product71</v>
      </c>
      <c r="D583" s="90">
        <v>44240</v>
      </c>
      <c r="E583" s="143">
        <v>9.2361111111111116E-2</v>
      </c>
      <c r="F583" s="1" t="s">
        <v>9</v>
      </c>
      <c r="G583" s="2" t="s">
        <v>18</v>
      </c>
      <c r="H583" s="2" t="s">
        <v>42</v>
      </c>
      <c r="I583" s="1" t="s">
        <v>11</v>
      </c>
      <c r="J583" s="1" t="s">
        <v>8</v>
      </c>
      <c r="K583" s="89">
        <v>25000</v>
      </c>
      <c r="L583" s="3" t="s">
        <v>8</v>
      </c>
      <c r="M583" s="3">
        <v>24.2</v>
      </c>
      <c r="N583" s="3" t="s">
        <v>8</v>
      </c>
      <c r="O583" s="3">
        <v>42</v>
      </c>
    </row>
    <row r="584" spans="1:15" x14ac:dyDescent="0.35">
      <c r="A584" s="5" t="str">
        <f>Loads[[#This Row],[Date]]&amp;Loads[[#This Row],[Product]]</f>
        <v>44241Product7</v>
      </c>
      <c r="B584" s="5">
        <f>COUNTIF($A$1:A584,Loads[[#This Row],[Load]])</f>
        <v>1</v>
      </c>
      <c r="C584" s="3" t="str">
        <f>Loads[[#This Row],[Load]]&amp;Loads[[#This Row],[Count]]</f>
        <v>44241Product71</v>
      </c>
      <c r="D584" s="90">
        <v>44241</v>
      </c>
      <c r="E584" s="143">
        <v>3.7499999999999999E-2</v>
      </c>
      <c r="F584" s="1" t="s">
        <v>9</v>
      </c>
      <c r="G584" s="2" t="s">
        <v>18</v>
      </c>
      <c r="H584" s="2" t="s">
        <v>42</v>
      </c>
      <c r="I584" s="1" t="s">
        <v>11</v>
      </c>
      <c r="J584" s="1" t="s">
        <v>8</v>
      </c>
      <c r="K584" s="89">
        <v>23040</v>
      </c>
      <c r="L584" s="3" t="s">
        <v>8</v>
      </c>
      <c r="M584" s="3">
        <v>20.93</v>
      </c>
      <c r="N584" s="3" t="s">
        <v>8</v>
      </c>
      <c r="O584" s="3">
        <v>39.35</v>
      </c>
    </row>
    <row r="585" spans="1:15" x14ac:dyDescent="0.35">
      <c r="A585" s="5" t="str">
        <f>Loads[[#This Row],[Date]]&amp;Loads[[#This Row],[Product]]</f>
        <v>44197Product8</v>
      </c>
      <c r="B585" s="5">
        <f>COUNTIF($A$1:A585,Loads[[#This Row],[Load]])</f>
        <v>1</v>
      </c>
      <c r="C585" s="3" t="str">
        <f>Loads[[#This Row],[Load]]&amp;Loads[[#This Row],[Count]]</f>
        <v>44197Product81</v>
      </c>
      <c r="D585" s="90">
        <v>44197</v>
      </c>
      <c r="E585" s="143">
        <v>7.9861111111111105E-2</v>
      </c>
      <c r="F585" s="1" t="s">
        <v>9</v>
      </c>
      <c r="G585" s="2" t="s">
        <v>19</v>
      </c>
      <c r="H585" s="2" t="s">
        <v>42</v>
      </c>
      <c r="I585" s="1" t="s">
        <v>11</v>
      </c>
      <c r="J585" s="1" t="s">
        <v>8</v>
      </c>
      <c r="K585" s="89">
        <v>12600</v>
      </c>
      <c r="L585" s="3">
        <v>7.2</v>
      </c>
      <c r="M585" s="3">
        <v>11.96</v>
      </c>
      <c r="N585" s="3" t="s">
        <v>8</v>
      </c>
      <c r="O585" s="3" t="s">
        <v>8</v>
      </c>
    </row>
    <row r="586" spans="1:15" x14ac:dyDescent="0.35">
      <c r="A586" s="5" t="str">
        <f>Loads[[#This Row],[Date]]&amp;Loads[[#This Row],[Product]]</f>
        <v>44198Product8</v>
      </c>
      <c r="B586" s="5">
        <f>COUNTIF($A$1:A586,Loads[[#This Row],[Load]])</f>
        <v>1</v>
      </c>
      <c r="C586" s="3" t="str">
        <f>Loads[[#This Row],[Load]]&amp;Loads[[#This Row],[Count]]</f>
        <v>44198Product81</v>
      </c>
      <c r="D586" s="90">
        <v>44198</v>
      </c>
      <c r="E586" s="143">
        <v>4.9999999999999996E-2</v>
      </c>
      <c r="F586" s="1" t="s">
        <v>9</v>
      </c>
      <c r="G586" s="2" t="s">
        <v>19</v>
      </c>
      <c r="H586" s="2" t="s">
        <v>42</v>
      </c>
      <c r="I586" s="1" t="s">
        <v>11</v>
      </c>
      <c r="J586" s="1" t="s">
        <v>8</v>
      </c>
      <c r="K586" s="89">
        <v>13220</v>
      </c>
      <c r="L586" s="3">
        <v>12.24</v>
      </c>
      <c r="M586" s="3">
        <v>7.2</v>
      </c>
      <c r="N586" s="3" t="s">
        <v>8</v>
      </c>
      <c r="O586" s="3" t="s">
        <v>8</v>
      </c>
    </row>
    <row r="587" spans="1:15" x14ac:dyDescent="0.35">
      <c r="A587" s="5" t="str">
        <f>Loads[[#This Row],[Date]]&amp;Loads[[#This Row],[Product]]</f>
        <v>44198Product8</v>
      </c>
      <c r="B587" s="5">
        <f>COUNTIF($A$1:A587,Loads[[#This Row],[Load]])</f>
        <v>2</v>
      </c>
      <c r="C587" s="3" t="str">
        <f>Loads[[#This Row],[Load]]&amp;Loads[[#This Row],[Count]]</f>
        <v>44198Product82</v>
      </c>
      <c r="D587" s="90">
        <v>44198</v>
      </c>
      <c r="E587" s="143">
        <v>4.9999999999999996E-2</v>
      </c>
      <c r="F587" s="1" t="s">
        <v>9</v>
      </c>
      <c r="G587" s="2" t="s">
        <v>19</v>
      </c>
      <c r="H587" s="2" t="s">
        <v>42</v>
      </c>
      <c r="I587" s="1" t="s">
        <v>11</v>
      </c>
      <c r="J587" s="1" t="s">
        <v>8</v>
      </c>
      <c r="K587" s="89">
        <v>8860</v>
      </c>
      <c r="L587" s="3">
        <v>12.17</v>
      </c>
      <c r="M587" s="3">
        <v>7.2</v>
      </c>
      <c r="N587" s="3" t="s">
        <v>8</v>
      </c>
      <c r="O587" s="3" t="s">
        <v>8</v>
      </c>
    </row>
    <row r="588" spans="1:15" x14ac:dyDescent="0.35">
      <c r="A588" s="5" t="str">
        <f>Loads[[#This Row],[Date]]&amp;Loads[[#This Row],[Product]]</f>
        <v>44200Product8</v>
      </c>
      <c r="B588" s="5">
        <f>COUNTIF($A$1:A588,Loads[[#This Row],[Load]])</f>
        <v>1</v>
      </c>
      <c r="C588" s="3" t="str">
        <f>Loads[[#This Row],[Load]]&amp;Loads[[#This Row],[Count]]</f>
        <v>44200Product81</v>
      </c>
      <c r="D588" s="90">
        <v>44200</v>
      </c>
      <c r="E588" s="143">
        <v>0.77777777777777779</v>
      </c>
      <c r="F588" s="1" t="s">
        <v>9</v>
      </c>
      <c r="G588" s="2" t="s">
        <v>19</v>
      </c>
      <c r="H588" s="2" t="s">
        <v>42</v>
      </c>
      <c r="I588" s="1" t="s">
        <v>11</v>
      </c>
      <c r="J588" s="1" t="s">
        <v>8</v>
      </c>
      <c r="K588" s="89">
        <v>16840</v>
      </c>
      <c r="L588" s="3">
        <v>11.74</v>
      </c>
      <c r="M588" s="3">
        <v>7.2</v>
      </c>
      <c r="N588" s="3" t="s">
        <v>8</v>
      </c>
      <c r="O588" s="3" t="s">
        <v>8</v>
      </c>
    </row>
    <row r="589" spans="1:15" x14ac:dyDescent="0.35">
      <c r="A589" s="5" t="str">
        <f>Loads[[#This Row],[Date]]&amp;Loads[[#This Row],[Product]]</f>
        <v>44200Product8</v>
      </c>
      <c r="B589" s="5">
        <f>COUNTIF($A$1:A589,Loads[[#This Row],[Load]])</f>
        <v>2</v>
      </c>
      <c r="C589" s="3" t="str">
        <f>Loads[[#This Row],[Load]]&amp;Loads[[#This Row],[Count]]</f>
        <v>44200Product82</v>
      </c>
      <c r="D589" s="90">
        <v>44200</v>
      </c>
      <c r="E589" s="143">
        <v>0.97013888888888899</v>
      </c>
      <c r="F589" s="1" t="s">
        <v>9</v>
      </c>
      <c r="G589" s="2" t="s">
        <v>19</v>
      </c>
      <c r="H589" s="2" t="s">
        <v>42</v>
      </c>
      <c r="I589" s="1" t="s">
        <v>11</v>
      </c>
      <c r="J589" s="1" t="s">
        <v>8</v>
      </c>
      <c r="K589" s="89">
        <v>12760</v>
      </c>
      <c r="L589" s="3">
        <v>11.97</v>
      </c>
      <c r="M589" s="3">
        <v>7.2</v>
      </c>
      <c r="N589" s="3" t="s">
        <v>8</v>
      </c>
      <c r="O589" s="3" t="s">
        <v>8</v>
      </c>
    </row>
    <row r="590" spans="1:15" x14ac:dyDescent="0.35">
      <c r="A590" s="5" t="str">
        <f>Loads[[#This Row],[Date]]&amp;Loads[[#This Row],[Product]]</f>
        <v>44201Product8</v>
      </c>
      <c r="B590" s="5">
        <f>COUNTIF($A$1:A590,Loads[[#This Row],[Load]])</f>
        <v>1</v>
      </c>
      <c r="C590" s="3" t="str">
        <f>Loads[[#This Row],[Load]]&amp;Loads[[#This Row],[Count]]</f>
        <v>44201Product81</v>
      </c>
      <c r="D590" s="90">
        <v>44201</v>
      </c>
      <c r="E590" s="143">
        <v>0.56180555555555556</v>
      </c>
      <c r="F590" s="1" t="s">
        <v>9</v>
      </c>
      <c r="G590" s="2" t="s">
        <v>19</v>
      </c>
      <c r="H590" s="2" t="s">
        <v>42</v>
      </c>
      <c r="I590" s="1" t="s">
        <v>11</v>
      </c>
      <c r="J590" s="1" t="s">
        <v>8</v>
      </c>
      <c r="K590" s="89">
        <v>12660</v>
      </c>
      <c r="L590" s="3">
        <v>10.59</v>
      </c>
      <c r="M590" s="3">
        <v>7.2</v>
      </c>
      <c r="N590" s="3" t="s">
        <v>8</v>
      </c>
      <c r="O590" s="3" t="s">
        <v>8</v>
      </c>
    </row>
    <row r="591" spans="1:15" x14ac:dyDescent="0.35">
      <c r="A591" s="5" t="str">
        <f>Loads[[#This Row],[Date]]&amp;Loads[[#This Row],[Product]]</f>
        <v>44202Product8</v>
      </c>
      <c r="B591" s="5">
        <f>COUNTIF($A$1:A591,Loads[[#This Row],[Load]])</f>
        <v>1</v>
      </c>
      <c r="C591" s="3" t="str">
        <f>Loads[[#This Row],[Load]]&amp;Loads[[#This Row],[Count]]</f>
        <v>44202Product81</v>
      </c>
      <c r="D591" s="90">
        <v>44202</v>
      </c>
      <c r="E591" s="143">
        <v>0.90972222222222221</v>
      </c>
      <c r="F591" s="1" t="s">
        <v>9</v>
      </c>
      <c r="G591" s="2" t="s">
        <v>19</v>
      </c>
      <c r="H591" s="2" t="s">
        <v>42</v>
      </c>
      <c r="I591" s="1" t="s">
        <v>11</v>
      </c>
      <c r="J591" s="1" t="s">
        <v>8</v>
      </c>
      <c r="K591" s="89">
        <v>12880</v>
      </c>
      <c r="L591" s="3">
        <v>12.47</v>
      </c>
      <c r="M591" s="3">
        <v>7.2</v>
      </c>
      <c r="N591" s="3" t="s">
        <v>8</v>
      </c>
      <c r="O591" s="3" t="s">
        <v>8</v>
      </c>
    </row>
    <row r="592" spans="1:15" x14ac:dyDescent="0.35">
      <c r="A592" s="5" t="str">
        <f>Loads[[#This Row],[Date]]&amp;Loads[[#This Row],[Product]]</f>
        <v>44202Product8</v>
      </c>
      <c r="B592" s="5">
        <f>COUNTIF($A$1:A592,Loads[[#This Row],[Load]])</f>
        <v>2</v>
      </c>
      <c r="C592" s="3" t="str">
        <f>Loads[[#This Row],[Load]]&amp;Loads[[#This Row],[Count]]</f>
        <v>44202Product82</v>
      </c>
      <c r="D592" s="90">
        <v>44202</v>
      </c>
      <c r="E592" s="143">
        <v>0.91736111111111107</v>
      </c>
      <c r="F592" s="1" t="s">
        <v>9</v>
      </c>
      <c r="G592" s="2" t="s">
        <v>19</v>
      </c>
      <c r="H592" s="2" t="s">
        <v>42</v>
      </c>
      <c r="I592" s="1" t="s">
        <v>11</v>
      </c>
      <c r="J592" s="1" t="s">
        <v>8</v>
      </c>
      <c r="K592" s="89">
        <v>13040</v>
      </c>
      <c r="L592" s="3">
        <v>11.22</v>
      </c>
      <c r="M592" s="3">
        <v>7.2</v>
      </c>
      <c r="N592" s="3" t="s">
        <v>8</v>
      </c>
      <c r="O592" s="3" t="s">
        <v>8</v>
      </c>
    </row>
    <row r="593" spans="1:15" x14ac:dyDescent="0.35">
      <c r="A593" s="5" t="str">
        <f>Loads[[#This Row],[Date]]&amp;Loads[[#This Row],[Product]]</f>
        <v>44203Product8</v>
      </c>
      <c r="B593" s="5">
        <f>COUNTIF($A$1:A593,Loads[[#This Row],[Load]])</f>
        <v>1</v>
      </c>
      <c r="C593" s="3" t="str">
        <f>Loads[[#This Row],[Load]]&amp;Loads[[#This Row],[Count]]</f>
        <v>44203Product81</v>
      </c>
      <c r="D593" s="90">
        <v>44203</v>
      </c>
      <c r="E593" s="143">
        <v>0.81874999999999998</v>
      </c>
      <c r="F593" s="1" t="s">
        <v>9</v>
      </c>
      <c r="G593" s="2" t="s">
        <v>19</v>
      </c>
      <c r="H593" s="2" t="s">
        <v>42</v>
      </c>
      <c r="I593" s="1" t="s">
        <v>11</v>
      </c>
      <c r="J593" s="1" t="s">
        <v>8</v>
      </c>
      <c r="K593" s="89">
        <v>13120</v>
      </c>
      <c r="L593" s="3">
        <v>12.43</v>
      </c>
      <c r="M593" s="3">
        <v>7.2</v>
      </c>
      <c r="N593" s="3" t="s">
        <v>8</v>
      </c>
      <c r="O593" s="3" t="s">
        <v>8</v>
      </c>
    </row>
    <row r="594" spans="1:15" x14ac:dyDescent="0.35">
      <c r="A594" s="5" t="str">
        <f>Loads[[#This Row],[Date]]&amp;Loads[[#This Row],[Product]]</f>
        <v>44204Product8</v>
      </c>
      <c r="B594" s="5">
        <f>COUNTIF($A$1:A594,Loads[[#This Row],[Load]])</f>
        <v>1</v>
      </c>
      <c r="C594" s="3" t="str">
        <f>Loads[[#This Row],[Load]]&amp;Loads[[#This Row],[Count]]</f>
        <v>44204Product81</v>
      </c>
      <c r="D594" s="90">
        <v>44204</v>
      </c>
      <c r="E594" s="143">
        <v>0.69861111111111107</v>
      </c>
      <c r="F594" s="1" t="s">
        <v>9</v>
      </c>
      <c r="G594" s="2" t="s">
        <v>19</v>
      </c>
      <c r="H594" s="2" t="s">
        <v>42</v>
      </c>
      <c r="I594" s="1" t="s">
        <v>11</v>
      </c>
      <c r="J594" s="1" t="s">
        <v>8</v>
      </c>
      <c r="K594" s="89">
        <v>12860</v>
      </c>
      <c r="L594" s="3">
        <v>11.78</v>
      </c>
      <c r="M594" s="3">
        <v>7.2</v>
      </c>
      <c r="N594" s="3" t="s">
        <v>8</v>
      </c>
      <c r="O594" s="3" t="s">
        <v>8</v>
      </c>
    </row>
    <row r="595" spans="1:15" x14ac:dyDescent="0.35">
      <c r="A595" s="5" t="str">
        <f>Loads[[#This Row],[Date]]&amp;Loads[[#This Row],[Product]]</f>
        <v>44205Product8</v>
      </c>
      <c r="B595" s="5">
        <f>COUNTIF($A$1:A595,Loads[[#This Row],[Load]])</f>
        <v>1</v>
      </c>
      <c r="C595" s="3" t="str">
        <f>Loads[[#This Row],[Load]]&amp;Loads[[#This Row],[Count]]</f>
        <v>44205Product81</v>
      </c>
      <c r="D595" s="90">
        <v>44205</v>
      </c>
      <c r="E595" s="143">
        <v>0.73819444444444438</v>
      </c>
      <c r="F595" s="1" t="s">
        <v>9</v>
      </c>
      <c r="G595" s="2" t="s">
        <v>19</v>
      </c>
      <c r="H595" s="2" t="s">
        <v>42</v>
      </c>
      <c r="I595" s="1" t="s">
        <v>11</v>
      </c>
      <c r="J595" s="1" t="s">
        <v>8</v>
      </c>
      <c r="K595" s="89">
        <v>12620</v>
      </c>
      <c r="L595" s="3">
        <v>11.78</v>
      </c>
      <c r="M595" s="3">
        <v>7.2</v>
      </c>
      <c r="N595" s="3" t="s">
        <v>8</v>
      </c>
      <c r="O595" s="3" t="s">
        <v>8</v>
      </c>
    </row>
    <row r="596" spans="1:15" x14ac:dyDescent="0.35">
      <c r="A596" s="5" t="str">
        <f>Loads[[#This Row],[Date]]&amp;Loads[[#This Row],[Product]]</f>
        <v>44206Product8</v>
      </c>
      <c r="B596" s="5">
        <f>COUNTIF($A$1:A596,Loads[[#This Row],[Load]])</f>
        <v>1</v>
      </c>
      <c r="C596" s="3" t="str">
        <f>Loads[[#This Row],[Load]]&amp;Loads[[#This Row],[Count]]</f>
        <v>44206Product81</v>
      </c>
      <c r="D596" s="90">
        <v>44206</v>
      </c>
      <c r="E596" s="143">
        <v>0.6875</v>
      </c>
      <c r="F596" s="1" t="s">
        <v>9</v>
      </c>
      <c r="G596" s="2" t="s">
        <v>19</v>
      </c>
      <c r="H596" s="2" t="s">
        <v>42</v>
      </c>
      <c r="I596" s="1" t="s">
        <v>11</v>
      </c>
      <c r="J596" s="1" t="s">
        <v>8</v>
      </c>
      <c r="K596" s="89">
        <v>12280</v>
      </c>
      <c r="L596" s="3">
        <v>11.06</v>
      </c>
      <c r="M596" s="3">
        <v>7.2</v>
      </c>
      <c r="N596" s="3" t="s">
        <v>8</v>
      </c>
      <c r="O596" s="3" t="s">
        <v>8</v>
      </c>
    </row>
    <row r="597" spans="1:15" x14ac:dyDescent="0.35">
      <c r="A597" s="5" t="str">
        <f>Loads[[#This Row],[Date]]&amp;Loads[[#This Row],[Product]]</f>
        <v>44207Product8</v>
      </c>
      <c r="B597" s="5">
        <f>COUNTIF($A$1:A597,Loads[[#This Row],[Load]])</f>
        <v>1</v>
      </c>
      <c r="C597" s="3" t="str">
        <f>Loads[[#This Row],[Load]]&amp;Loads[[#This Row],[Count]]</f>
        <v>44207Product81</v>
      </c>
      <c r="D597" s="90">
        <v>44207</v>
      </c>
      <c r="E597" s="143">
        <v>0.70347222222222217</v>
      </c>
      <c r="F597" s="1" t="s">
        <v>9</v>
      </c>
      <c r="G597" s="2" t="s">
        <v>19</v>
      </c>
      <c r="H597" s="2" t="s">
        <v>42</v>
      </c>
      <c r="I597" s="1" t="s">
        <v>11</v>
      </c>
      <c r="J597" s="1" t="s">
        <v>8</v>
      </c>
      <c r="K597" s="89">
        <v>12420</v>
      </c>
      <c r="L597" s="3">
        <v>14.05</v>
      </c>
      <c r="M597" s="3">
        <v>7.2</v>
      </c>
      <c r="N597" s="3" t="s">
        <v>8</v>
      </c>
      <c r="O597" s="3" t="s">
        <v>8</v>
      </c>
    </row>
    <row r="598" spans="1:15" x14ac:dyDescent="0.35">
      <c r="A598" s="5" t="str">
        <f>Loads[[#This Row],[Date]]&amp;Loads[[#This Row],[Product]]</f>
        <v>44207Product8</v>
      </c>
      <c r="B598" s="5">
        <f>COUNTIF($A$1:A598,Loads[[#This Row],[Load]])</f>
        <v>2</v>
      </c>
      <c r="C598" s="3" t="str">
        <f>Loads[[#This Row],[Load]]&amp;Loads[[#This Row],[Count]]</f>
        <v>44207Product82</v>
      </c>
      <c r="D598" s="90">
        <v>44207</v>
      </c>
      <c r="E598" s="143">
        <v>0.70347222222222217</v>
      </c>
      <c r="F598" s="1" t="s">
        <v>9</v>
      </c>
      <c r="G598" s="2" t="s">
        <v>19</v>
      </c>
      <c r="H598" s="2" t="s">
        <v>42</v>
      </c>
      <c r="I598" s="1" t="s">
        <v>11</v>
      </c>
      <c r="J598" s="1" t="s">
        <v>8</v>
      </c>
      <c r="K598" s="89">
        <v>12860</v>
      </c>
      <c r="L598" s="3">
        <v>12.42</v>
      </c>
      <c r="M598" s="3">
        <v>7.2</v>
      </c>
      <c r="N598" s="3" t="s">
        <v>8</v>
      </c>
      <c r="O598" s="3" t="s">
        <v>8</v>
      </c>
    </row>
    <row r="599" spans="1:15" x14ac:dyDescent="0.35">
      <c r="A599" s="5" t="str">
        <f>Loads[[#This Row],[Date]]&amp;Loads[[#This Row],[Product]]</f>
        <v>44208Product8</v>
      </c>
      <c r="B599" s="5">
        <f>COUNTIF($A$1:A599,Loads[[#This Row],[Load]])</f>
        <v>1</v>
      </c>
      <c r="C599" s="3" t="str">
        <f>Loads[[#This Row],[Load]]&amp;Loads[[#This Row],[Count]]</f>
        <v>44208Product81</v>
      </c>
      <c r="D599" s="90">
        <v>44208</v>
      </c>
      <c r="E599" s="143">
        <v>0.34375</v>
      </c>
      <c r="F599" s="1" t="s">
        <v>9</v>
      </c>
      <c r="G599" s="2" t="s">
        <v>19</v>
      </c>
      <c r="H599" s="2" t="s">
        <v>42</v>
      </c>
      <c r="I599" s="1" t="s">
        <v>11</v>
      </c>
      <c r="J599" s="1" t="s">
        <v>8</v>
      </c>
      <c r="K599" s="89">
        <v>13240</v>
      </c>
      <c r="L599" s="3">
        <v>11.69</v>
      </c>
      <c r="M599" s="3">
        <v>7.2</v>
      </c>
      <c r="N599" s="3" t="s">
        <v>8</v>
      </c>
      <c r="O599" s="3" t="s">
        <v>8</v>
      </c>
    </row>
    <row r="600" spans="1:15" x14ac:dyDescent="0.35">
      <c r="A600" s="5" t="str">
        <f>Loads[[#This Row],[Date]]&amp;Loads[[#This Row],[Product]]</f>
        <v>44209Product8</v>
      </c>
      <c r="B600" s="5">
        <f>COUNTIF($A$1:A600,Loads[[#This Row],[Load]])</f>
        <v>1</v>
      </c>
      <c r="C600" s="3" t="str">
        <f>Loads[[#This Row],[Load]]&amp;Loads[[#This Row],[Count]]</f>
        <v>44209Product81</v>
      </c>
      <c r="D600" s="90">
        <v>44209</v>
      </c>
      <c r="E600" s="143">
        <v>0.40277777777777773</v>
      </c>
      <c r="F600" s="1" t="s">
        <v>9</v>
      </c>
      <c r="G600" s="2" t="s">
        <v>19</v>
      </c>
      <c r="H600" s="2" t="s">
        <v>42</v>
      </c>
      <c r="I600" s="1" t="s">
        <v>11</v>
      </c>
      <c r="J600" s="1" t="s">
        <v>8</v>
      </c>
      <c r="K600" s="89">
        <v>12060</v>
      </c>
      <c r="L600" s="3">
        <v>12.39</v>
      </c>
      <c r="M600" s="3">
        <v>7.2</v>
      </c>
      <c r="N600" s="3" t="s">
        <v>8</v>
      </c>
      <c r="O600" s="3" t="s">
        <v>8</v>
      </c>
    </row>
    <row r="601" spans="1:15" x14ac:dyDescent="0.35">
      <c r="A601" s="5" t="str">
        <f>Loads[[#This Row],[Date]]&amp;Loads[[#This Row],[Product]]</f>
        <v>44210Product8</v>
      </c>
      <c r="B601" s="5">
        <f>COUNTIF($A$1:A601,Loads[[#This Row],[Load]])</f>
        <v>1</v>
      </c>
      <c r="C601" s="3" t="str">
        <f>Loads[[#This Row],[Load]]&amp;Loads[[#This Row],[Count]]</f>
        <v>44210Product81</v>
      </c>
      <c r="D601" s="90">
        <v>44210</v>
      </c>
      <c r="E601" s="143">
        <v>0.79166666666666663</v>
      </c>
      <c r="F601" s="1" t="s">
        <v>9</v>
      </c>
      <c r="G601" s="2" t="s">
        <v>19</v>
      </c>
      <c r="H601" s="2" t="s">
        <v>42</v>
      </c>
      <c r="I601" s="1" t="s">
        <v>11</v>
      </c>
      <c r="J601" s="1" t="s">
        <v>8</v>
      </c>
      <c r="K601" s="89">
        <v>13100</v>
      </c>
      <c r="L601" s="3">
        <v>12.45</v>
      </c>
      <c r="M601" s="3">
        <v>7.2</v>
      </c>
      <c r="N601" s="3" t="s">
        <v>8</v>
      </c>
      <c r="O601" s="3" t="s">
        <v>8</v>
      </c>
    </row>
    <row r="602" spans="1:15" x14ac:dyDescent="0.35">
      <c r="A602" s="5" t="str">
        <f>Loads[[#This Row],[Date]]&amp;Loads[[#This Row],[Product]]</f>
        <v>44218Product1</v>
      </c>
      <c r="B602" s="5">
        <f>COUNTIF($A$1:A602,Loads[[#This Row],[Load]])</f>
        <v>1</v>
      </c>
      <c r="C602" s="3" t="str">
        <f>Loads[[#This Row],[Load]]&amp;Loads[[#This Row],[Count]]</f>
        <v>44218Product11</v>
      </c>
      <c r="D602" s="90">
        <v>44218</v>
      </c>
      <c r="E602" s="143">
        <v>0.11666666666666665</v>
      </c>
      <c r="F602" s="1" t="s">
        <v>9</v>
      </c>
      <c r="G602" s="2" t="s">
        <v>12</v>
      </c>
      <c r="H602" s="2" t="s">
        <v>42</v>
      </c>
      <c r="I602" s="1" t="s">
        <v>11</v>
      </c>
      <c r="K602" s="89">
        <v>21380</v>
      </c>
      <c r="L602" s="3">
        <v>9.19</v>
      </c>
      <c r="M602" s="3">
        <v>21.96</v>
      </c>
      <c r="N602" s="3"/>
      <c r="O602" s="3"/>
    </row>
    <row r="603" spans="1:15" x14ac:dyDescent="0.35">
      <c r="A603" s="5" t="str">
        <f>Loads[[#This Row],[Date]]&amp;Loads[[#This Row],[Product]]</f>
        <v>44210Product8</v>
      </c>
      <c r="B603" s="5">
        <f>COUNTIF($A$1:A603,Loads[[#This Row],[Load]])</f>
        <v>2</v>
      </c>
      <c r="C603" s="3" t="str">
        <f>Loads[[#This Row],[Load]]&amp;Loads[[#This Row],[Count]]</f>
        <v>44210Product82</v>
      </c>
      <c r="D603" s="90">
        <v>44210</v>
      </c>
      <c r="E603" s="143">
        <v>0.79166666666666663</v>
      </c>
      <c r="F603" s="1" t="s">
        <v>9</v>
      </c>
      <c r="G603" s="2" t="s">
        <v>19</v>
      </c>
      <c r="H603" s="2" t="s">
        <v>42</v>
      </c>
      <c r="I603" s="1" t="s">
        <v>11</v>
      </c>
      <c r="J603" s="1" t="s">
        <v>8</v>
      </c>
      <c r="K603" s="89">
        <v>11200</v>
      </c>
      <c r="L603" s="3">
        <v>13.05</v>
      </c>
      <c r="M603" s="3">
        <v>7.2</v>
      </c>
      <c r="N603" s="3" t="s">
        <v>8</v>
      </c>
      <c r="O603" s="3" t="s">
        <v>8</v>
      </c>
    </row>
    <row r="604" spans="1:15" x14ac:dyDescent="0.35">
      <c r="A604" s="5" t="str">
        <f>Loads[[#This Row],[Date]]&amp;Loads[[#This Row],[Product]]</f>
        <v>44211Product8</v>
      </c>
      <c r="B604" s="5">
        <f>COUNTIF($A$1:A604,Loads[[#This Row],[Load]])</f>
        <v>1</v>
      </c>
      <c r="C604" s="3" t="str">
        <f>Loads[[#This Row],[Load]]&amp;Loads[[#This Row],[Count]]</f>
        <v>44211Product81</v>
      </c>
      <c r="D604" s="90">
        <v>44211</v>
      </c>
      <c r="E604" s="143">
        <v>0.96666666666666667</v>
      </c>
      <c r="F604" s="1" t="s">
        <v>9</v>
      </c>
      <c r="G604" s="2" t="s">
        <v>19</v>
      </c>
      <c r="H604" s="2" t="s">
        <v>42</v>
      </c>
      <c r="I604" s="1" t="s">
        <v>11</v>
      </c>
      <c r="J604" s="1" t="s">
        <v>8</v>
      </c>
      <c r="K604" s="89">
        <v>13600</v>
      </c>
      <c r="L604" s="3">
        <v>12.39</v>
      </c>
      <c r="M604" s="3">
        <v>7.2</v>
      </c>
      <c r="N604" s="3" t="s">
        <v>8</v>
      </c>
      <c r="O604" s="3" t="s">
        <v>8</v>
      </c>
    </row>
    <row r="605" spans="1:15" x14ac:dyDescent="0.35">
      <c r="A605" s="5" t="str">
        <f>Loads[[#This Row],[Date]]&amp;Loads[[#This Row],[Product]]</f>
        <v>44212Product8</v>
      </c>
      <c r="B605" s="5">
        <f>COUNTIF($A$1:A605,Loads[[#This Row],[Load]])</f>
        <v>1</v>
      </c>
      <c r="C605" s="3" t="str">
        <f>Loads[[#This Row],[Load]]&amp;Loads[[#This Row],[Count]]</f>
        <v>44212Product81</v>
      </c>
      <c r="D605" s="90">
        <v>44212</v>
      </c>
      <c r="E605" s="143">
        <v>0.97222222222222221</v>
      </c>
      <c r="F605" s="1" t="s">
        <v>9</v>
      </c>
      <c r="G605" s="2" t="s">
        <v>19</v>
      </c>
      <c r="H605" s="2" t="s">
        <v>42</v>
      </c>
      <c r="I605" s="1" t="s">
        <v>11</v>
      </c>
      <c r="J605" s="1" t="s">
        <v>8</v>
      </c>
      <c r="K605" s="89">
        <v>12680</v>
      </c>
      <c r="L605" s="3">
        <v>12.05</v>
      </c>
      <c r="M605" s="3">
        <v>7.2</v>
      </c>
      <c r="N605" s="3" t="s">
        <v>8</v>
      </c>
      <c r="O605" s="3" t="s">
        <v>8</v>
      </c>
    </row>
    <row r="606" spans="1:15" x14ac:dyDescent="0.35">
      <c r="A606" s="5" t="str">
        <f>Loads[[#This Row],[Date]]&amp;Loads[[#This Row],[Product]]</f>
        <v>44212Product8</v>
      </c>
      <c r="B606" s="5">
        <f>COUNTIF($A$1:A606,Loads[[#This Row],[Load]])</f>
        <v>2</v>
      </c>
      <c r="C606" s="3" t="str">
        <f>Loads[[#This Row],[Load]]&amp;Loads[[#This Row],[Count]]</f>
        <v>44212Product82</v>
      </c>
      <c r="D606" s="90">
        <v>44212</v>
      </c>
      <c r="E606" s="143">
        <v>0.97291666666666676</v>
      </c>
      <c r="F606" s="1" t="s">
        <v>9</v>
      </c>
      <c r="G606" s="2" t="s">
        <v>19</v>
      </c>
      <c r="H606" s="2" t="s">
        <v>42</v>
      </c>
      <c r="I606" s="1" t="s">
        <v>11</v>
      </c>
      <c r="J606" s="1" t="s">
        <v>8</v>
      </c>
      <c r="K606" s="89">
        <v>12820</v>
      </c>
      <c r="L606" s="3">
        <v>12.86</v>
      </c>
      <c r="M606" s="3">
        <v>7.2</v>
      </c>
      <c r="N606" s="3" t="s">
        <v>8</v>
      </c>
      <c r="O606" s="3" t="s">
        <v>8</v>
      </c>
    </row>
    <row r="607" spans="1:15" x14ac:dyDescent="0.35">
      <c r="A607" s="5" t="str">
        <f>Loads[[#This Row],[Date]]&amp;Loads[[#This Row],[Product]]</f>
        <v>44214Product8</v>
      </c>
      <c r="B607" s="5">
        <f>COUNTIF($A$1:A607,Loads[[#This Row],[Load]])</f>
        <v>1</v>
      </c>
      <c r="C607" s="3" t="str">
        <f>Loads[[#This Row],[Load]]&amp;Loads[[#This Row],[Count]]</f>
        <v>44214Product81</v>
      </c>
      <c r="D607" s="90">
        <v>44214</v>
      </c>
      <c r="E607" s="143">
        <v>7.4305555555555555E-2</v>
      </c>
      <c r="F607" s="1" t="s">
        <v>9</v>
      </c>
      <c r="G607" s="2" t="s">
        <v>19</v>
      </c>
      <c r="H607" s="2" t="s">
        <v>42</v>
      </c>
      <c r="I607" s="1" t="s">
        <v>11</v>
      </c>
      <c r="J607" s="1" t="s">
        <v>8</v>
      </c>
      <c r="K607" s="89">
        <v>13020</v>
      </c>
      <c r="L607" s="3">
        <v>10.93</v>
      </c>
      <c r="M607" s="3">
        <v>7.2</v>
      </c>
      <c r="N607" s="3" t="s">
        <v>8</v>
      </c>
      <c r="O607" s="3" t="s">
        <v>8</v>
      </c>
    </row>
    <row r="608" spans="1:15" x14ac:dyDescent="0.35">
      <c r="A608" s="5" t="str">
        <f>Loads[[#This Row],[Date]]&amp;Loads[[#This Row],[Product]]</f>
        <v>44214Product8</v>
      </c>
      <c r="B608" s="5">
        <f>COUNTIF($A$1:A608,Loads[[#This Row],[Load]])</f>
        <v>2</v>
      </c>
      <c r="C608" s="3" t="str">
        <f>Loads[[#This Row],[Load]]&amp;Loads[[#This Row],[Count]]</f>
        <v>44214Product82</v>
      </c>
      <c r="D608" s="90">
        <v>44214</v>
      </c>
      <c r="E608" s="143">
        <v>7.5694444444444439E-2</v>
      </c>
      <c r="F608" s="1" t="s">
        <v>9</v>
      </c>
      <c r="G608" s="2" t="s">
        <v>19</v>
      </c>
      <c r="H608" s="2" t="s">
        <v>42</v>
      </c>
      <c r="I608" s="1" t="s">
        <v>11</v>
      </c>
      <c r="J608" s="1" t="s">
        <v>8</v>
      </c>
      <c r="K608" s="89">
        <v>13020</v>
      </c>
      <c r="L608" s="3">
        <v>12.47</v>
      </c>
      <c r="M608" s="3">
        <v>7.2</v>
      </c>
      <c r="N608" s="3" t="s">
        <v>8</v>
      </c>
      <c r="O608" s="3" t="s">
        <v>8</v>
      </c>
    </row>
    <row r="609" spans="1:15" x14ac:dyDescent="0.35">
      <c r="A609" s="5" t="str">
        <f>Loads[[#This Row],[Date]]&amp;Loads[[#This Row],[Product]]</f>
        <v>44216Product8</v>
      </c>
      <c r="B609" s="5">
        <f>COUNTIF($A$1:A609,Loads[[#This Row],[Load]])</f>
        <v>1</v>
      </c>
      <c r="C609" s="3" t="str">
        <f>Loads[[#This Row],[Load]]&amp;Loads[[#This Row],[Count]]</f>
        <v>44216Product81</v>
      </c>
      <c r="D609" s="90">
        <v>44216</v>
      </c>
      <c r="E609" s="143">
        <v>0.44097222222222227</v>
      </c>
      <c r="F609" s="1" t="s">
        <v>9</v>
      </c>
      <c r="G609" s="2" t="s">
        <v>19</v>
      </c>
      <c r="H609" s="2" t="s">
        <v>42</v>
      </c>
      <c r="I609" s="1" t="s">
        <v>11</v>
      </c>
      <c r="J609" s="1" t="s">
        <v>8</v>
      </c>
      <c r="K609" s="89">
        <v>12700</v>
      </c>
      <c r="L609" s="3">
        <v>12.1</v>
      </c>
      <c r="M609" s="3">
        <v>7.2</v>
      </c>
      <c r="N609" s="3" t="s">
        <v>8</v>
      </c>
      <c r="O609" s="3" t="s">
        <v>8</v>
      </c>
    </row>
    <row r="610" spans="1:15" x14ac:dyDescent="0.35">
      <c r="A610" s="5" t="str">
        <f>Loads[[#This Row],[Date]]&amp;Loads[[#This Row],[Product]]</f>
        <v>44216Product8</v>
      </c>
      <c r="B610" s="5">
        <f>COUNTIF($A$1:A610,Loads[[#This Row],[Load]])</f>
        <v>2</v>
      </c>
      <c r="C610" s="3" t="str">
        <f>Loads[[#This Row],[Load]]&amp;Loads[[#This Row],[Count]]</f>
        <v>44216Product82</v>
      </c>
      <c r="D610" s="90">
        <v>44216</v>
      </c>
      <c r="E610" s="143">
        <v>1.3888888888888888E-2</v>
      </c>
      <c r="F610" s="1" t="s">
        <v>9</v>
      </c>
      <c r="G610" s="2" t="s">
        <v>19</v>
      </c>
      <c r="H610" s="2" t="s">
        <v>42</v>
      </c>
      <c r="I610" s="1" t="s">
        <v>11</v>
      </c>
      <c r="J610" s="1" t="s">
        <v>8</v>
      </c>
      <c r="K610" s="89">
        <v>12700</v>
      </c>
      <c r="L610" s="3">
        <v>10.93</v>
      </c>
      <c r="M610" s="3">
        <v>7.2</v>
      </c>
      <c r="N610" s="3" t="s">
        <v>8</v>
      </c>
      <c r="O610" s="3" t="s">
        <v>8</v>
      </c>
    </row>
    <row r="611" spans="1:15" x14ac:dyDescent="0.35">
      <c r="A611" s="5" t="str">
        <f>Loads[[#This Row],[Date]]&amp;Loads[[#This Row],[Product]]</f>
        <v>44218Product8</v>
      </c>
      <c r="B611" s="5">
        <f>COUNTIF($A$1:A611,Loads[[#This Row],[Load]])</f>
        <v>1</v>
      </c>
      <c r="C611" s="3" t="str">
        <f>Loads[[#This Row],[Load]]&amp;Loads[[#This Row],[Count]]</f>
        <v>44218Product81</v>
      </c>
      <c r="D611" s="90">
        <v>44218</v>
      </c>
      <c r="E611" s="143">
        <v>0.12361111111111112</v>
      </c>
      <c r="F611" s="1" t="s">
        <v>9</v>
      </c>
      <c r="G611" s="2" t="s">
        <v>19</v>
      </c>
      <c r="H611" s="2" t="s">
        <v>42</v>
      </c>
      <c r="I611" s="1" t="s">
        <v>11</v>
      </c>
      <c r="J611" s="1" t="s">
        <v>8</v>
      </c>
      <c r="K611" s="89">
        <v>13200</v>
      </c>
      <c r="L611" s="3">
        <v>10.77</v>
      </c>
      <c r="M611" s="3">
        <v>7.2</v>
      </c>
      <c r="N611" s="3" t="s">
        <v>8</v>
      </c>
      <c r="O611" s="3" t="s">
        <v>8</v>
      </c>
    </row>
    <row r="612" spans="1:15" x14ac:dyDescent="0.35">
      <c r="A612" s="5" t="str">
        <f>Loads[[#This Row],[Date]]&amp;Loads[[#This Row],[Product]]</f>
        <v>44218Product8</v>
      </c>
      <c r="B612" s="5">
        <f>COUNTIF($A$1:A612,Loads[[#This Row],[Load]])</f>
        <v>2</v>
      </c>
      <c r="C612" s="3" t="str">
        <f>Loads[[#This Row],[Load]]&amp;Loads[[#This Row],[Count]]</f>
        <v>44218Product82</v>
      </c>
      <c r="D612" s="90">
        <v>44218</v>
      </c>
      <c r="E612" s="143">
        <v>0.12430555555555556</v>
      </c>
      <c r="F612" s="1" t="s">
        <v>9</v>
      </c>
      <c r="G612" s="2" t="s">
        <v>19</v>
      </c>
      <c r="H612" s="2" t="s">
        <v>42</v>
      </c>
      <c r="I612" s="1" t="s">
        <v>11</v>
      </c>
      <c r="J612" s="1" t="s">
        <v>8</v>
      </c>
      <c r="K612" s="89">
        <v>13140</v>
      </c>
      <c r="L612" s="3">
        <v>10.5</v>
      </c>
      <c r="M612" s="3">
        <v>7.2</v>
      </c>
      <c r="N612" s="3" t="s">
        <v>8</v>
      </c>
      <c r="O612" s="3" t="s">
        <v>8</v>
      </c>
    </row>
    <row r="613" spans="1:15" x14ac:dyDescent="0.35">
      <c r="A613" s="5" t="str">
        <f>Loads[[#This Row],[Date]]&amp;Loads[[#This Row],[Product]]</f>
        <v>44219Product8</v>
      </c>
      <c r="B613" s="5">
        <f>COUNTIF($A$1:A613,Loads[[#This Row],[Load]])</f>
        <v>1</v>
      </c>
      <c r="C613" s="3" t="str">
        <f>Loads[[#This Row],[Load]]&amp;Loads[[#This Row],[Count]]</f>
        <v>44219Product81</v>
      </c>
      <c r="D613" s="90">
        <v>44219</v>
      </c>
      <c r="E613" s="143">
        <v>6.805555555555555E-2</v>
      </c>
      <c r="F613" s="1" t="s">
        <v>9</v>
      </c>
      <c r="G613" s="2" t="s">
        <v>19</v>
      </c>
      <c r="H613" s="2" t="s">
        <v>42</v>
      </c>
      <c r="I613" s="1" t="s">
        <v>11</v>
      </c>
      <c r="J613" s="1" t="s">
        <v>8</v>
      </c>
      <c r="K613" s="89">
        <v>13700</v>
      </c>
      <c r="L613" s="3">
        <v>10.82</v>
      </c>
      <c r="M613" s="3">
        <v>7.2</v>
      </c>
      <c r="N613" s="3" t="s">
        <v>8</v>
      </c>
      <c r="O613" s="3" t="s">
        <v>8</v>
      </c>
    </row>
    <row r="614" spans="1:15" x14ac:dyDescent="0.35">
      <c r="A614" s="5" t="str">
        <f>Loads[[#This Row],[Date]]&amp;Loads[[#This Row],[Product]]</f>
        <v>44219Product8</v>
      </c>
      <c r="B614" s="5">
        <f>COUNTIF($A$1:A614,Loads[[#This Row],[Load]])</f>
        <v>2</v>
      </c>
      <c r="C614" s="3" t="str">
        <f>Loads[[#This Row],[Load]]&amp;Loads[[#This Row],[Count]]</f>
        <v>44219Product82</v>
      </c>
      <c r="D614" s="90">
        <v>44219</v>
      </c>
      <c r="E614" s="143">
        <v>6.805555555555555E-2</v>
      </c>
      <c r="F614" s="1" t="s">
        <v>9</v>
      </c>
      <c r="G614" s="2" t="s">
        <v>19</v>
      </c>
      <c r="H614" s="2" t="s">
        <v>42</v>
      </c>
      <c r="I614" s="1" t="s">
        <v>11</v>
      </c>
      <c r="J614" s="1" t="s">
        <v>8</v>
      </c>
      <c r="K614" s="89">
        <v>12960</v>
      </c>
      <c r="L614" s="3">
        <v>11.87</v>
      </c>
      <c r="M614" s="3">
        <v>7.2</v>
      </c>
      <c r="N614" s="3" t="s">
        <v>8</v>
      </c>
      <c r="O614" s="3" t="s">
        <v>8</v>
      </c>
    </row>
    <row r="615" spans="1:15" x14ac:dyDescent="0.35">
      <c r="A615" s="5" t="str">
        <f>Loads[[#This Row],[Date]]&amp;Loads[[#This Row],[Product]]</f>
        <v>44220Product8</v>
      </c>
      <c r="B615" s="5">
        <f>COUNTIF($A$1:A615,Loads[[#This Row],[Load]])</f>
        <v>1</v>
      </c>
      <c r="C615" s="3" t="str">
        <f>Loads[[#This Row],[Load]]&amp;Loads[[#This Row],[Count]]</f>
        <v>44220Product81</v>
      </c>
      <c r="D615" s="90">
        <v>44220</v>
      </c>
      <c r="E615" s="143">
        <v>8.2638888888888887E-2</v>
      </c>
      <c r="F615" s="1" t="s">
        <v>9</v>
      </c>
      <c r="G615" s="2" t="s">
        <v>19</v>
      </c>
      <c r="H615" s="2" t="s">
        <v>42</v>
      </c>
      <c r="I615" s="1" t="s">
        <v>11</v>
      </c>
      <c r="J615" s="1" t="s">
        <v>8</v>
      </c>
      <c r="K615" s="89">
        <v>13080</v>
      </c>
      <c r="L615" s="3">
        <v>11.28</v>
      </c>
      <c r="M615" s="3">
        <v>7.2</v>
      </c>
      <c r="N615" s="3" t="s">
        <v>8</v>
      </c>
      <c r="O615" s="3" t="s">
        <v>8</v>
      </c>
    </row>
    <row r="616" spans="1:15" x14ac:dyDescent="0.35">
      <c r="A616" s="5" t="str">
        <f>Loads[[#This Row],[Date]]&amp;Loads[[#This Row],[Product]]</f>
        <v>44221Product8</v>
      </c>
      <c r="B616" s="5">
        <f>COUNTIF($A$1:A616,Loads[[#This Row],[Load]])</f>
        <v>1</v>
      </c>
      <c r="C616" s="3" t="str">
        <f>Loads[[#This Row],[Load]]&amp;Loads[[#This Row],[Count]]</f>
        <v>44221Product81</v>
      </c>
      <c r="D616" s="90">
        <v>44221</v>
      </c>
      <c r="E616" s="143">
        <v>0.11458333333333333</v>
      </c>
      <c r="F616" s="1" t="s">
        <v>9</v>
      </c>
      <c r="G616" s="2" t="s">
        <v>19</v>
      </c>
      <c r="H616" s="2" t="s">
        <v>42</v>
      </c>
      <c r="I616" s="1" t="s">
        <v>11</v>
      </c>
      <c r="J616" s="1" t="s">
        <v>8</v>
      </c>
      <c r="K616" s="89">
        <v>13980</v>
      </c>
      <c r="L616" s="3">
        <v>11.71</v>
      </c>
      <c r="M616" s="3">
        <v>7</v>
      </c>
      <c r="N616" s="3" t="s">
        <v>8</v>
      </c>
      <c r="O616" s="3" t="s">
        <v>8</v>
      </c>
    </row>
    <row r="617" spans="1:15" x14ac:dyDescent="0.35">
      <c r="A617" s="5" t="str">
        <f>Loads[[#This Row],[Date]]&amp;Loads[[#This Row],[Product]]</f>
        <v>44222Product8</v>
      </c>
      <c r="B617" s="5">
        <f>COUNTIF($A$1:A617,Loads[[#This Row],[Load]])</f>
        <v>1</v>
      </c>
      <c r="C617" s="3" t="str">
        <f>Loads[[#This Row],[Load]]&amp;Loads[[#This Row],[Count]]</f>
        <v>44222Product81</v>
      </c>
      <c r="D617" s="90">
        <v>44222</v>
      </c>
      <c r="E617" s="143">
        <v>5.8333333333333327E-2</v>
      </c>
      <c r="F617" s="1" t="s">
        <v>9</v>
      </c>
      <c r="G617" s="2" t="s">
        <v>19</v>
      </c>
      <c r="H617" s="2" t="s">
        <v>42</v>
      </c>
      <c r="I617" s="1" t="s">
        <v>11</v>
      </c>
      <c r="J617" s="1" t="s">
        <v>8</v>
      </c>
      <c r="K617" s="89">
        <v>13240</v>
      </c>
      <c r="L617" s="3">
        <v>12.13</v>
      </c>
      <c r="M617" s="3">
        <v>7.2</v>
      </c>
      <c r="N617" s="3" t="s">
        <v>8</v>
      </c>
      <c r="O617" s="3" t="s">
        <v>8</v>
      </c>
    </row>
    <row r="618" spans="1:15" x14ac:dyDescent="0.35">
      <c r="A618" s="5" t="str">
        <f>Loads[[#This Row],[Date]]&amp;Loads[[#This Row],[Product]]</f>
        <v>44222Product8</v>
      </c>
      <c r="B618" s="5">
        <f>COUNTIF($A$1:A618,Loads[[#This Row],[Load]])</f>
        <v>2</v>
      </c>
      <c r="C618" s="3" t="str">
        <f>Loads[[#This Row],[Load]]&amp;Loads[[#This Row],[Count]]</f>
        <v>44222Product82</v>
      </c>
      <c r="D618" s="90">
        <v>44222</v>
      </c>
      <c r="E618" s="143">
        <v>5.9722222222222225E-2</v>
      </c>
      <c r="F618" s="1" t="s">
        <v>9</v>
      </c>
      <c r="G618" s="2" t="s">
        <v>19</v>
      </c>
      <c r="H618" s="2" t="s">
        <v>42</v>
      </c>
      <c r="I618" s="1" t="s">
        <v>11</v>
      </c>
      <c r="J618" s="1" t="s">
        <v>8</v>
      </c>
      <c r="K618" s="89">
        <v>13820</v>
      </c>
      <c r="L618" s="3">
        <v>11.88</v>
      </c>
      <c r="M618" s="3">
        <v>7.2</v>
      </c>
      <c r="N618" s="3" t="s">
        <v>8</v>
      </c>
      <c r="O618" s="3" t="s">
        <v>8</v>
      </c>
    </row>
    <row r="619" spans="1:15" x14ac:dyDescent="0.35">
      <c r="A619" s="5" t="str">
        <f>Loads[[#This Row],[Date]]&amp;Loads[[#This Row],[Product]]</f>
        <v>44223Product8</v>
      </c>
      <c r="B619" s="5">
        <f>COUNTIF($A$1:A619,Loads[[#This Row],[Load]])</f>
        <v>1</v>
      </c>
      <c r="C619" s="3" t="str">
        <f>Loads[[#This Row],[Load]]&amp;Loads[[#This Row],[Count]]</f>
        <v>44223Product81</v>
      </c>
      <c r="D619" s="90">
        <v>44223</v>
      </c>
      <c r="E619" s="143">
        <v>6.458333333333334E-2</v>
      </c>
      <c r="F619" s="1" t="s">
        <v>9</v>
      </c>
      <c r="G619" s="2" t="s">
        <v>19</v>
      </c>
      <c r="H619" s="2" t="s">
        <v>42</v>
      </c>
      <c r="I619" s="1" t="s">
        <v>11</v>
      </c>
      <c r="J619" s="1" t="s">
        <v>8</v>
      </c>
      <c r="K619" s="89">
        <v>13240</v>
      </c>
      <c r="L619" s="3">
        <v>11.53</v>
      </c>
      <c r="M619" s="3">
        <v>7.2</v>
      </c>
      <c r="N619" s="3" t="s">
        <v>8</v>
      </c>
      <c r="O619" s="3" t="s">
        <v>8</v>
      </c>
    </row>
    <row r="620" spans="1:15" x14ac:dyDescent="0.35">
      <c r="A620" s="5" t="str">
        <f>Loads[[#This Row],[Date]]&amp;Loads[[#This Row],[Product]]</f>
        <v>44223Product8</v>
      </c>
      <c r="B620" s="5">
        <f>COUNTIF($A$1:A620,Loads[[#This Row],[Load]])</f>
        <v>2</v>
      </c>
      <c r="C620" s="3" t="str">
        <f>Loads[[#This Row],[Load]]&amp;Loads[[#This Row],[Count]]</f>
        <v>44223Product82</v>
      </c>
      <c r="D620" s="90">
        <v>44223</v>
      </c>
      <c r="E620" s="143">
        <v>6.5277777777777782E-2</v>
      </c>
      <c r="F620" s="1" t="s">
        <v>9</v>
      </c>
      <c r="G620" s="2" t="s">
        <v>19</v>
      </c>
      <c r="H620" s="2" t="s">
        <v>42</v>
      </c>
      <c r="I620" s="1" t="s">
        <v>11</v>
      </c>
      <c r="J620" s="1" t="s">
        <v>8</v>
      </c>
      <c r="K620" s="89">
        <v>12980</v>
      </c>
      <c r="L620" s="3">
        <v>11.31</v>
      </c>
      <c r="M620" s="3">
        <v>7.2</v>
      </c>
      <c r="N620" s="3" t="s">
        <v>8</v>
      </c>
      <c r="O620" s="3" t="s">
        <v>8</v>
      </c>
    </row>
    <row r="621" spans="1:15" x14ac:dyDescent="0.35">
      <c r="A621" s="5" t="str">
        <f>Loads[[#This Row],[Date]]&amp;Loads[[#This Row],[Product]]</f>
        <v>44224Product8</v>
      </c>
      <c r="B621" s="5">
        <f>COUNTIF($A$1:A621,Loads[[#This Row],[Load]])</f>
        <v>1</v>
      </c>
      <c r="C621" s="3" t="str">
        <f>Loads[[#This Row],[Load]]&amp;Loads[[#This Row],[Count]]</f>
        <v>44224Product81</v>
      </c>
      <c r="D621" s="90">
        <v>44224</v>
      </c>
      <c r="E621" s="143">
        <v>0.81180555555555556</v>
      </c>
      <c r="F621" s="1" t="s">
        <v>9</v>
      </c>
      <c r="G621" s="2" t="s">
        <v>19</v>
      </c>
      <c r="H621" s="2" t="s">
        <v>42</v>
      </c>
      <c r="I621" s="1" t="s">
        <v>11</v>
      </c>
      <c r="J621" s="1" t="s">
        <v>8</v>
      </c>
      <c r="K621" s="89">
        <v>26280</v>
      </c>
      <c r="L621" s="3">
        <v>11.61</v>
      </c>
      <c r="M621" s="3">
        <v>7.2</v>
      </c>
      <c r="N621" s="3" t="s">
        <v>8</v>
      </c>
      <c r="O621" s="3" t="s">
        <v>8</v>
      </c>
    </row>
    <row r="622" spans="1:15" x14ac:dyDescent="0.35">
      <c r="A622" s="5" t="str">
        <f>Loads[[#This Row],[Date]]&amp;Loads[[#This Row],[Product]]</f>
        <v>44226Product8</v>
      </c>
      <c r="B622" s="5">
        <f>COUNTIF($A$1:A622,Loads[[#This Row],[Load]])</f>
        <v>1</v>
      </c>
      <c r="C622" s="3" t="str">
        <f>Loads[[#This Row],[Load]]&amp;Loads[[#This Row],[Count]]</f>
        <v>44226Product81</v>
      </c>
      <c r="D622" s="90">
        <v>44226</v>
      </c>
      <c r="E622" s="143">
        <v>0.96597222222222223</v>
      </c>
      <c r="F622" s="1" t="s">
        <v>9</v>
      </c>
      <c r="G622" s="2" t="s">
        <v>19</v>
      </c>
      <c r="H622" s="2" t="s">
        <v>42</v>
      </c>
      <c r="I622" s="1" t="s">
        <v>11</v>
      </c>
      <c r="J622" s="1" t="s">
        <v>8</v>
      </c>
      <c r="K622" s="89">
        <v>24480</v>
      </c>
      <c r="L622" s="3">
        <v>11.94</v>
      </c>
      <c r="M622" s="3">
        <v>7.2</v>
      </c>
      <c r="N622" s="3" t="s">
        <v>8</v>
      </c>
      <c r="O622" s="3" t="s">
        <v>8</v>
      </c>
    </row>
    <row r="623" spans="1:15" x14ac:dyDescent="0.35">
      <c r="A623" s="5" t="str">
        <f>Loads[[#This Row],[Date]]&amp;Loads[[#This Row],[Product]]</f>
        <v>44228Product8</v>
      </c>
      <c r="B623" s="5">
        <f>COUNTIF($A$1:A623,Loads[[#This Row],[Load]])</f>
        <v>1</v>
      </c>
      <c r="C623" s="3" t="str">
        <f>Loads[[#This Row],[Load]]&amp;Loads[[#This Row],[Count]]</f>
        <v>44228Product81</v>
      </c>
      <c r="D623" s="90">
        <v>44228</v>
      </c>
      <c r="E623" s="143">
        <v>0.92638888888888893</v>
      </c>
      <c r="F623" s="1" t="s">
        <v>9</v>
      </c>
      <c r="G623" s="2" t="s">
        <v>19</v>
      </c>
      <c r="H623" s="2" t="s">
        <v>42</v>
      </c>
      <c r="I623" s="1" t="s">
        <v>11</v>
      </c>
      <c r="J623" s="1" t="s">
        <v>8</v>
      </c>
      <c r="K623" s="89">
        <v>22980</v>
      </c>
      <c r="L623" s="3">
        <v>11.78</v>
      </c>
      <c r="M623" s="3">
        <v>7.2</v>
      </c>
      <c r="N623" s="3" t="s">
        <v>8</v>
      </c>
      <c r="O623" s="3" t="s">
        <v>8</v>
      </c>
    </row>
    <row r="624" spans="1:15" x14ac:dyDescent="0.35">
      <c r="A624" s="5" t="str">
        <f>Loads[[#This Row],[Date]]&amp;Loads[[#This Row],[Product]]</f>
        <v>44228Product8</v>
      </c>
      <c r="B624" s="5">
        <f>COUNTIF($A$1:A624,Loads[[#This Row],[Load]])</f>
        <v>2</v>
      </c>
      <c r="C624" s="3" t="str">
        <f>Loads[[#This Row],[Load]]&amp;Loads[[#This Row],[Count]]</f>
        <v>44228Product82</v>
      </c>
      <c r="D624" s="90">
        <v>44228</v>
      </c>
      <c r="E624" s="143">
        <v>0.92638888888888893</v>
      </c>
      <c r="F624" s="1" t="s">
        <v>9</v>
      </c>
      <c r="G624" s="2" t="s">
        <v>19</v>
      </c>
      <c r="H624" s="2" t="s">
        <v>42</v>
      </c>
      <c r="I624" s="1" t="s">
        <v>11</v>
      </c>
      <c r="J624" s="1" t="s">
        <v>8</v>
      </c>
      <c r="K624" s="89">
        <v>13320</v>
      </c>
      <c r="L624" s="3">
        <v>12.11</v>
      </c>
      <c r="M624" s="3">
        <v>7.2</v>
      </c>
      <c r="N624" s="3" t="s">
        <v>8</v>
      </c>
      <c r="O624" s="3" t="s">
        <v>8</v>
      </c>
    </row>
    <row r="625" spans="1:15" x14ac:dyDescent="0.35">
      <c r="A625" s="5" t="str">
        <f>Loads[[#This Row],[Date]]&amp;Loads[[#This Row],[Product]]</f>
        <v>44229Product8</v>
      </c>
      <c r="B625" s="5">
        <f>COUNTIF($A$1:A625,Loads[[#This Row],[Load]])</f>
        <v>1</v>
      </c>
      <c r="C625" s="3" t="str">
        <f>Loads[[#This Row],[Load]]&amp;Loads[[#This Row],[Count]]</f>
        <v>44229Product81</v>
      </c>
      <c r="D625" s="90">
        <v>44229</v>
      </c>
      <c r="E625" s="143">
        <v>0.44791666666666669</v>
      </c>
      <c r="F625" s="1" t="s">
        <v>9</v>
      </c>
      <c r="G625" s="2" t="s">
        <v>19</v>
      </c>
      <c r="H625" s="2" t="s">
        <v>42</v>
      </c>
      <c r="I625" s="1" t="s">
        <v>11</v>
      </c>
      <c r="J625" s="1" t="s">
        <v>8</v>
      </c>
      <c r="K625" s="89">
        <v>13200</v>
      </c>
      <c r="L625" s="3">
        <v>11.58</v>
      </c>
      <c r="M625" s="3">
        <v>7.2</v>
      </c>
      <c r="N625" s="3" t="s">
        <v>8</v>
      </c>
      <c r="O625" s="3" t="s">
        <v>8</v>
      </c>
    </row>
    <row r="626" spans="1:15" x14ac:dyDescent="0.35">
      <c r="A626" s="5" t="str">
        <f>Loads[[#This Row],[Date]]&amp;Loads[[#This Row],[Product]]</f>
        <v>44229Product8</v>
      </c>
      <c r="B626" s="5">
        <f>COUNTIF($A$1:A626,Loads[[#This Row],[Load]])</f>
        <v>2</v>
      </c>
      <c r="C626" s="3" t="str">
        <f>Loads[[#This Row],[Load]]&amp;Loads[[#This Row],[Count]]</f>
        <v>44229Product82</v>
      </c>
      <c r="D626" s="90">
        <v>44229</v>
      </c>
      <c r="E626" s="143">
        <v>0.2638888888888889</v>
      </c>
      <c r="F626" s="1" t="s">
        <v>9</v>
      </c>
      <c r="G626" s="2" t="s">
        <v>19</v>
      </c>
      <c r="H626" s="2" t="s">
        <v>42</v>
      </c>
      <c r="I626" s="1" t="s">
        <v>11</v>
      </c>
      <c r="J626" s="1" t="s">
        <v>8</v>
      </c>
      <c r="K626" s="89">
        <v>12380</v>
      </c>
      <c r="L626" s="3">
        <v>11.64</v>
      </c>
      <c r="M626" s="3">
        <v>7.2</v>
      </c>
      <c r="N626" s="3" t="s">
        <v>8</v>
      </c>
      <c r="O626" s="3" t="s">
        <v>8</v>
      </c>
    </row>
    <row r="627" spans="1:15" x14ac:dyDescent="0.35">
      <c r="A627" s="5" t="str">
        <f>Loads[[#This Row],[Date]]&amp;Loads[[#This Row],[Product]]</f>
        <v>44230Product8</v>
      </c>
      <c r="B627" s="5">
        <f>COUNTIF($A$1:A627,Loads[[#This Row],[Load]])</f>
        <v>1</v>
      </c>
      <c r="C627" s="3" t="str">
        <f>Loads[[#This Row],[Load]]&amp;Loads[[#This Row],[Count]]</f>
        <v>44230Product81</v>
      </c>
      <c r="D627" s="90">
        <v>44230</v>
      </c>
      <c r="E627" s="143">
        <v>4.2361111111111106E-2</v>
      </c>
      <c r="F627" s="1" t="s">
        <v>9</v>
      </c>
      <c r="G627" s="2" t="s">
        <v>19</v>
      </c>
      <c r="H627" s="2" t="s">
        <v>42</v>
      </c>
      <c r="I627" s="1" t="s">
        <v>11</v>
      </c>
      <c r="J627" s="1" t="s">
        <v>8</v>
      </c>
      <c r="K627" s="89">
        <v>22040</v>
      </c>
      <c r="L627" s="3">
        <v>12.28</v>
      </c>
      <c r="M627" s="3">
        <v>7.2</v>
      </c>
      <c r="N627" s="3" t="s">
        <v>8</v>
      </c>
      <c r="O627" s="3" t="s">
        <v>8</v>
      </c>
    </row>
    <row r="628" spans="1:15" x14ac:dyDescent="0.35">
      <c r="A628" s="5" t="str">
        <f>Loads[[#This Row],[Date]]&amp;Loads[[#This Row],[Product]]</f>
        <v>44230Product8</v>
      </c>
      <c r="B628" s="5">
        <f>COUNTIF($A$1:A628,Loads[[#This Row],[Load]])</f>
        <v>2</v>
      </c>
      <c r="C628" s="3" t="str">
        <f>Loads[[#This Row],[Load]]&amp;Loads[[#This Row],[Count]]</f>
        <v>44230Product82</v>
      </c>
      <c r="D628" s="90">
        <v>44230</v>
      </c>
      <c r="E628" s="143">
        <v>4.4444444444444446E-2</v>
      </c>
      <c r="F628" s="1" t="s">
        <v>9</v>
      </c>
      <c r="G628" s="2" t="s">
        <v>19</v>
      </c>
      <c r="H628" s="2" t="s">
        <v>42</v>
      </c>
      <c r="I628" s="1" t="s">
        <v>11</v>
      </c>
      <c r="J628" s="1" t="s">
        <v>8</v>
      </c>
      <c r="K628" s="89">
        <v>13000</v>
      </c>
      <c r="L628" s="3">
        <v>11.5</v>
      </c>
      <c r="M628" s="3">
        <v>7.2</v>
      </c>
      <c r="N628" s="3" t="s">
        <v>8</v>
      </c>
      <c r="O628" s="3" t="s">
        <v>8</v>
      </c>
    </row>
    <row r="629" spans="1:15" x14ac:dyDescent="0.35">
      <c r="A629" s="5" t="str">
        <f>Loads[[#This Row],[Date]]&amp;Loads[[#This Row],[Product]]</f>
        <v>44230Product8</v>
      </c>
      <c r="B629" s="5">
        <f>COUNTIF($A$1:A629,Loads[[#This Row],[Load]])</f>
        <v>3</v>
      </c>
      <c r="C629" s="3" t="str">
        <f>Loads[[#This Row],[Load]]&amp;Loads[[#This Row],[Count]]</f>
        <v>44230Product83</v>
      </c>
      <c r="D629" s="90">
        <v>44230</v>
      </c>
      <c r="E629" s="143">
        <v>5.5555555555555552E-2</v>
      </c>
      <c r="F629" s="1" t="s">
        <v>9</v>
      </c>
      <c r="G629" s="2" t="s">
        <v>19</v>
      </c>
      <c r="H629" s="2" t="s">
        <v>42</v>
      </c>
      <c r="I629" s="1" t="s">
        <v>11</v>
      </c>
      <c r="J629" s="1" t="s">
        <v>8</v>
      </c>
      <c r="K629" s="89">
        <v>13180</v>
      </c>
      <c r="L629" s="3">
        <v>11.88</v>
      </c>
      <c r="M629" s="3">
        <v>7.2</v>
      </c>
      <c r="N629" s="3" t="s">
        <v>8</v>
      </c>
      <c r="O629" s="3" t="s">
        <v>8</v>
      </c>
    </row>
    <row r="630" spans="1:15" x14ac:dyDescent="0.35">
      <c r="A630" s="5" t="str">
        <f>Loads[[#This Row],[Date]]&amp;Loads[[#This Row],[Product]]</f>
        <v>44231Product8</v>
      </c>
      <c r="B630" s="5">
        <f>COUNTIF($A$1:A630,Loads[[#This Row],[Load]])</f>
        <v>1</v>
      </c>
      <c r="C630" s="3" t="str">
        <f>Loads[[#This Row],[Load]]&amp;Loads[[#This Row],[Count]]</f>
        <v>44231Product81</v>
      </c>
      <c r="D630" s="90">
        <v>44231</v>
      </c>
      <c r="E630" s="143">
        <v>7.013888888888889E-2</v>
      </c>
      <c r="F630" s="1" t="s">
        <v>9</v>
      </c>
      <c r="G630" s="2" t="s">
        <v>19</v>
      </c>
      <c r="H630" s="2" t="s">
        <v>42</v>
      </c>
      <c r="I630" s="1" t="s">
        <v>11</v>
      </c>
      <c r="J630" s="1" t="s">
        <v>8</v>
      </c>
      <c r="K630" s="89">
        <v>21400</v>
      </c>
      <c r="L630" s="3">
        <v>11.3</v>
      </c>
      <c r="M630" s="3">
        <v>7.2</v>
      </c>
      <c r="N630" s="3" t="s">
        <v>8</v>
      </c>
      <c r="O630" s="3" t="s">
        <v>8</v>
      </c>
    </row>
    <row r="631" spans="1:15" x14ac:dyDescent="0.35">
      <c r="A631" s="5" t="str">
        <f>Loads[[#This Row],[Date]]&amp;Loads[[#This Row],[Product]]</f>
        <v>44232Product8</v>
      </c>
      <c r="B631" s="5">
        <f>COUNTIF($A$1:A631,Loads[[#This Row],[Load]])</f>
        <v>1</v>
      </c>
      <c r="C631" s="3" t="str">
        <f>Loads[[#This Row],[Load]]&amp;Loads[[#This Row],[Count]]</f>
        <v>44232Product81</v>
      </c>
      <c r="D631" s="90">
        <v>44232</v>
      </c>
      <c r="E631" s="143">
        <v>9.0972222222222218E-2</v>
      </c>
      <c r="F631" s="1" t="s">
        <v>9</v>
      </c>
      <c r="G631" s="2" t="s">
        <v>19</v>
      </c>
      <c r="H631" s="2" t="s">
        <v>42</v>
      </c>
      <c r="I631" s="1" t="s">
        <v>11</v>
      </c>
      <c r="J631" s="1" t="s">
        <v>8</v>
      </c>
      <c r="K631" s="89">
        <v>13380</v>
      </c>
      <c r="L631" s="3">
        <v>12.66</v>
      </c>
      <c r="M631" s="3">
        <v>7.2</v>
      </c>
      <c r="N631" s="3" t="s">
        <v>8</v>
      </c>
      <c r="O631" s="3" t="s">
        <v>8</v>
      </c>
    </row>
    <row r="632" spans="1:15" x14ac:dyDescent="0.35">
      <c r="A632" s="5" t="str">
        <f>Loads[[#This Row],[Date]]&amp;Loads[[#This Row],[Product]]</f>
        <v>44232Product8</v>
      </c>
      <c r="B632" s="5">
        <f>COUNTIF($A$1:A632,Loads[[#This Row],[Load]])</f>
        <v>2</v>
      </c>
      <c r="C632" s="3" t="str">
        <f>Loads[[#This Row],[Load]]&amp;Loads[[#This Row],[Count]]</f>
        <v>44232Product82</v>
      </c>
      <c r="D632" s="90">
        <v>44232</v>
      </c>
      <c r="E632" s="143">
        <v>9.2361111111111116E-2</v>
      </c>
      <c r="F632" s="1" t="s">
        <v>9</v>
      </c>
      <c r="G632" s="2" t="s">
        <v>19</v>
      </c>
      <c r="H632" s="2" t="s">
        <v>42</v>
      </c>
      <c r="I632" s="1" t="s">
        <v>11</v>
      </c>
      <c r="J632" s="1" t="s">
        <v>8</v>
      </c>
      <c r="K632" s="89">
        <v>13780</v>
      </c>
      <c r="L632" s="3">
        <v>11.7</v>
      </c>
      <c r="M632" s="3">
        <v>7.2</v>
      </c>
      <c r="N632" s="3" t="s">
        <v>8</v>
      </c>
      <c r="O632" s="3" t="s">
        <v>8</v>
      </c>
    </row>
    <row r="633" spans="1:15" x14ac:dyDescent="0.35">
      <c r="A633" s="5" t="str">
        <f>Loads[[#This Row],[Date]]&amp;Loads[[#This Row],[Product]]</f>
        <v>44233Product8</v>
      </c>
      <c r="B633" s="5">
        <f>COUNTIF($A$1:A633,Loads[[#This Row],[Load]])</f>
        <v>1</v>
      </c>
      <c r="C633" s="3" t="str">
        <f>Loads[[#This Row],[Load]]&amp;Loads[[#This Row],[Count]]</f>
        <v>44233Product81</v>
      </c>
      <c r="D633" s="90">
        <v>44233</v>
      </c>
      <c r="E633" s="143">
        <v>2.7777777777777776E-2</v>
      </c>
      <c r="F633" s="1" t="s">
        <v>9</v>
      </c>
      <c r="G633" s="2" t="s">
        <v>19</v>
      </c>
      <c r="H633" s="2" t="s">
        <v>42</v>
      </c>
      <c r="I633" s="1" t="s">
        <v>11</v>
      </c>
      <c r="J633" s="1" t="s">
        <v>8</v>
      </c>
      <c r="K633" s="89">
        <v>27320</v>
      </c>
      <c r="L633" s="3">
        <v>12.3</v>
      </c>
      <c r="M633" s="3">
        <v>7.2</v>
      </c>
      <c r="N633" s="3" t="s">
        <v>8</v>
      </c>
      <c r="O633" s="3" t="s">
        <v>8</v>
      </c>
    </row>
    <row r="634" spans="1:15" x14ac:dyDescent="0.35">
      <c r="A634" s="5" t="str">
        <f>Loads[[#This Row],[Date]]&amp;Loads[[#This Row],[Product]]</f>
        <v>44234Product8</v>
      </c>
      <c r="B634" s="5">
        <f>COUNTIF($A$1:A634,Loads[[#This Row],[Load]])</f>
        <v>1</v>
      </c>
      <c r="C634" s="3" t="str">
        <f>Loads[[#This Row],[Load]]&amp;Loads[[#This Row],[Count]]</f>
        <v>44234Product81</v>
      </c>
      <c r="D634" s="90">
        <v>44234</v>
      </c>
      <c r="E634" s="143">
        <v>4.7222222222222221E-2</v>
      </c>
      <c r="F634" s="1" t="s">
        <v>9</v>
      </c>
      <c r="G634" s="2" t="s">
        <v>19</v>
      </c>
      <c r="H634" s="2" t="s">
        <v>42</v>
      </c>
      <c r="I634" s="1" t="s">
        <v>11</v>
      </c>
      <c r="J634" s="1" t="s">
        <v>8</v>
      </c>
      <c r="K634" s="89">
        <v>12580</v>
      </c>
      <c r="L634" s="3">
        <v>12.35</v>
      </c>
      <c r="M634" s="3">
        <v>7.2</v>
      </c>
      <c r="N634" s="3" t="s">
        <v>8</v>
      </c>
      <c r="O634" s="3" t="s">
        <v>8</v>
      </c>
    </row>
    <row r="635" spans="1:15" x14ac:dyDescent="0.35">
      <c r="A635" s="5" t="str">
        <f>Loads[[#This Row],[Date]]&amp;Loads[[#This Row],[Product]]</f>
        <v>44235Product8</v>
      </c>
      <c r="B635" s="5">
        <f>COUNTIF($A$1:A635,Loads[[#This Row],[Load]])</f>
        <v>1</v>
      </c>
      <c r="C635" s="3" t="str">
        <f>Loads[[#This Row],[Load]]&amp;Loads[[#This Row],[Count]]</f>
        <v>44235Product81</v>
      </c>
      <c r="D635" s="90">
        <v>44235</v>
      </c>
      <c r="E635" s="143">
        <v>9.4444444444444442E-2</v>
      </c>
      <c r="F635" s="1" t="s">
        <v>9</v>
      </c>
      <c r="G635" s="2" t="s">
        <v>19</v>
      </c>
      <c r="H635" s="2" t="s">
        <v>42</v>
      </c>
      <c r="I635" s="1" t="s">
        <v>11</v>
      </c>
      <c r="J635" s="1" t="s">
        <v>8</v>
      </c>
      <c r="K635" s="89">
        <v>24980</v>
      </c>
      <c r="L635" s="3">
        <v>12.03</v>
      </c>
      <c r="M635" s="3">
        <v>7.2</v>
      </c>
      <c r="N635" s="3" t="s">
        <v>8</v>
      </c>
      <c r="O635" s="3" t="s">
        <v>8</v>
      </c>
    </row>
    <row r="636" spans="1:15" x14ac:dyDescent="0.35">
      <c r="A636" s="5" t="str">
        <f>Loads[[#This Row],[Date]]&amp;Loads[[#This Row],[Product]]</f>
        <v>44235Product8</v>
      </c>
      <c r="B636" s="5">
        <f>COUNTIF($A$1:A636,Loads[[#This Row],[Load]])</f>
        <v>2</v>
      </c>
      <c r="C636" s="3" t="str">
        <f>Loads[[#This Row],[Load]]&amp;Loads[[#This Row],[Count]]</f>
        <v>44235Product82</v>
      </c>
      <c r="D636" s="90">
        <v>44235</v>
      </c>
      <c r="E636" s="143">
        <v>0.10347222222222223</v>
      </c>
      <c r="F636" s="1" t="s">
        <v>9</v>
      </c>
      <c r="G636" s="2" t="s">
        <v>19</v>
      </c>
      <c r="H636" s="2" t="s">
        <v>42</v>
      </c>
      <c r="I636" s="1" t="s">
        <v>11</v>
      </c>
      <c r="J636" s="1" t="s">
        <v>8</v>
      </c>
      <c r="K636" s="89">
        <v>13120</v>
      </c>
      <c r="L636" s="3">
        <v>11.7</v>
      </c>
      <c r="M636" s="3">
        <v>7.2</v>
      </c>
      <c r="N636" s="3" t="s">
        <v>8</v>
      </c>
      <c r="O636" s="3" t="s">
        <v>8</v>
      </c>
    </row>
    <row r="637" spans="1:15" x14ac:dyDescent="0.35">
      <c r="A637" s="5" t="str">
        <f>Loads[[#This Row],[Date]]&amp;Loads[[#This Row],[Product]]</f>
        <v>44236Product8</v>
      </c>
      <c r="B637" s="5">
        <f>COUNTIF($A$1:A637,Loads[[#This Row],[Load]])</f>
        <v>1</v>
      </c>
      <c r="C637" s="3" t="str">
        <f>Loads[[#This Row],[Load]]&amp;Loads[[#This Row],[Count]]</f>
        <v>44236Product81</v>
      </c>
      <c r="D637" s="90">
        <v>44236</v>
      </c>
      <c r="E637" s="143">
        <v>4.027777777777778E-2</v>
      </c>
      <c r="F637" s="1" t="s">
        <v>9</v>
      </c>
      <c r="G637" s="2" t="s">
        <v>19</v>
      </c>
      <c r="H637" s="2" t="s">
        <v>42</v>
      </c>
      <c r="I637" s="1" t="s">
        <v>11</v>
      </c>
      <c r="J637" s="1" t="s">
        <v>8</v>
      </c>
      <c r="K637" s="89">
        <v>13120</v>
      </c>
      <c r="L637" s="3">
        <v>12.05</v>
      </c>
      <c r="M637" s="3">
        <v>7.2</v>
      </c>
      <c r="N637" s="3" t="s">
        <v>8</v>
      </c>
      <c r="O637" s="3" t="s">
        <v>8</v>
      </c>
    </row>
    <row r="638" spans="1:15" x14ac:dyDescent="0.35">
      <c r="A638" s="5" t="str">
        <f>Loads[[#This Row],[Date]]&amp;Loads[[#This Row],[Product]]</f>
        <v>44237Product8</v>
      </c>
      <c r="B638" s="5">
        <f>COUNTIF($A$1:A638,Loads[[#This Row],[Load]])</f>
        <v>1</v>
      </c>
      <c r="C638" s="3" t="str">
        <f>Loads[[#This Row],[Load]]&amp;Loads[[#This Row],[Count]]</f>
        <v>44237Product81</v>
      </c>
      <c r="D638" s="90">
        <v>44237</v>
      </c>
      <c r="E638" s="143">
        <v>6.3888888888888884E-2</v>
      </c>
      <c r="F638" s="1" t="s">
        <v>9</v>
      </c>
      <c r="G638" s="2" t="s">
        <v>19</v>
      </c>
      <c r="H638" s="2" t="s">
        <v>42</v>
      </c>
      <c r="I638" s="1" t="s">
        <v>11</v>
      </c>
      <c r="J638" s="1" t="s">
        <v>8</v>
      </c>
      <c r="K638" s="89">
        <v>13240</v>
      </c>
      <c r="L638" s="3">
        <v>12.06</v>
      </c>
      <c r="M638" s="3">
        <v>7.3</v>
      </c>
      <c r="N638" s="3" t="s">
        <v>8</v>
      </c>
      <c r="O638" s="3" t="s">
        <v>8</v>
      </c>
    </row>
    <row r="639" spans="1:15" x14ac:dyDescent="0.35">
      <c r="A639" s="5" t="str">
        <f>Loads[[#This Row],[Date]]&amp;Loads[[#This Row],[Product]]</f>
        <v>44237Product8</v>
      </c>
      <c r="B639" s="5">
        <f>COUNTIF($A$1:A639,Loads[[#This Row],[Load]])</f>
        <v>2</v>
      </c>
      <c r="C639" s="3" t="str">
        <f>Loads[[#This Row],[Load]]&amp;Loads[[#This Row],[Count]]</f>
        <v>44237Product82</v>
      </c>
      <c r="D639" s="90">
        <v>44237</v>
      </c>
      <c r="E639" s="143">
        <v>6.458333333333334E-2</v>
      </c>
      <c r="F639" s="1" t="s">
        <v>9</v>
      </c>
      <c r="G639" s="2" t="s">
        <v>19</v>
      </c>
      <c r="H639" s="2" t="s">
        <v>42</v>
      </c>
      <c r="I639" s="1" t="s">
        <v>11</v>
      </c>
      <c r="J639" s="1" t="s">
        <v>8</v>
      </c>
      <c r="K639" s="89">
        <v>13420</v>
      </c>
      <c r="L639" s="3">
        <v>11.61</v>
      </c>
      <c r="M639" s="3">
        <v>7.2</v>
      </c>
      <c r="N639" s="3" t="s">
        <v>8</v>
      </c>
      <c r="O639" s="3" t="s">
        <v>8</v>
      </c>
    </row>
    <row r="640" spans="1:15" x14ac:dyDescent="0.35">
      <c r="A640" s="5" t="str">
        <f>Loads[[#This Row],[Date]]&amp;Loads[[#This Row],[Product]]</f>
        <v>44238Product8</v>
      </c>
      <c r="B640" s="5">
        <f>COUNTIF($A$1:A640,Loads[[#This Row],[Load]])</f>
        <v>1</v>
      </c>
      <c r="C640" s="3" t="str">
        <f>Loads[[#This Row],[Load]]&amp;Loads[[#This Row],[Count]]</f>
        <v>44238Product81</v>
      </c>
      <c r="D640" s="90">
        <v>44238</v>
      </c>
      <c r="E640" s="143">
        <v>6.5972222222222224E-2</v>
      </c>
      <c r="F640" s="1" t="s">
        <v>9</v>
      </c>
      <c r="G640" s="2" t="s">
        <v>19</v>
      </c>
      <c r="H640" s="2" t="s">
        <v>42</v>
      </c>
      <c r="I640" s="1" t="s">
        <v>11</v>
      </c>
      <c r="J640" s="1" t="s">
        <v>8</v>
      </c>
      <c r="K640" s="89">
        <v>13440</v>
      </c>
      <c r="L640" s="3">
        <v>12.18</v>
      </c>
      <c r="M640" s="3">
        <v>7.2</v>
      </c>
      <c r="N640" s="3" t="s">
        <v>8</v>
      </c>
      <c r="O640" s="3" t="s">
        <v>8</v>
      </c>
    </row>
    <row r="641" spans="1:15" x14ac:dyDescent="0.35">
      <c r="A641" s="5" t="str">
        <f>Loads[[#This Row],[Date]]&amp;Loads[[#This Row],[Product]]</f>
        <v>44238Product8</v>
      </c>
      <c r="B641" s="5">
        <f>COUNTIF($A$1:A641,Loads[[#This Row],[Load]])</f>
        <v>2</v>
      </c>
      <c r="C641" s="3" t="str">
        <f>Loads[[#This Row],[Load]]&amp;Loads[[#This Row],[Count]]</f>
        <v>44238Product82</v>
      </c>
      <c r="D641" s="90">
        <v>44238</v>
      </c>
      <c r="E641" s="143">
        <v>6.5972222222222224E-2</v>
      </c>
      <c r="F641" s="1" t="s">
        <v>9</v>
      </c>
      <c r="G641" s="2" t="s">
        <v>19</v>
      </c>
      <c r="H641" s="2" t="s">
        <v>42</v>
      </c>
      <c r="I641" s="1" t="s">
        <v>11</v>
      </c>
      <c r="J641" s="1" t="s">
        <v>8</v>
      </c>
      <c r="K641" s="89">
        <v>13720</v>
      </c>
      <c r="L641" s="3">
        <v>11.31</v>
      </c>
      <c r="M641" s="3">
        <v>7.2</v>
      </c>
      <c r="N641" s="3" t="s">
        <v>8</v>
      </c>
      <c r="O641" s="3" t="s">
        <v>8</v>
      </c>
    </row>
    <row r="642" spans="1:15" x14ac:dyDescent="0.35">
      <c r="A642" s="5" t="str">
        <f>Loads[[#This Row],[Date]]&amp;Loads[[#This Row],[Product]]</f>
        <v>44238Product8</v>
      </c>
      <c r="B642" s="5">
        <f>COUNTIF($A$1:A642,Loads[[#This Row],[Load]])</f>
        <v>3</v>
      </c>
      <c r="C642" s="3" t="str">
        <f>Loads[[#This Row],[Load]]&amp;Loads[[#This Row],[Count]]</f>
        <v>44238Product83</v>
      </c>
      <c r="D642" s="90">
        <v>44238</v>
      </c>
      <c r="E642" s="143">
        <v>6.6666666666666666E-2</v>
      </c>
      <c r="F642" s="1" t="s">
        <v>9</v>
      </c>
      <c r="G642" s="2" t="s">
        <v>19</v>
      </c>
      <c r="H642" s="2" t="s">
        <v>42</v>
      </c>
      <c r="I642" s="1" t="s">
        <v>11</v>
      </c>
      <c r="J642" s="1" t="s">
        <v>8</v>
      </c>
      <c r="K642" s="89">
        <v>13780</v>
      </c>
      <c r="L642" s="3">
        <v>11.56</v>
      </c>
      <c r="M642" s="3">
        <v>7.2</v>
      </c>
      <c r="N642" s="3" t="s">
        <v>8</v>
      </c>
      <c r="O642" s="3" t="s">
        <v>8</v>
      </c>
    </row>
    <row r="643" spans="1:15" x14ac:dyDescent="0.35">
      <c r="A643" s="5" t="str">
        <f>Loads[[#This Row],[Date]]&amp;Loads[[#This Row],[Product]]</f>
        <v>44239Product8</v>
      </c>
      <c r="B643" s="5">
        <f>COUNTIF($A$1:A643,Loads[[#This Row],[Load]])</f>
        <v>1</v>
      </c>
      <c r="C643" s="3" t="str">
        <f>Loads[[#This Row],[Load]]&amp;Loads[[#This Row],[Count]]</f>
        <v>44239Product81</v>
      </c>
      <c r="D643" s="90">
        <v>44239</v>
      </c>
      <c r="E643" s="143">
        <v>3.2638888888888891E-2</v>
      </c>
      <c r="F643" s="1" t="s">
        <v>9</v>
      </c>
      <c r="G643" s="2" t="s">
        <v>19</v>
      </c>
      <c r="H643" s="2" t="s">
        <v>42</v>
      </c>
      <c r="I643" s="1" t="s">
        <v>11</v>
      </c>
      <c r="J643" s="1" t="s">
        <v>8</v>
      </c>
      <c r="K643" s="89">
        <v>26800</v>
      </c>
      <c r="L643" s="3">
        <v>11.76</v>
      </c>
      <c r="M643" s="3">
        <v>7.2</v>
      </c>
      <c r="N643" s="3" t="s">
        <v>8</v>
      </c>
      <c r="O643" s="3" t="s">
        <v>8</v>
      </c>
    </row>
    <row r="644" spans="1:15" x14ac:dyDescent="0.35">
      <c r="A644" s="5" t="str">
        <f>Loads[[#This Row],[Date]]&amp;Loads[[#This Row],[Product]]</f>
        <v>44240Product8</v>
      </c>
      <c r="B644" s="5">
        <f>COUNTIF($A$1:A644,Loads[[#This Row],[Load]])</f>
        <v>1</v>
      </c>
      <c r="C644" s="3" t="str">
        <f>Loads[[#This Row],[Load]]&amp;Loads[[#This Row],[Count]]</f>
        <v>44240Product81</v>
      </c>
      <c r="D644" s="90">
        <v>44240</v>
      </c>
      <c r="E644" s="143">
        <v>9.1666666666666674E-2</v>
      </c>
      <c r="F644" s="1" t="s">
        <v>9</v>
      </c>
      <c r="G644" s="2" t="s">
        <v>19</v>
      </c>
      <c r="H644" s="2" t="s">
        <v>42</v>
      </c>
      <c r="I644" s="1" t="s">
        <v>11</v>
      </c>
      <c r="J644" s="1" t="s">
        <v>8</v>
      </c>
      <c r="K644" s="89">
        <v>19300</v>
      </c>
      <c r="L644" s="3">
        <v>12.17</v>
      </c>
      <c r="M644" s="3">
        <v>7.2</v>
      </c>
      <c r="N644" s="3" t="s">
        <v>8</v>
      </c>
      <c r="O644" s="3" t="s">
        <v>8</v>
      </c>
    </row>
    <row r="645" spans="1:15" x14ac:dyDescent="0.35">
      <c r="A645" s="5" t="str">
        <f>Loads[[#This Row],[Date]]&amp;Loads[[#This Row],[Product]]</f>
        <v>44241Product8</v>
      </c>
      <c r="B645" s="5">
        <f>COUNTIF($A$1:A645,Loads[[#This Row],[Load]])</f>
        <v>1</v>
      </c>
      <c r="C645" s="3" t="str">
        <f>Loads[[#This Row],[Load]]&amp;Loads[[#This Row],[Count]]</f>
        <v>44241Product81</v>
      </c>
      <c r="D645" s="90">
        <v>44241</v>
      </c>
      <c r="E645" s="143">
        <v>3.7499999999999999E-2</v>
      </c>
      <c r="F645" s="1" t="s">
        <v>9</v>
      </c>
      <c r="G645" s="2" t="s">
        <v>19</v>
      </c>
      <c r="H645" s="2" t="s">
        <v>42</v>
      </c>
      <c r="I645" s="1" t="s">
        <v>11</v>
      </c>
      <c r="J645" s="1" t="s">
        <v>8</v>
      </c>
      <c r="K645" s="89">
        <v>12180</v>
      </c>
      <c r="L645" s="3">
        <v>12.38</v>
      </c>
      <c r="M645" s="3">
        <v>7.2</v>
      </c>
      <c r="N645" s="3" t="s">
        <v>8</v>
      </c>
      <c r="O645" s="3" t="s">
        <v>8</v>
      </c>
    </row>
    <row r="646" spans="1:15" x14ac:dyDescent="0.35">
      <c r="A646" s="5" t="str">
        <f>Loads[[#This Row],[Date]]&amp;Loads[[#This Row],[Product]]</f>
        <v>44197Product6</v>
      </c>
      <c r="B646" s="5">
        <f>COUNTIF($A$1:A646,Loads[[#This Row],[Load]])</f>
        <v>1</v>
      </c>
      <c r="C646" s="3" t="str">
        <f>Loads[[#This Row],[Load]]&amp;Loads[[#This Row],[Count]]</f>
        <v>44197Product61</v>
      </c>
      <c r="D646" s="90">
        <v>44197</v>
      </c>
      <c r="E646" s="143">
        <v>7.8472222222222221E-2</v>
      </c>
      <c r="F646" s="1" t="s">
        <v>9</v>
      </c>
      <c r="G646" s="2" t="s">
        <v>17</v>
      </c>
      <c r="H646" s="2" t="s">
        <v>42</v>
      </c>
      <c r="I646" s="1" t="s">
        <v>11</v>
      </c>
      <c r="J646" s="1" t="s">
        <v>8</v>
      </c>
      <c r="K646" s="89">
        <v>35820</v>
      </c>
      <c r="L646" s="3">
        <v>0.1</v>
      </c>
      <c r="M646" s="3" t="s">
        <v>8</v>
      </c>
      <c r="N646" s="3">
        <v>1.24</v>
      </c>
      <c r="O646" s="3" t="s">
        <v>8</v>
      </c>
    </row>
    <row r="647" spans="1:15" x14ac:dyDescent="0.35">
      <c r="A647" s="5" t="str">
        <f>Loads[[#This Row],[Date]]&amp;Loads[[#This Row],[Product]]</f>
        <v>44197Product6</v>
      </c>
      <c r="B647" s="5">
        <f>COUNTIF($A$1:A647,Loads[[#This Row],[Load]])</f>
        <v>2</v>
      </c>
      <c r="C647" s="3" t="str">
        <f>Loads[[#This Row],[Load]]&amp;Loads[[#This Row],[Count]]</f>
        <v>44197Product62</v>
      </c>
      <c r="D647" s="90">
        <v>44197</v>
      </c>
      <c r="E647" s="143">
        <v>7.9166666666666663E-2</v>
      </c>
      <c r="F647" s="1" t="s">
        <v>9</v>
      </c>
      <c r="G647" s="2" t="s">
        <v>17</v>
      </c>
      <c r="H647" s="2" t="s">
        <v>42</v>
      </c>
      <c r="I647" s="1" t="s">
        <v>11</v>
      </c>
      <c r="J647" s="1" t="s">
        <v>8</v>
      </c>
      <c r="K647" s="89">
        <v>35440</v>
      </c>
      <c r="L647" s="3">
        <v>0.1</v>
      </c>
      <c r="M647" s="3" t="s">
        <v>8</v>
      </c>
      <c r="N647" s="3">
        <v>1.24</v>
      </c>
      <c r="O647" s="3" t="s">
        <v>8</v>
      </c>
    </row>
    <row r="648" spans="1:15" x14ac:dyDescent="0.35">
      <c r="A648" s="5" t="str">
        <f>Loads[[#This Row],[Date]]&amp;Loads[[#This Row],[Product]]</f>
        <v>44199Product6</v>
      </c>
      <c r="B648" s="5">
        <f>COUNTIF($A$1:A648,Loads[[#This Row],[Load]])</f>
        <v>1</v>
      </c>
      <c r="C648" s="3" t="str">
        <f>Loads[[#This Row],[Load]]&amp;Loads[[#This Row],[Count]]</f>
        <v>44199Product61</v>
      </c>
      <c r="D648" s="90">
        <v>44199</v>
      </c>
      <c r="E648" s="143">
        <v>9.3055555555555558E-2</v>
      </c>
      <c r="F648" s="1" t="s">
        <v>9</v>
      </c>
      <c r="G648" s="2" t="s">
        <v>17</v>
      </c>
      <c r="H648" s="2" t="s">
        <v>42</v>
      </c>
      <c r="I648" s="1" t="s">
        <v>11</v>
      </c>
      <c r="J648" s="1" t="s">
        <v>8</v>
      </c>
      <c r="K648" s="89">
        <v>28720</v>
      </c>
      <c r="L648" s="3">
        <v>0.1</v>
      </c>
      <c r="M648" s="3" t="s">
        <v>8</v>
      </c>
      <c r="N648" s="3">
        <v>1.25</v>
      </c>
      <c r="O648" s="3" t="s">
        <v>8</v>
      </c>
    </row>
    <row r="649" spans="1:15" x14ac:dyDescent="0.35">
      <c r="A649" s="5" t="str">
        <f>Loads[[#This Row],[Date]]&amp;Loads[[#This Row],[Product]]</f>
        <v>44199Product6</v>
      </c>
      <c r="B649" s="5">
        <f>COUNTIF($A$1:A649,Loads[[#This Row],[Load]])</f>
        <v>2</v>
      </c>
      <c r="C649" s="3" t="str">
        <f>Loads[[#This Row],[Load]]&amp;Loads[[#This Row],[Count]]</f>
        <v>44199Product62</v>
      </c>
      <c r="D649" s="90">
        <v>44199</v>
      </c>
      <c r="E649" s="143">
        <v>9.375E-2</v>
      </c>
      <c r="F649" s="1" t="s">
        <v>9</v>
      </c>
      <c r="G649" s="2" t="s">
        <v>17</v>
      </c>
      <c r="H649" s="2" t="s">
        <v>42</v>
      </c>
      <c r="I649" s="1" t="s">
        <v>11</v>
      </c>
      <c r="J649" s="1" t="s">
        <v>8</v>
      </c>
      <c r="K649" s="89">
        <v>34020</v>
      </c>
      <c r="L649" s="3">
        <v>0.1</v>
      </c>
      <c r="M649" s="3" t="s">
        <v>8</v>
      </c>
      <c r="N649" s="3">
        <v>1.25</v>
      </c>
      <c r="O649" s="3" t="s">
        <v>8</v>
      </c>
    </row>
    <row r="650" spans="1:15" x14ac:dyDescent="0.35">
      <c r="A650" s="5" t="str">
        <f>Loads[[#This Row],[Date]]&amp;Loads[[#This Row],[Product]]</f>
        <v>44201Product6</v>
      </c>
      <c r="B650" s="5">
        <f>COUNTIF($A$1:A650,Loads[[#This Row],[Load]])</f>
        <v>1</v>
      </c>
      <c r="C650" s="3" t="str">
        <f>Loads[[#This Row],[Load]]&amp;Loads[[#This Row],[Count]]</f>
        <v>44201Product61</v>
      </c>
      <c r="D650" s="90">
        <v>44201</v>
      </c>
      <c r="E650" s="143">
        <v>0.56111111111111112</v>
      </c>
      <c r="F650" s="1" t="s">
        <v>9</v>
      </c>
      <c r="G650" s="2" t="s">
        <v>17</v>
      </c>
      <c r="H650" s="2" t="s">
        <v>42</v>
      </c>
      <c r="I650" s="1" t="s">
        <v>11</v>
      </c>
      <c r="J650" s="1" t="s">
        <v>8</v>
      </c>
      <c r="K650" s="89">
        <v>31600</v>
      </c>
      <c r="L650" s="3">
        <v>0.09</v>
      </c>
      <c r="M650" s="3" t="s">
        <v>8</v>
      </c>
      <c r="N650" s="3">
        <v>1.74</v>
      </c>
      <c r="O650" s="3" t="s">
        <v>8</v>
      </c>
    </row>
    <row r="651" spans="1:15" x14ac:dyDescent="0.35">
      <c r="A651" s="5" t="str">
        <f>Loads[[#This Row],[Date]]&amp;Loads[[#This Row],[Product]]</f>
        <v>44202Product6</v>
      </c>
      <c r="B651" s="5">
        <f>COUNTIF($A$1:A651,Loads[[#This Row],[Load]])</f>
        <v>1</v>
      </c>
      <c r="C651" s="3" t="str">
        <f>Loads[[#This Row],[Load]]&amp;Loads[[#This Row],[Count]]</f>
        <v>44202Product61</v>
      </c>
      <c r="D651" s="90">
        <v>44202</v>
      </c>
      <c r="E651" s="143">
        <v>6.9444444444444434E-2</v>
      </c>
      <c r="F651" s="1" t="s">
        <v>9</v>
      </c>
      <c r="G651" s="2" t="s">
        <v>17</v>
      </c>
      <c r="H651" s="2" t="s">
        <v>42</v>
      </c>
      <c r="I651" s="1" t="s">
        <v>11</v>
      </c>
      <c r="J651" s="1" t="s">
        <v>8</v>
      </c>
      <c r="K651" s="89">
        <v>29680</v>
      </c>
      <c r="L651" s="3">
        <v>0.09</v>
      </c>
      <c r="M651" s="3" t="s">
        <v>8</v>
      </c>
      <c r="N651" s="3">
        <v>1.74</v>
      </c>
      <c r="O651" s="3" t="s">
        <v>8</v>
      </c>
    </row>
    <row r="652" spans="1:15" x14ac:dyDescent="0.35">
      <c r="A652" s="5" t="str">
        <f>Loads[[#This Row],[Date]]&amp;Loads[[#This Row],[Product]]</f>
        <v>44202Product6</v>
      </c>
      <c r="B652" s="5">
        <f>COUNTIF($A$1:A652,Loads[[#This Row],[Load]])</f>
        <v>2</v>
      </c>
      <c r="C652" s="3" t="str">
        <f>Loads[[#This Row],[Load]]&amp;Loads[[#This Row],[Count]]</f>
        <v>44202Product62</v>
      </c>
      <c r="D652" s="90">
        <v>44202</v>
      </c>
      <c r="E652" s="143">
        <v>0.15972222222222224</v>
      </c>
      <c r="F652" s="1" t="s">
        <v>9</v>
      </c>
      <c r="G652" s="2" t="s">
        <v>17</v>
      </c>
      <c r="H652" s="2" t="s">
        <v>42</v>
      </c>
      <c r="I652" s="1" t="s">
        <v>11</v>
      </c>
      <c r="J652" s="1" t="s">
        <v>8</v>
      </c>
      <c r="K652" s="89">
        <v>35880</v>
      </c>
      <c r="L652" s="3">
        <v>0.1</v>
      </c>
      <c r="M652" s="3" t="s">
        <v>8</v>
      </c>
      <c r="N652" s="3">
        <v>1.57</v>
      </c>
      <c r="O652" s="3" t="s">
        <v>8</v>
      </c>
    </row>
    <row r="653" spans="1:15" x14ac:dyDescent="0.35">
      <c r="A653" s="5" t="str">
        <f>Loads[[#This Row],[Date]]&amp;Loads[[#This Row],[Product]]</f>
        <v>44203Product6</v>
      </c>
      <c r="B653" s="5">
        <f>COUNTIF($A$1:A653,Loads[[#This Row],[Load]])</f>
        <v>1</v>
      </c>
      <c r="C653" s="3" t="str">
        <f>Loads[[#This Row],[Load]]&amp;Loads[[#This Row],[Count]]</f>
        <v>44203Product61</v>
      </c>
      <c r="D653" s="90">
        <v>44203</v>
      </c>
      <c r="E653" s="143">
        <v>0.125</v>
      </c>
      <c r="F653" s="1" t="s">
        <v>9</v>
      </c>
      <c r="G653" s="2" t="s">
        <v>17</v>
      </c>
      <c r="H653" s="2" t="s">
        <v>42</v>
      </c>
      <c r="I653" s="1" t="s">
        <v>11</v>
      </c>
      <c r="J653" s="1" t="s">
        <v>8</v>
      </c>
      <c r="K653" s="89">
        <v>31460</v>
      </c>
      <c r="L653" s="3">
        <v>0.1</v>
      </c>
      <c r="M653" s="3" t="s">
        <v>8</v>
      </c>
      <c r="N653" s="3">
        <v>1.57</v>
      </c>
      <c r="O653" s="3" t="s">
        <v>8</v>
      </c>
    </row>
    <row r="654" spans="1:15" x14ac:dyDescent="0.35">
      <c r="A654" s="5" t="str">
        <f>Loads[[#This Row],[Date]]&amp;Loads[[#This Row],[Product]]</f>
        <v>44203Product6</v>
      </c>
      <c r="B654" s="5">
        <f>COUNTIF($A$1:A654,Loads[[#This Row],[Load]])</f>
        <v>2</v>
      </c>
      <c r="C654" s="3" t="str">
        <f>Loads[[#This Row],[Load]]&amp;Loads[[#This Row],[Count]]</f>
        <v>44203Product62</v>
      </c>
      <c r="D654" s="90">
        <v>44203</v>
      </c>
      <c r="E654" s="143">
        <v>0.81666666666666676</v>
      </c>
      <c r="F654" s="1" t="s">
        <v>9</v>
      </c>
      <c r="G654" s="2" t="s">
        <v>17</v>
      </c>
      <c r="H654" s="2" t="s">
        <v>42</v>
      </c>
      <c r="I654" s="1" t="s">
        <v>11</v>
      </c>
      <c r="J654" s="1" t="s">
        <v>8</v>
      </c>
      <c r="K654" s="89">
        <v>35560</v>
      </c>
      <c r="L654" s="3">
        <v>0.08</v>
      </c>
      <c r="M654" s="3" t="s">
        <v>8</v>
      </c>
      <c r="N654" s="3">
        <v>1.49</v>
      </c>
      <c r="O654" s="3" t="s">
        <v>8</v>
      </c>
    </row>
    <row r="655" spans="1:15" x14ac:dyDescent="0.35">
      <c r="A655" s="5" t="str">
        <f>Loads[[#This Row],[Date]]&amp;Loads[[#This Row],[Product]]</f>
        <v>44204Product6</v>
      </c>
      <c r="B655" s="5">
        <f>COUNTIF($A$1:A655,Loads[[#This Row],[Load]])</f>
        <v>1</v>
      </c>
      <c r="C655" s="3" t="str">
        <f>Loads[[#This Row],[Load]]&amp;Loads[[#This Row],[Count]]</f>
        <v>44204Product61</v>
      </c>
      <c r="D655" s="90">
        <v>44204</v>
      </c>
      <c r="E655" s="143">
        <v>8.3333333333333329E-2</v>
      </c>
      <c r="F655" s="1" t="s">
        <v>9</v>
      </c>
      <c r="G655" s="2" t="s">
        <v>17</v>
      </c>
      <c r="H655" s="2" t="s">
        <v>42</v>
      </c>
      <c r="I655" s="1" t="s">
        <v>11</v>
      </c>
      <c r="J655" s="1" t="s">
        <v>8</v>
      </c>
      <c r="K655" s="89">
        <v>33980</v>
      </c>
      <c r="L655" s="3">
        <v>0.08</v>
      </c>
      <c r="M655" s="3" t="s">
        <v>8</v>
      </c>
      <c r="N655" s="3">
        <v>1.49</v>
      </c>
      <c r="O655" s="3" t="s">
        <v>8</v>
      </c>
    </row>
    <row r="656" spans="1:15" x14ac:dyDescent="0.35">
      <c r="A656" s="5" t="str">
        <f>Loads[[#This Row],[Date]]&amp;Loads[[#This Row],[Product]]</f>
        <v>44204Product6</v>
      </c>
      <c r="B656" s="5">
        <f>COUNTIF($A$1:A656,Loads[[#This Row],[Load]])</f>
        <v>2</v>
      </c>
      <c r="C656" s="3" t="str">
        <f>Loads[[#This Row],[Load]]&amp;Loads[[#This Row],[Count]]</f>
        <v>44204Product62</v>
      </c>
      <c r="D656" s="90">
        <v>44204</v>
      </c>
      <c r="E656" s="143">
        <v>0.84305555555555556</v>
      </c>
      <c r="F656" s="1" t="s">
        <v>9</v>
      </c>
      <c r="G656" s="2" t="s">
        <v>17</v>
      </c>
      <c r="H656" s="2" t="s">
        <v>42</v>
      </c>
      <c r="I656" s="1" t="s">
        <v>11</v>
      </c>
      <c r="J656" s="1" t="s">
        <v>8</v>
      </c>
      <c r="K656" s="89">
        <v>34400</v>
      </c>
      <c r="L656" s="3">
        <v>0.08</v>
      </c>
      <c r="M656" s="3" t="s">
        <v>8</v>
      </c>
      <c r="N656" s="3">
        <v>1.49</v>
      </c>
      <c r="O656" s="3" t="s">
        <v>8</v>
      </c>
    </row>
    <row r="657" spans="1:15" x14ac:dyDescent="0.35">
      <c r="A657" s="5" t="str">
        <f>Loads[[#This Row],[Date]]&amp;Loads[[#This Row],[Product]]</f>
        <v>44205Product6</v>
      </c>
      <c r="B657" s="5">
        <f>COUNTIF($A$1:A657,Loads[[#This Row],[Load]])</f>
        <v>1</v>
      </c>
      <c r="C657" s="3" t="str">
        <f>Loads[[#This Row],[Load]]&amp;Loads[[#This Row],[Count]]</f>
        <v>44205Product61</v>
      </c>
      <c r="D657" s="90">
        <v>44205</v>
      </c>
      <c r="E657" s="143">
        <v>0.93819444444444444</v>
      </c>
      <c r="F657" s="1" t="s">
        <v>9</v>
      </c>
      <c r="G657" s="2" t="s">
        <v>17</v>
      </c>
      <c r="H657" s="2" t="s">
        <v>42</v>
      </c>
      <c r="I657" s="1" t="s">
        <v>11</v>
      </c>
      <c r="J657" s="1" t="s">
        <v>8</v>
      </c>
      <c r="K657" s="89">
        <v>31580</v>
      </c>
      <c r="L657" s="3">
        <v>0.06</v>
      </c>
      <c r="M657" s="3" t="s">
        <v>8</v>
      </c>
      <c r="N657" s="3">
        <v>1.97</v>
      </c>
      <c r="O657" s="3" t="s">
        <v>8</v>
      </c>
    </row>
    <row r="658" spans="1:15" x14ac:dyDescent="0.35">
      <c r="A658" s="5" t="str">
        <f>Loads[[#This Row],[Date]]&amp;Loads[[#This Row],[Product]]</f>
        <v>44206Product6</v>
      </c>
      <c r="B658" s="5">
        <f>COUNTIF($A$1:A658,Loads[[#This Row],[Load]])</f>
        <v>1</v>
      </c>
      <c r="C658" s="3" t="str">
        <f>Loads[[#This Row],[Load]]&amp;Loads[[#This Row],[Count]]</f>
        <v>44206Product61</v>
      </c>
      <c r="D658" s="90">
        <v>44206</v>
      </c>
      <c r="E658" s="143">
        <v>0.30138888888888887</v>
      </c>
      <c r="F658" s="1" t="s">
        <v>9</v>
      </c>
      <c r="G658" s="2" t="s">
        <v>17</v>
      </c>
      <c r="H658" s="2" t="s">
        <v>42</v>
      </c>
      <c r="I658" s="1" t="s">
        <v>11</v>
      </c>
      <c r="J658" s="1" t="s">
        <v>8</v>
      </c>
      <c r="K658" s="89">
        <v>32560</v>
      </c>
      <c r="L658" s="3">
        <v>0.08</v>
      </c>
      <c r="M658" s="3" t="s">
        <v>8</v>
      </c>
      <c r="N658" s="3">
        <v>1.49</v>
      </c>
      <c r="O658" s="3" t="s">
        <v>8</v>
      </c>
    </row>
    <row r="659" spans="1:15" x14ac:dyDescent="0.35">
      <c r="A659" s="5" t="str">
        <f>Loads[[#This Row],[Date]]&amp;Loads[[#This Row],[Product]]</f>
        <v>44208Product6</v>
      </c>
      <c r="B659" s="5">
        <f>COUNTIF($A$1:A659,Loads[[#This Row],[Load]])</f>
        <v>1</v>
      </c>
      <c r="C659" s="3" t="str">
        <f>Loads[[#This Row],[Load]]&amp;Loads[[#This Row],[Count]]</f>
        <v>44208Product61</v>
      </c>
      <c r="D659" s="90">
        <v>44208</v>
      </c>
      <c r="E659" s="143">
        <v>0.92986111111111114</v>
      </c>
      <c r="F659" s="1" t="s">
        <v>9</v>
      </c>
      <c r="G659" s="2" t="s">
        <v>17</v>
      </c>
      <c r="H659" s="2" t="s">
        <v>42</v>
      </c>
      <c r="I659" s="1" t="s">
        <v>11</v>
      </c>
      <c r="J659" s="1" t="s">
        <v>8</v>
      </c>
      <c r="K659" s="89">
        <v>32820</v>
      </c>
      <c r="L659" s="3">
        <v>0.08</v>
      </c>
      <c r="M659" s="3" t="s">
        <v>8</v>
      </c>
      <c r="N659" s="3">
        <v>2.1</v>
      </c>
      <c r="O659" s="3" t="s">
        <v>8</v>
      </c>
    </row>
    <row r="660" spans="1:15" x14ac:dyDescent="0.35">
      <c r="A660" s="5" t="str">
        <f>Loads[[#This Row],[Date]]&amp;Loads[[#This Row],[Product]]</f>
        <v>44209Product6</v>
      </c>
      <c r="B660" s="5">
        <f>COUNTIF($A$1:A660,Loads[[#This Row],[Load]])</f>
        <v>1</v>
      </c>
      <c r="C660" s="3" t="str">
        <f>Loads[[#This Row],[Load]]&amp;Loads[[#This Row],[Count]]</f>
        <v>44209Product61</v>
      </c>
      <c r="D660" s="90">
        <v>44209</v>
      </c>
      <c r="E660" s="143">
        <v>0.41666666666666669</v>
      </c>
      <c r="F660" s="1" t="s">
        <v>9</v>
      </c>
      <c r="G660" s="2" t="s">
        <v>17</v>
      </c>
      <c r="H660" s="2" t="s">
        <v>42</v>
      </c>
      <c r="I660" s="1" t="s">
        <v>11</v>
      </c>
      <c r="J660" s="1" t="s">
        <v>8</v>
      </c>
      <c r="K660" s="89">
        <v>29380</v>
      </c>
      <c r="L660" s="3">
        <v>7.0000000000000007E-2</v>
      </c>
      <c r="M660" s="3" t="s">
        <v>8</v>
      </c>
      <c r="N660" s="3">
        <v>1.9</v>
      </c>
      <c r="O660" s="3" t="s">
        <v>8</v>
      </c>
    </row>
    <row r="661" spans="1:15" x14ac:dyDescent="0.35">
      <c r="A661" s="5" t="str">
        <f>Loads[[#This Row],[Date]]&amp;Loads[[#This Row],[Product]]</f>
        <v>44210Product6</v>
      </c>
      <c r="B661" s="5">
        <f>COUNTIF($A$1:A661,Loads[[#This Row],[Load]])</f>
        <v>1</v>
      </c>
      <c r="C661" s="3" t="str">
        <f>Loads[[#This Row],[Load]]&amp;Loads[[#This Row],[Count]]</f>
        <v>44210Product61</v>
      </c>
      <c r="D661" s="90">
        <v>44210</v>
      </c>
      <c r="E661" s="143">
        <v>0.79375000000000007</v>
      </c>
      <c r="F661" s="1" t="s">
        <v>9</v>
      </c>
      <c r="G661" s="2" t="s">
        <v>17</v>
      </c>
      <c r="H661" s="2" t="s">
        <v>42</v>
      </c>
      <c r="I661" s="1" t="s">
        <v>11</v>
      </c>
      <c r="J661" s="1" t="s">
        <v>8</v>
      </c>
      <c r="K661" s="89">
        <v>31360</v>
      </c>
      <c r="L661" s="3">
        <v>1.8</v>
      </c>
      <c r="M661" s="3" t="s">
        <v>8</v>
      </c>
      <c r="N661" s="3">
        <v>7.0000000000000007E-2</v>
      </c>
      <c r="O661" s="3" t="s">
        <v>8</v>
      </c>
    </row>
    <row r="662" spans="1:15" x14ac:dyDescent="0.35">
      <c r="A662" s="5" t="str">
        <f>Loads[[#This Row],[Date]]&amp;Loads[[#This Row],[Product]]</f>
        <v>44211Product6</v>
      </c>
      <c r="B662" s="5">
        <f>COUNTIF($A$1:A662,Loads[[#This Row],[Load]])</f>
        <v>1</v>
      </c>
      <c r="C662" s="3" t="str">
        <f>Loads[[#This Row],[Load]]&amp;Loads[[#This Row],[Count]]</f>
        <v>44211Product61</v>
      </c>
      <c r="D662" s="90">
        <v>44211</v>
      </c>
      <c r="E662" s="143">
        <v>0.52777777777777779</v>
      </c>
      <c r="F662" s="1" t="s">
        <v>9</v>
      </c>
      <c r="G662" s="2" t="s">
        <v>17</v>
      </c>
      <c r="H662" s="2" t="s">
        <v>42</v>
      </c>
      <c r="I662" s="1" t="s">
        <v>11</v>
      </c>
      <c r="J662" s="1" t="s">
        <v>8</v>
      </c>
      <c r="K662" s="89">
        <v>29000</v>
      </c>
      <c r="L662" s="3">
        <v>7.0000000000000007E-2</v>
      </c>
      <c r="M662" s="3" t="s">
        <v>8</v>
      </c>
      <c r="N662" s="3">
        <v>1.8</v>
      </c>
      <c r="O662" s="3" t="s">
        <v>8</v>
      </c>
    </row>
    <row r="663" spans="1:15" x14ac:dyDescent="0.35">
      <c r="A663" s="5" t="str">
        <f>Loads[[#This Row],[Date]]&amp;Loads[[#This Row],[Product]]</f>
        <v>44212Product6</v>
      </c>
      <c r="B663" s="5">
        <f>COUNTIF($A$1:A663,Loads[[#This Row],[Load]])</f>
        <v>1</v>
      </c>
      <c r="C663" s="3" t="str">
        <f>Loads[[#This Row],[Load]]&amp;Loads[[#This Row],[Count]]</f>
        <v>44212Product61</v>
      </c>
      <c r="D663" s="90">
        <v>44212</v>
      </c>
      <c r="E663" s="143">
        <v>0.97291666666666676</v>
      </c>
      <c r="F663" s="1" t="s">
        <v>9</v>
      </c>
      <c r="G663" s="2" t="s">
        <v>17</v>
      </c>
      <c r="H663" s="2" t="s">
        <v>42</v>
      </c>
      <c r="I663" s="1" t="s">
        <v>11</v>
      </c>
      <c r="J663" s="1" t="s">
        <v>8</v>
      </c>
      <c r="K663" s="89">
        <v>33800</v>
      </c>
      <c r="L663" s="3">
        <v>1.64</v>
      </c>
      <c r="M663" s="3" t="s">
        <v>8</v>
      </c>
      <c r="N663" s="3">
        <v>0.08</v>
      </c>
      <c r="O663" s="3" t="s">
        <v>8</v>
      </c>
    </row>
    <row r="664" spans="1:15" x14ac:dyDescent="0.35">
      <c r="A664" s="5" t="str">
        <f>Loads[[#This Row],[Date]]&amp;Loads[[#This Row],[Product]]</f>
        <v>44213Product6</v>
      </c>
      <c r="B664" s="5">
        <f>COUNTIF($A$1:A664,Loads[[#This Row],[Load]])</f>
        <v>1</v>
      </c>
      <c r="C664" s="3" t="str">
        <f>Loads[[#This Row],[Load]]&amp;Loads[[#This Row],[Count]]</f>
        <v>44213Product61</v>
      </c>
      <c r="D664" s="90">
        <v>44213</v>
      </c>
      <c r="E664" s="143">
        <v>0.44444444444444442</v>
      </c>
      <c r="F664" s="1" t="s">
        <v>9</v>
      </c>
      <c r="G664" s="2" t="s">
        <v>17</v>
      </c>
      <c r="H664" s="2" t="s">
        <v>42</v>
      </c>
      <c r="I664" s="1" t="s">
        <v>11</v>
      </c>
      <c r="J664" s="1" t="s">
        <v>8</v>
      </c>
      <c r="K664" s="89">
        <v>32340</v>
      </c>
      <c r="L664" s="3">
        <v>0.08</v>
      </c>
      <c r="M664" s="3" t="s">
        <v>8</v>
      </c>
      <c r="N664" s="3">
        <v>1.86</v>
      </c>
      <c r="O664" s="3" t="s">
        <v>8</v>
      </c>
    </row>
    <row r="665" spans="1:15" x14ac:dyDescent="0.35">
      <c r="A665" s="5" t="str">
        <f>Loads[[#This Row],[Date]]&amp;Loads[[#This Row],[Product]]</f>
        <v>44213Product6</v>
      </c>
      <c r="B665" s="5">
        <f>COUNTIF($A$1:A665,Loads[[#This Row],[Load]])</f>
        <v>2</v>
      </c>
      <c r="C665" s="3" t="str">
        <f>Loads[[#This Row],[Load]]&amp;Loads[[#This Row],[Count]]</f>
        <v>44213Product62</v>
      </c>
      <c r="D665" s="90">
        <v>44213</v>
      </c>
      <c r="E665" s="143">
        <v>9.7222222222222224E-3</v>
      </c>
      <c r="F665" s="1" t="s">
        <v>9</v>
      </c>
      <c r="G665" s="2" t="s">
        <v>17</v>
      </c>
      <c r="H665" s="2" t="s">
        <v>42</v>
      </c>
      <c r="I665" s="1" t="s">
        <v>11</v>
      </c>
      <c r="J665" s="1" t="s">
        <v>8</v>
      </c>
      <c r="K665" s="89">
        <v>31460</v>
      </c>
      <c r="L665" s="3">
        <v>7.0000000000000007E-2</v>
      </c>
      <c r="M665" s="3" t="s">
        <v>8</v>
      </c>
      <c r="N665" s="3">
        <v>1.78</v>
      </c>
      <c r="O665" s="3" t="s">
        <v>8</v>
      </c>
    </row>
    <row r="666" spans="1:15" x14ac:dyDescent="0.35">
      <c r="A666" s="5" t="str">
        <f>Loads[[#This Row],[Date]]&amp;Loads[[#This Row],[Product]]</f>
        <v>44215Product6</v>
      </c>
      <c r="B666" s="5">
        <f>COUNTIF($A$1:A666,Loads[[#This Row],[Load]])</f>
        <v>1</v>
      </c>
      <c r="C666" s="3" t="str">
        <f>Loads[[#This Row],[Load]]&amp;Loads[[#This Row],[Count]]</f>
        <v>44215Product61</v>
      </c>
      <c r="D666" s="90">
        <v>44215</v>
      </c>
      <c r="E666" s="143">
        <v>0.68055555555555547</v>
      </c>
      <c r="F666" s="1" t="s">
        <v>9</v>
      </c>
      <c r="G666" s="2" t="s">
        <v>17</v>
      </c>
      <c r="H666" s="2" t="s">
        <v>42</v>
      </c>
      <c r="I666" s="1" t="s">
        <v>11</v>
      </c>
      <c r="J666" s="1" t="s">
        <v>8</v>
      </c>
      <c r="K666" s="89">
        <v>31080</v>
      </c>
      <c r="L666" s="3">
        <v>0.09</v>
      </c>
      <c r="M666" s="3" t="s">
        <v>8</v>
      </c>
      <c r="N666" s="3">
        <v>1.82</v>
      </c>
      <c r="O666" s="3" t="s">
        <v>8</v>
      </c>
    </row>
    <row r="667" spans="1:15" x14ac:dyDescent="0.35">
      <c r="A667" s="5" t="str">
        <f>Loads[[#This Row],[Date]]&amp;Loads[[#This Row],[Product]]</f>
        <v>44215Product6</v>
      </c>
      <c r="B667" s="5">
        <f>COUNTIF($A$1:A667,Loads[[#This Row],[Load]])</f>
        <v>2</v>
      </c>
      <c r="C667" s="3" t="str">
        <f>Loads[[#This Row],[Load]]&amp;Loads[[#This Row],[Count]]</f>
        <v>44215Product62</v>
      </c>
      <c r="D667" s="90">
        <v>44215</v>
      </c>
      <c r="E667" s="143">
        <v>0.83333333333333337</v>
      </c>
      <c r="F667" s="1" t="s">
        <v>9</v>
      </c>
      <c r="G667" s="2" t="s">
        <v>17</v>
      </c>
      <c r="H667" s="2" t="s">
        <v>42</v>
      </c>
      <c r="I667" s="1" t="s">
        <v>11</v>
      </c>
      <c r="J667" s="1" t="s">
        <v>8</v>
      </c>
      <c r="K667" s="89">
        <v>36020</v>
      </c>
      <c r="L667" s="3">
        <v>0.09</v>
      </c>
      <c r="M667" s="3" t="s">
        <v>8</v>
      </c>
      <c r="N667" s="3">
        <v>1.82</v>
      </c>
      <c r="O667" s="3" t="s">
        <v>8</v>
      </c>
    </row>
    <row r="668" spans="1:15" x14ac:dyDescent="0.35">
      <c r="A668" s="5" t="str">
        <f>Loads[[#This Row],[Date]]&amp;Loads[[#This Row],[Product]]</f>
        <v>44217Product6</v>
      </c>
      <c r="B668" s="5">
        <f>COUNTIF($A$1:A668,Loads[[#This Row],[Load]])</f>
        <v>1</v>
      </c>
      <c r="C668" s="3" t="str">
        <f>Loads[[#This Row],[Load]]&amp;Loads[[#This Row],[Count]]</f>
        <v>44217Product61</v>
      </c>
      <c r="D668" s="90">
        <v>44217</v>
      </c>
      <c r="E668" s="143">
        <v>0.60486111111111118</v>
      </c>
      <c r="F668" s="1" t="s">
        <v>9</v>
      </c>
      <c r="G668" s="2" t="s">
        <v>17</v>
      </c>
      <c r="H668" s="2" t="s">
        <v>42</v>
      </c>
      <c r="I668" s="1" t="s">
        <v>11</v>
      </c>
      <c r="J668" s="1" t="s">
        <v>8</v>
      </c>
      <c r="K668" s="89">
        <v>35380</v>
      </c>
      <c r="L668" s="3">
        <v>0.08</v>
      </c>
      <c r="M668" s="3" t="s">
        <v>8</v>
      </c>
      <c r="N668" s="3">
        <v>1.83</v>
      </c>
      <c r="O668" s="3" t="s">
        <v>8</v>
      </c>
    </row>
    <row r="669" spans="1:15" x14ac:dyDescent="0.35">
      <c r="A669" s="5" t="str">
        <f>Loads[[#This Row],[Date]]&amp;Loads[[#This Row],[Product]]</f>
        <v>44217Product6</v>
      </c>
      <c r="B669" s="5">
        <f>COUNTIF($A$1:A669,Loads[[#This Row],[Load]])</f>
        <v>2</v>
      </c>
      <c r="C669" s="3" t="str">
        <f>Loads[[#This Row],[Load]]&amp;Loads[[#This Row],[Count]]</f>
        <v>44217Product62</v>
      </c>
      <c r="D669" s="90">
        <v>44217</v>
      </c>
      <c r="E669" s="143">
        <v>0.85416666666666663</v>
      </c>
      <c r="F669" s="1" t="s">
        <v>9</v>
      </c>
      <c r="G669" s="2" t="s">
        <v>17</v>
      </c>
      <c r="H669" s="2" t="s">
        <v>42</v>
      </c>
      <c r="I669" s="1" t="s">
        <v>11</v>
      </c>
      <c r="J669" s="1" t="s">
        <v>8</v>
      </c>
      <c r="K669" s="89">
        <v>36040</v>
      </c>
      <c r="L669" s="3">
        <v>0.08</v>
      </c>
      <c r="M669" s="3" t="s">
        <v>8</v>
      </c>
      <c r="N669" s="3">
        <v>1.72</v>
      </c>
      <c r="O669" s="3" t="s">
        <v>8</v>
      </c>
    </row>
    <row r="670" spans="1:15" x14ac:dyDescent="0.35">
      <c r="A670" s="5" t="str">
        <f>Loads[[#This Row],[Date]]&amp;Loads[[#This Row],[Product]]</f>
        <v>44218Product6</v>
      </c>
      <c r="B670" s="5">
        <f>COUNTIF($A$1:A670,Loads[[#This Row],[Load]])</f>
        <v>1</v>
      </c>
      <c r="C670" s="3" t="str">
        <f>Loads[[#This Row],[Load]]&amp;Loads[[#This Row],[Count]]</f>
        <v>44218Product61</v>
      </c>
      <c r="D670" s="90">
        <v>44218</v>
      </c>
      <c r="E670" s="143">
        <v>0.40625</v>
      </c>
      <c r="F670" s="1" t="s">
        <v>9</v>
      </c>
      <c r="G670" s="2" t="s">
        <v>17</v>
      </c>
      <c r="H670" s="2" t="s">
        <v>42</v>
      </c>
      <c r="I670" s="1" t="s">
        <v>11</v>
      </c>
      <c r="J670" s="1" t="s">
        <v>8</v>
      </c>
      <c r="K670" s="89">
        <v>34400</v>
      </c>
      <c r="L670" s="3">
        <v>0.08</v>
      </c>
      <c r="M670" s="3" t="s">
        <v>8</v>
      </c>
      <c r="N670" s="3">
        <v>1.72</v>
      </c>
      <c r="O670" s="3" t="s">
        <v>8</v>
      </c>
    </row>
    <row r="671" spans="1:15" x14ac:dyDescent="0.35">
      <c r="A671" s="5" t="str">
        <f>Loads[[#This Row],[Date]]&amp;Loads[[#This Row],[Product]]</f>
        <v>44218Product6</v>
      </c>
      <c r="B671" s="5">
        <f>COUNTIF($A$1:A671,Loads[[#This Row],[Load]])</f>
        <v>2</v>
      </c>
      <c r="C671" s="3" t="str">
        <f>Loads[[#This Row],[Load]]&amp;Loads[[#This Row],[Count]]</f>
        <v>44218Product62</v>
      </c>
      <c r="D671" s="90">
        <v>44218</v>
      </c>
      <c r="E671" s="143">
        <v>0.12083333333333333</v>
      </c>
      <c r="F671" s="1" t="s">
        <v>9</v>
      </c>
      <c r="G671" s="2" t="s">
        <v>17</v>
      </c>
      <c r="H671" s="2" t="s">
        <v>42</v>
      </c>
      <c r="I671" s="1" t="s">
        <v>11</v>
      </c>
      <c r="J671" s="1" t="s">
        <v>8</v>
      </c>
      <c r="K671" s="89">
        <v>35920</v>
      </c>
      <c r="L671" s="3">
        <v>0.08</v>
      </c>
      <c r="M671" s="3" t="s">
        <v>8</v>
      </c>
      <c r="N671" s="3">
        <v>1.67</v>
      </c>
      <c r="O671" s="3" t="s">
        <v>8</v>
      </c>
    </row>
    <row r="672" spans="1:15" x14ac:dyDescent="0.35">
      <c r="A672" s="5" t="str">
        <f>Loads[[#This Row],[Date]]&amp;Loads[[#This Row],[Product]]</f>
        <v>44219Product6</v>
      </c>
      <c r="B672" s="5">
        <f>COUNTIF($A$1:A672,Loads[[#This Row],[Load]])</f>
        <v>1</v>
      </c>
      <c r="C672" s="3" t="str">
        <f>Loads[[#This Row],[Load]]&amp;Loads[[#This Row],[Count]]</f>
        <v>44219Product61</v>
      </c>
      <c r="D672" s="90">
        <v>44219</v>
      </c>
      <c r="E672" s="143">
        <v>6.8749999999999992E-2</v>
      </c>
      <c r="F672" s="1" t="s">
        <v>9</v>
      </c>
      <c r="G672" s="2" t="s">
        <v>17</v>
      </c>
      <c r="H672" s="2" t="s">
        <v>42</v>
      </c>
      <c r="I672" s="1" t="s">
        <v>11</v>
      </c>
      <c r="J672" s="1" t="s">
        <v>8</v>
      </c>
      <c r="K672" s="89">
        <v>32020</v>
      </c>
      <c r="L672" s="3">
        <v>0.1</v>
      </c>
      <c r="M672" s="3" t="s">
        <v>8</v>
      </c>
      <c r="N672" s="3">
        <v>2</v>
      </c>
      <c r="O672" s="3" t="s">
        <v>8</v>
      </c>
    </row>
    <row r="673" spans="1:15" x14ac:dyDescent="0.35">
      <c r="A673" s="5" t="str">
        <f>Loads[[#This Row],[Date]]&amp;Loads[[#This Row],[Product]]</f>
        <v>44219Product6</v>
      </c>
      <c r="B673" s="5">
        <f>COUNTIF($A$1:A673,Loads[[#This Row],[Load]])</f>
        <v>2</v>
      </c>
      <c r="C673" s="3" t="str">
        <f>Loads[[#This Row],[Load]]&amp;Loads[[#This Row],[Count]]</f>
        <v>44219Product62</v>
      </c>
      <c r="D673" s="90">
        <v>44219</v>
      </c>
      <c r="E673" s="143">
        <v>6.8749999999999992E-2</v>
      </c>
      <c r="F673" s="1" t="s">
        <v>9</v>
      </c>
      <c r="G673" s="2" t="s">
        <v>17</v>
      </c>
      <c r="H673" s="2" t="s">
        <v>42</v>
      </c>
      <c r="I673" s="1" t="s">
        <v>11</v>
      </c>
      <c r="J673" s="1" t="s">
        <v>8</v>
      </c>
      <c r="K673" s="89">
        <v>35380</v>
      </c>
      <c r="L673" s="3">
        <v>0.08</v>
      </c>
      <c r="M673" s="3" t="s">
        <v>8</v>
      </c>
      <c r="N673" s="3">
        <v>2</v>
      </c>
      <c r="O673" s="3" t="s">
        <v>8</v>
      </c>
    </row>
    <row r="674" spans="1:15" x14ac:dyDescent="0.35">
      <c r="A674" s="5" t="str">
        <f>Loads[[#This Row],[Date]]&amp;Loads[[#This Row],[Product]]</f>
        <v>44220Product6</v>
      </c>
      <c r="B674" s="5">
        <f>COUNTIF($A$1:A674,Loads[[#This Row],[Load]])</f>
        <v>1</v>
      </c>
      <c r="C674" s="3" t="str">
        <f>Loads[[#This Row],[Load]]&amp;Loads[[#This Row],[Count]]</f>
        <v>44220Product61</v>
      </c>
      <c r="D674" s="90">
        <v>44220</v>
      </c>
      <c r="E674" s="143">
        <v>8.1944444444444445E-2</v>
      </c>
      <c r="F674" s="1" t="s">
        <v>9</v>
      </c>
      <c r="G674" s="2" t="s">
        <v>17</v>
      </c>
      <c r="H674" s="2" t="s">
        <v>42</v>
      </c>
      <c r="I674" s="1" t="s">
        <v>11</v>
      </c>
      <c r="J674" s="1" t="s">
        <v>8</v>
      </c>
      <c r="K674" s="89">
        <v>35720</v>
      </c>
      <c r="L674" s="3">
        <v>0.09</v>
      </c>
      <c r="M674" s="3" t="s">
        <v>8</v>
      </c>
      <c r="N674" s="3">
        <v>1.97</v>
      </c>
      <c r="O674" s="3" t="s">
        <v>8</v>
      </c>
    </row>
    <row r="675" spans="1:15" x14ac:dyDescent="0.35">
      <c r="A675" s="5" t="str">
        <f>Loads[[#This Row],[Date]]&amp;Loads[[#This Row],[Product]]</f>
        <v>44221Product6</v>
      </c>
      <c r="B675" s="5">
        <f>COUNTIF($A$1:A675,Loads[[#This Row],[Load]])</f>
        <v>1</v>
      </c>
      <c r="C675" s="3" t="str">
        <f>Loads[[#This Row],[Load]]&amp;Loads[[#This Row],[Count]]</f>
        <v>44221Product61</v>
      </c>
      <c r="D675" s="90">
        <v>44221</v>
      </c>
      <c r="E675" s="143">
        <v>0.11458333333333333</v>
      </c>
      <c r="F675" s="1" t="s">
        <v>9</v>
      </c>
      <c r="G675" s="2" t="s">
        <v>17</v>
      </c>
      <c r="H675" s="2" t="s">
        <v>42</v>
      </c>
      <c r="I675" s="1" t="s">
        <v>11</v>
      </c>
      <c r="J675" s="1" t="s">
        <v>8</v>
      </c>
      <c r="K675" s="89">
        <v>35780</v>
      </c>
      <c r="L675" s="3">
        <v>0.09</v>
      </c>
      <c r="M675" s="3" t="s">
        <v>8</v>
      </c>
      <c r="N675" s="3">
        <v>1.33</v>
      </c>
      <c r="O675" s="3" t="s">
        <v>8</v>
      </c>
    </row>
    <row r="676" spans="1:15" x14ac:dyDescent="0.35">
      <c r="A676" s="5" t="str">
        <f>Loads[[#This Row],[Date]]&amp;Loads[[#This Row],[Product]]</f>
        <v>44222Product6</v>
      </c>
      <c r="B676" s="5">
        <f>COUNTIF($A$1:A676,Loads[[#This Row],[Load]])</f>
        <v>1</v>
      </c>
      <c r="C676" s="3" t="str">
        <f>Loads[[#This Row],[Load]]&amp;Loads[[#This Row],[Count]]</f>
        <v>44222Product61</v>
      </c>
      <c r="D676" s="90">
        <v>44222</v>
      </c>
      <c r="E676" s="143">
        <v>5.8333333333333327E-2</v>
      </c>
      <c r="F676" s="1" t="s">
        <v>9</v>
      </c>
      <c r="G676" s="2" t="s">
        <v>17</v>
      </c>
      <c r="H676" s="2" t="s">
        <v>42</v>
      </c>
      <c r="I676" s="1" t="s">
        <v>11</v>
      </c>
      <c r="J676" s="1" t="s">
        <v>8</v>
      </c>
      <c r="K676" s="89">
        <v>30980</v>
      </c>
      <c r="L676" s="3">
        <v>0.09</v>
      </c>
      <c r="M676" s="3" t="s">
        <v>8</v>
      </c>
      <c r="N676" s="3">
        <v>1.99</v>
      </c>
      <c r="O676" s="3" t="s">
        <v>8</v>
      </c>
    </row>
    <row r="677" spans="1:15" x14ac:dyDescent="0.35">
      <c r="A677" s="5" t="str">
        <f>Loads[[#This Row],[Date]]&amp;Loads[[#This Row],[Product]]</f>
        <v>44223Product6</v>
      </c>
      <c r="B677" s="5">
        <f>COUNTIF($A$1:A677,Loads[[#This Row],[Load]])</f>
        <v>1</v>
      </c>
      <c r="C677" s="3" t="str">
        <f>Loads[[#This Row],[Load]]&amp;Loads[[#This Row],[Count]]</f>
        <v>44223Product61</v>
      </c>
      <c r="D677" s="90">
        <v>44223</v>
      </c>
      <c r="E677" s="143">
        <v>6.3194444444444442E-2</v>
      </c>
      <c r="F677" s="1" t="s">
        <v>9</v>
      </c>
      <c r="G677" s="2" t="s">
        <v>17</v>
      </c>
      <c r="H677" s="2" t="s">
        <v>42</v>
      </c>
      <c r="I677" s="1" t="s">
        <v>11</v>
      </c>
      <c r="J677" s="1" t="s">
        <v>8</v>
      </c>
      <c r="K677" s="89">
        <v>35480</v>
      </c>
      <c r="L677" s="3">
        <v>0.09</v>
      </c>
      <c r="M677" s="3" t="s">
        <v>8</v>
      </c>
      <c r="N677" s="3">
        <v>1.98</v>
      </c>
      <c r="O677" s="3" t="s">
        <v>8</v>
      </c>
    </row>
    <row r="678" spans="1:15" x14ac:dyDescent="0.35">
      <c r="A678" s="5" t="str">
        <f>Loads[[#This Row],[Date]]&amp;Loads[[#This Row],[Product]]</f>
        <v>44224Product6</v>
      </c>
      <c r="B678" s="5">
        <f>COUNTIF($A$1:A678,Loads[[#This Row],[Load]])</f>
        <v>1</v>
      </c>
      <c r="C678" s="3" t="str">
        <f>Loads[[#This Row],[Load]]&amp;Loads[[#This Row],[Count]]</f>
        <v>44224Product61</v>
      </c>
      <c r="D678" s="90">
        <v>44224</v>
      </c>
      <c r="E678" s="143">
        <v>0.96875</v>
      </c>
      <c r="F678" s="1" t="s">
        <v>9</v>
      </c>
      <c r="G678" s="2" t="s">
        <v>17</v>
      </c>
      <c r="H678" s="2" t="s">
        <v>42</v>
      </c>
      <c r="I678" s="1" t="s">
        <v>11</v>
      </c>
      <c r="J678" s="1" t="s">
        <v>8</v>
      </c>
      <c r="K678" s="89">
        <v>35520</v>
      </c>
      <c r="L678" s="3">
        <v>0.09</v>
      </c>
      <c r="M678" s="3" t="s">
        <v>8</v>
      </c>
      <c r="N678" s="3">
        <v>1.55</v>
      </c>
      <c r="O678" s="3" t="s">
        <v>8</v>
      </c>
    </row>
    <row r="679" spans="1:15" x14ac:dyDescent="0.35">
      <c r="A679" s="5" t="str">
        <f>Loads[[#This Row],[Date]]&amp;Loads[[#This Row],[Product]]</f>
        <v>44225Product6</v>
      </c>
      <c r="B679" s="5">
        <f>COUNTIF($A$1:A679,Loads[[#This Row],[Load]])</f>
        <v>1</v>
      </c>
      <c r="C679" s="3" t="str">
        <f>Loads[[#This Row],[Load]]&amp;Loads[[#This Row],[Count]]</f>
        <v>44225Product61</v>
      </c>
      <c r="D679" s="90">
        <v>44225</v>
      </c>
      <c r="E679" s="143">
        <v>0.97916666666666663</v>
      </c>
      <c r="F679" s="1" t="s">
        <v>9</v>
      </c>
      <c r="G679" s="2" t="s">
        <v>17</v>
      </c>
      <c r="H679" s="2" t="s">
        <v>42</v>
      </c>
      <c r="I679" s="1" t="s">
        <v>11</v>
      </c>
      <c r="J679" s="1" t="s">
        <v>8</v>
      </c>
      <c r="K679" s="89">
        <v>35660</v>
      </c>
      <c r="L679" s="3">
        <v>0.08</v>
      </c>
      <c r="M679" s="3" t="s">
        <v>8</v>
      </c>
      <c r="N679" s="3">
        <v>1.55</v>
      </c>
      <c r="O679" s="3" t="s">
        <v>8</v>
      </c>
    </row>
    <row r="680" spans="1:15" x14ac:dyDescent="0.35">
      <c r="A680" s="5" t="str">
        <f>Loads[[#This Row],[Date]]&amp;Loads[[#This Row],[Product]]</f>
        <v>44226Product6</v>
      </c>
      <c r="B680" s="5">
        <f>COUNTIF($A$1:A680,Loads[[#This Row],[Load]])</f>
        <v>1</v>
      </c>
      <c r="C680" s="3" t="str">
        <f>Loads[[#This Row],[Load]]&amp;Loads[[#This Row],[Count]]</f>
        <v>44226Product61</v>
      </c>
      <c r="D680" s="90">
        <v>44226</v>
      </c>
      <c r="E680" s="143">
        <v>0.95624999999999993</v>
      </c>
      <c r="F680" s="1" t="s">
        <v>9</v>
      </c>
      <c r="G680" s="2" t="s">
        <v>17</v>
      </c>
      <c r="H680" s="2" t="s">
        <v>42</v>
      </c>
      <c r="I680" s="1" t="s">
        <v>11</v>
      </c>
      <c r="J680" s="1" t="s">
        <v>8</v>
      </c>
      <c r="K680" s="89">
        <v>35980</v>
      </c>
      <c r="L680" s="3">
        <v>0.2</v>
      </c>
      <c r="M680" s="3" t="s">
        <v>8</v>
      </c>
      <c r="N680" s="3">
        <v>1.55</v>
      </c>
      <c r="O680" s="3" t="s">
        <v>8</v>
      </c>
    </row>
    <row r="681" spans="1:15" x14ac:dyDescent="0.35">
      <c r="A681" s="5" t="str">
        <f>Loads[[#This Row],[Date]]&amp;Loads[[#This Row],[Product]]</f>
        <v>44226Product6</v>
      </c>
      <c r="B681" s="5">
        <f>COUNTIF($A$1:A681,Loads[[#This Row],[Load]])</f>
        <v>2</v>
      </c>
      <c r="C681" s="3" t="str">
        <f>Loads[[#This Row],[Load]]&amp;Loads[[#This Row],[Count]]</f>
        <v>44226Product62</v>
      </c>
      <c r="D681" s="90">
        <v>44226</v>
      </c>
      <c r="E681" s="143">
        <v>0.95763888888888893</v>
      </c>
      <c r="F681" s="1" t="s">
        <v>9</v>
      </c>
      <c r="G681" s="2" t="s">
        <v>17</v>
      </c>
      <c r="H681" s="2" t="s">
        <v>42</v>
      </c>
      <c r="I681" s="1" t="s">
        <v>11</v>
      </c>
      <c r="J681" s="1" t="s">
        <v>8</v>
      </c>
      <c r="K681" s="89">
        <v>35240</v>
      </c>
      <c r="L681" s="3">
        <v>0.2</v>
      </c>
      <c r="M681" s="3" t="s">
        <v>8</v>
      </c>
      <c r="N681" s="3">
        <v>1.55</v>
      </c>
      <c r="O681" s="3" t="s">
        <v>8</v>
      </c>
    </row>
    <row r="682" spans="1:15" x14ac:dyDescent="0.35">
      <c r="A682" s="5" t="str">
        <f>Loads[[#This Row],[Date]]&amp;Loads[[#This Row],[Product]]</f>
        <v>44227Product6</v>
      </c>
      <c r="B682" s="5">
        <f>COUNTIF($A$1:A682,Loads[[#This Row],[Load]])</f>
        <v>1</v>
      </c>
      <c r="C682" s="3" t="str">
        <f>Loads[[#This Row],[Load]]&amp;Loads[[#This Row],[Count]]</f>
        <v>44227Product61</v>
      </c>
      <c r="D682" s="90">
        <v>44227</v>
      </c>
      <c r="E682" s="143">
        <v>0.75555555555555554</v>
      </c>
      <c r="F682" s="1" t="s">
        <v>9</v>
      </c>
      <c r="G682" s="2" t="s">
        <v>17</v>
      </c>
      <c r="H682" s="2" t="s">
        <v>42</v>
      </c>
      <c r="I682" s="1" t="s">
        <v>11</v>
      </c>
      <c r="J682" s="1" t="s">
        <v>8</v>
      </c>
      <c r="K682" s="89">
        <v>31140</v>
      </c>
      <c r="L682" s="3">
        <v>0.08</v>
      </c>
      <c r="M682" s="3" t="s">
        <v>8</v>
      </c>
      <c r="N682" s="3">
        <v>1.48</v>
      </c>
      <c r="O682" s="3" t="s">
        <v>8</v>
      </c>
    </row>
    <row r="683" spans="1:15" x14ac:dyDescent="0.35">
      <c r="A683" s="5" t="str">
        <f>Loads[[#This Row],[Date]]&amp;Loads[[#This Row],[Product]]</f>
        <v>44228Product6</v>
      </c>
      <c r="B683" s="5">
        <f>COUNTIF($A$1:A683,Loads[[#This Row],[Load]])</f>
        <v>1</v>
      </c>
      <c r="C683" s="3" t="str">
        <f>Loads[[#This Row],[Load]]&amp;Loads[[#This Row],[Count]]</f>
        <v>44228Product61</v>
      </c>
      <c r="D683" s="90">
        <v>44228</v>
      </c>
      <c r="E683" s="143">
        <v>0.76597222222222217</v>
      </c>
      <c r="F683" s="1" t="s">
        <v>9</v>
      </c>
      <c r="G683" s="2" t="s">
        <v>17</v>
      </c>
      <c r="H683" s="2" t="s">
        <v>42</v>
      </c>
      <c r="I683" s="1" t="s">
        <v>11</v>
      </c>
      <c r="J683" s="1" t="s">
        <v>8</v>
      </c>
      <c r="K683" s="89">
        <v>35440</v>
      </c>
      <c r="L683" s="3">
        <v>0.08</v>
      </c>
      <c r="M683" s="3" t="s">
        <v>8</v>
      </c>
      <c r="N683" s="3">
        <v>1.46</v>
      </c>
      <c r="O683" s="3" t="s">
        <v>8</v>
      </c>
    </row>
    <row r="684" spans="1:15" x14ac:dyDescent="0.35">
      <c r="A684" s="5" t="str">
        <f>Loads[[#This Row],[Date]]&amp;Loads[[#This Row],[Product]]</f>
        <v>44229Product6</v>
      </c>
      <c r="B684" s="5">
        <f>COUNTIF($A$1:A684,Loads[[#This Row],[Load]])</f>
        <v>1</v>
      </c>
      <c r="C684" s="3" t="str">
        <f>Loads[[#This Row],[Load]]&amp;Loads[[#This Row],[Count]]</f>
        <v>44229Product61</v>
      </c>
      <c r="D684" s="90">
        <v>44229</v>
      </c>
      <c r="E684" s="143">
        <v>0.46180555555555558</v>
      </c>
      <c r="F684" s="1" t="s">
        <v>9</v>
      </c>
      <c r="G684" s="2" t="s">
        <v>17</v>
      </c>
      <c r="H684" s="2" t="s">
        <v>42</v>
      </c>
      <c r="I684" s="1" t="s">
        <v>11</v>
      </c>
      <c r="J684" s="1" t="s">
        <v>8</v>
      </c>
      <c r="K684" s="89">
        <v>35840</v>
      </c>
      <c r="L684" s="3">
        <v>0.1</v>
      </c>
      <c r="M684" s="3" t="s">
        <v>8</v>
      </c>
      <c r="N684" s="3">
        <v>1.39</v>
      </c>
      <c r="O684" s="3" t="s">
        <v>8</v>
      </c>
    </row>
    <row r="685" spans="1:15" x14ac:dyDescent="0.35">
      <c r="A685" s="5" t="str">
        <f>Loads[[#This Row],[Date]]&amp;Loads[[#This Row],[Product]]</f>
        <v>44230Product6</v>
      </c>
      <c r="B685" s="5">
        <f>COUNTIF($A$1:A685,Loads[[#This Row],[Load]])</f>
        <v>1</v>
      </c>
      <c r="C685" s="3" t="str">
        <f>Loads[[#This Row],[Load]]&amp;Loads[[#This Row],[Count]]</f>
        <v>44230Product61</v>
      </c>
      <c r="D685" s="90">
        <v>44230</v>
      </c>
      <c r="E685" s="143">
        <v>5.486111111111111E-2</v>
      </c>
      <c r="F685" s="1" t="s">
        <v>9</v>
      </c>
      <c r="G685" s="2" t="s">
        <v>17</v>
      </c>
      <c r="H685" s="2" t="s">
        <v>42</v>
      </c>
      <c r="I685" s="1" t="s">
        <v>11</v>
      </c>
      <c r="J685" s="1" t="s">
        <v>8</v>
      </c>
      <c r="K685" s="89">
        <v>35520</v>
      </c>
      <c r="L685" s="3">
        <v>0.09</v>
      </c>
      <c r="M685" s="3" t="s">
        <v>8</v>
      </c>
      <c r="N685" s="3">
        <v>1.61</v>
      </c>
      <c r="O685" s="3" t="s">
        <v>8</v>
      </c>
    </row>
    <row r="686" spans="1:15" x14ac:dyDescent="0.35">
      <c r="A686" s="5" t="str">
        <f>Loads[[#This Row],[Date]]&amp;Loads[[#This Row],[Product]]</f>
        <v>44230Product6</v>
      </c>
      <c r="B686" s="5">
        <f>COUNTIF($A$1:A686,Loads[[#This Row],[Load]])</f>
        <v>2</v>
      </c>
      <c r="C686" s="3" t="str">
        <f>Loads[[#This Row],[Load]]&amp;Loads[[#This Row],[Count]]</f>
        <v>44230Product62</v>
      </c>
      <c r="D686" s="90">
        <v>44230</v>
      </c>
      <c r="E686" s="143">
        <v>5.7638888888888885E-2</v>
      </c>
      <c r="F686" s="1" t="s">
        <v>9</v>
      </c>
      <c r="G686" s="2" t="s">
        <v>17</v>
      </c>
      <c r="H686" s="2" t="s">
        <v>42</v>
      </c>
      <c r="I686" s="1" t="s">
        <v>11</v>
      </c>
      <c r="J686" s="1" t="s">
        <v>8</v>
      </c>
      <c r="K686" s="89">
        <v>34620</v>
      </c>
      <c r="L686" s="3">
        <v>0.1</v>
      </c>
      <c r="M686" s="3" t="s">
        <v>8</v>
      </c>
      <c r="N686" s="3">
        <v>1.39</v>
      </c>
      <c r="O686" s="3" t="s">
        <v>8</v>
      </c>
    </row>
    <row r="687" spans="1:15" x14ac:dyDescent="0.35">
      <c r="A687" s="5" t="str">
        <f>Loads[[#This Row],[Date]]&amp;Loads[[#This Row],[Product]]</f>
        <v>44232Product6</v>
      </c>
      <c r="B687" s="5">
        <f>COUNTIF($A$1:A687,Loads[[#This Row],[Load]])</f>
        <v>1</v>
      </c>
      <c r="C687" s="3" t="str">
        <f>Loads[[#This Row],[Load]]&amp;Loads[[#This Row],[Count]]</f>
        <v>44232Product61</v>
      </c>
      <c r="D687" s="90">
        <v>44232</v>
      </c>
      <c r="E687" s="143">
        <v>0.29097222222222224</v>
      </c>
      <c r="F687" s="1" t="s">
        <v>9</v>
      </c>
      <c r="G687" s="2" t="s">
        <v>17</v>
      </c>
      <c r="H687" s="2" t="s">
        <v>42</v>
      </c>
      <c r="I687" s="1" t="s">
        <v>11</v>
      </c>
      <c r="J687" s="1" t="s">
        <v>8</v>
      </c>
      <c r="K687" s="89">
        <v>35180</v>
      </c>
      <c r="L687" s="3">
        <v>0.1</v>
      </c>
      <c r="M687" s="3" t="s">
        <v>8</v>
      </c>
      <c r="N687" s="3">
        <v>1.74</v>
      </c>
      <c r="O687" s="3" t="s">
        <v>8</v>
      </c>
    </row>
    <row r="688" spans="1:15" x14ac:dyDescent="0.35">
      <c r="A688" s="5" t="str">
        <f>Loads[[#This Row],[Date]]&amp;Loads[[#This Row],[Product]]</f>
        <v>44232Product6</v>
      </c>
      <c r="B688" s="5">
        <f>COUNTIF($A$1:A688,Loads[[#This Row],[Load]])</f>
        <v>2</v>
      </c>
      <c r="C688" s="3" t="str">
        <f>Loads[[#This Row],[Load]]&amp;Loads[[#This Row],[Count]]</f>
        <v>44232Product62</v>
      </c>
      <c r="D688" s="90">
        <v>44232</v>
      </c>
      <c r="E688" s="143">
        <v>8.6805555555555566E-2</v>
      </c>
      <c r="F688" s="1" t="s">
        <v>9</v>
      </c>
      <c r="G688" s="2" t="s">
        <v>17</v>
      </c>
      <c r="H688" s="2" t="s">
        <v>42</v>
      </c>
      <c r="I688" s="1" t="s">
        <v>11</v>
      </c>
      <c r="J688" s="1" t="s">
        <v>8</v>
      </c>
      <c r="K688" s="89">
        <v>31400</v>
      </c>
      <c r="L688" s="3">
        <v>0.1</v>
      </c>
      <c r="M688" s="3" t="s">
        <v>8</v>
      </c>
      <c r="N688" s="3">
        <v>1.74</v>
      </c>
      <c r="O688" s="3" t="s">
        <v>8</v>
      </c>
    </row>
    <row r="689" spans="1:15" x14ac:dyDescent="0.35">
      <c r="A689" s="5" t="str">
        <f>Loads[[#This Row],[Date]]&amp;Loads[[#This Row],[Product]]</f>
        <v>44234Product6</v>
      </c>
      <c r="B689" s="5">
        <f>COUNTIF($A$1:A689,Loads[[#This Row],[Load]])</f>
        <v>1</v>
      </c>
      <c r="C689" s="3" t="str">
        <f>Loads[[#This Row],[Load]]&amp;Loads[[#This Row],[Count]]</f>
        <v>44234Product61</v>
      </c>
      <c r="D689" s="90">
        <v>44234</v>
      </c>
      <c r="E689" s="143">
        <v>3.2638888888888891E-2</v>
      </c>
      <c r="F689" s="1" t="s">
        <v>9</v>
      </c>
      <c r="G689" s="2" t="s">
        <v>17</v>
      </c>
      <c r="H689" s="2" t="s">
        <v>42</v>
      </c>
      <c r="I689" s="1" t="s">
        <v>11</v>
      </c>
      <c r="J689" s="1" t="s">
        <v>8</v>
      </c>
      <c r="K689" s="89">
        <v>35420</v>
      </c>
      <c r="L689" s="3">
        <v>0.19</v>
      </c>
      <c r="M689" s="3" t="s">
        <v>8</v>
      </c>
      <c r="N689" s="3">
        <v>1.96</v>
      </c>
      <c r="O689" s="3" t="s">
        <v>8</v>
      </c>
    </row>
    <row r="690" spans="1:15" x14ac:dyDescent="0.35">
      <c r="A690" s="5" t="str">
        <f>Loads[[#This Row],[Date]]&amp;Loads[[#This Row],[Product]]</f>
        <v>44234Product6</v>
      </c>
      <c r="B690" s="5">
        <f>COUNTIF($A$1:A690,Loads[[#This Row],[Load]])</f>
        <v>2</v>
      </c>
      <c r="C690" s="3" t="str">
        <f>Loads[[#This Row],[Load]]&amp;Loads[[#This Row],[Count]]</f>
        <v>44234Product62</v>
      </c>
      <c r="D690" s="90">
        <v>44234</v>
      </c>
      <c r="E690" s="143">
        <v>3.6111111111111115E-2</v>
      </c>
      <c r="F690" s="1" t="s">
        <v>9</v>
      </c>
      <c r="G690" s="2" t="s">
        <v>17</v>
      </c>
      <c r="H690" s="2" t="s">
        <v>42</v>
      </c>
      <c r="I690" s="1" t="s">
        <v>11</v>
      </c>
      <c r="J690" s="1" t="s">
        <v>8</v>
      </c>
      <c r="K690" s="89">
        <v>31860</v>
      </c>
      <c r="L690" s="3">
        <v>0.19</v>
      </c>
      <c r="M690" s="3" t="s">
        <v>8</v>
      </c>
      <c r="N690" s="3">
        <v>1.96</v>
      </c>
      <c r="O690" s="3" t="s">
        <v>8</v>
      </c>
    </row>
    <row r="691" spans="1:15" x14ac:dyDescent="0.35">
      <c r="A691" s="5" t="str">
        <f>Loads[[#This Row],[Date]]&amp;Loads[[#This Row],[Product]]</f>
        <v>44234Product6</v>
      </c>
      <c r="B691" s="5">
        <f>COUNTIF($A$1:A691,Loads[[#This Row],[Load]])</f>
        <v>3</v>
      </c>
      <c r="C691" s="3" t="str">
        <f>Loads[[#This Row],[Load]]&amp;Loads[[#This Row],[Count]]</f>
        <v>44234Product63</v>
      </c>
      <c r="D691" s="90">
        <v>44234</v>
      </c>
      <c r="E691" s="143">
        <v>5.347222222222222E-2</v>
      </c>
      <c r="F691" s="1" t="s">
        <v>9</v>
      </c>
      <c r="G691" s="2" t="s">
        <v>17</v>
      </c>
      <c r="H691" s="2" t="s">
        <v>42</v>
      </c>
      <c r="I691" s="1" t="s">
        <v>11</v>
      </c>
      <c r="J691" s="1" t="s">
        <v>8</v>
      </c>
      <c r="K691" s="89">
        <v>34920</v>
      </c>
      <c r="L691" s="3">
        <v>0.06</v>
      </c>
      <c r="M691" s="3" t="s">
        <v>8</v>
      </c>
      <c r="N691" s="3">
        <v>2.0699999999999998</v>
      </c>
      <c r="O691" s="3" t="s">
        <v>8</v>
      </c>
    </row>
    <row r="692" spans="1:15" x14ac:dyDescent="0.35">
      <c r="A692" s="5" t="str">
        <f>Loads[[#This Row],[Date]]&amp;Loads[[#This Row],[Product]]</f>
        <v>44236Product6</v>
      </c>
      <c r="B692" s="5">
        <f>COUNTIF($A$1:A692,Loads[[#This Row],[Load]])</f>
        <v>1</v>
      </c>
      <c r="C692" s="3" t="str">
        <f>Loads[[#This Row],[Load]]&amp;Loads[[#This Row],[Count]]</f>
        <v>44236Product61</v>
      </c>
      <c r="D692" s="90">
        <v>44236</v>
      </c>
      <c r="E692" s="143">
        <v>3.8194444444444441E-2</v>
      </c>
      <c r="F692" s="1" t="s">
        <v>9</v>
      </c>
      <c r="G692" s="2" t="s">
        <v>17</v>
      </c>
      <c r="H692" s="2" t="s">
        <v>42</v>
      </c>
      <c r="I692" s="1" t="s">
        <v>11</v>
      </c>
      <c r="J692" s="1" t="s">
        <v>8</v>
      </c>
      <c r="K692" s="89">
        <v>35200</v>
      </c>
      <c r="L692" s="3">
        <v>2.29</v>
      </c>
      <c r="M692" s="3" t="s">
        <v>8</v>
      </c>
      <c r="N692" s="3">
        <v>0.09</v>
      </c>
      <c r="O692" s="3" t="s">
        <v>8</v>
      </c>
    </row>
    <row r="693" spans="1:15" x14ac:dyDescent="0.35">
      <c r="A693" s="5" t="str">
        <f>Loads[[#This Row],[Date]]&amp;Loads[[#This Row],[Product]]</f>
        <v>44236Product6</v>
      </c>
      <c r="B693" s="5">
        <f>COUNTIF($A$1:A693,Loads[[#This Row],[Load]])</f>
        <v>2</v>
      </c>
      <c r="C693" s="3" t="str">
        <f>Loads[[#This Row],[Load]]&amp;Loads[[#This Row],[Count]]</f>
        <v>44236Product62</v>
      </c>
      <c r="D693" s="90">
        <v>44236</v>
      </c>
      <c r="E693" s="143">
        <v>3.9583333333333331E-2</v>
      </c>
      <c r="F693" s="1" t="s">
        <v>9</v>
      </c>
      <c r="G693" s="2" t="s">
        <v>17</v>
      </c>
      <c r="H693" s="2" t="s">
        <v>42</v>
      </c>
      <c r="I693" s="1" t="s">
        <v>11</v>
      </c>
      <c r="J693" s="1" t="s">
        <v>8</v>
      </c>
      <c r="K693" s="89">
        <v>36320</v>
      </c>
      <c r="L693" s="3">
        <v>2.29</v>
      </c>
      <c r="M693" s="3" t="s">
        <v>8</v>
      </c>
      <c r="N693" s="3">
        <v>0.09</v>
      </c>
      <c r="O693" s="3" t="s">
        <v>8</v>
      </c>
    </row>
    <row r="694" spans="1:15" x14ac:dyDescent="0.35">
      <c r="A694" s="5" t="str">
        <f>Loads[[#This Row],[Date]]&amp;Loads[[#This Row],[Product]]</f>
        <v>44237Product6</v>
      </c>
      <c r="B694" s="5">
        <f>COUNTIF($A$1:A694,Loads[[#This Row],[Load]])</f>
        <v>1</v>
      </c>
      <c r="C694" s="3" t="str">
        <f>Loads[[#This Row],[Load]]&amp;Loads[[#This Row],[Count]]</f>
        <v>44237Product61</v>
      </c>
      <c r="D694" s="90">
        <v>44237</v>
      </c>
      <c r="E694" s="143">
        <v>6.5972222222222224E-2</v>
      </c>
      <c r="F694" s="1" t="s">
        <v>9</v>
      </c>
      <c r="G694" s="2" t="s">
        <v>17</v>
      </c>
      <c r="H694" s="2" t="s">
        <v>42</v>
      </c>
      <c r="I694" s="1" t="s">
        <v>11</v>
      </c>
      <c r="J694" s="1" t="s">
        <v>8</v>
      </c>
      <c r="K694" s="89">
        <v>31200</v>
      </c>
      <c r="L694" s="3">
        <v>2.23</v>
      </c>
      <c r="M694" s="3" t="s">
        <v>8</v>
      </c>
      <c r="N694" s="3">
        <v>0.09</v>
      </c>
      <c r="O694" s="3" t="s">
        <v>8</v>
      </c>
    </row>
    <row r="695" spans="1:15" x14ac:dyDescent="0.35">
      <c r="A695" s="5" t="str">
        <f>Loads[[#This Row],[Date]]&amp;Loads[[#This Row],[Product]]</f>
        <v>44239Product6</v>
      </c>
      <c r="B695" s="5">
        <f>COUNTIF($A$1:A695,Loads[[#This Row],[Load]])</f>
        <v>1</v>
      </c>
      <c r="C695" s="3" t="str">
        <f>Loads[[#This Row],[Load]]&amp;Loads[[#This Row],[Count]]</f>
        <v>44239Product61</v>
      </c>
      <c r="D695" s="90">
        <v>44239</v>
      </c>
      <c r="E695" s="143">
        <v>3.3333333333333333E-2</v>
      </c>
      <c r="F695" s="1" t="s">
        <v>9</v>
      </c>
      <c r="G695" s="2" t="s">
        <v>17</v>
      </c>
      <c r="H695" s="2" t="s">
        <v>42</v>
      </c>
      <c r="I695" s="1" t="s">
        <v>11</v>
      </c>
      <c r="J695" s="1" t="s">
        <v>8</v>
      </c>
      <c r="K695" s="89">
        <v>35840</v>
      </c>
      <c r="L695" s="3">
        <v>0.08</v>
      </c>
      <c r="M695" s="3" t="s">
        <v>8</v>
      </c>
      <c r="N695" s="3">
        <v>2.37</v>
      </c>
      <c r="O695" s="3" t="s">
        <v>8</v>
      </c>
    </row>
    <row r="696" spans="1:15" x14ac:dyDescent="0.35">
      <c r="A696" s="5" t="str">
        <f>Loads[[#This Row],[Date]]&amp;Loads[[#This Row],[Product]]</f>
        <v>44239Product6</v>
      </c>
      <c r="B696" s="5">
        <f>COUNTIF($A$1:A696,Loads[[#This Row],[Load]])</f>
        <v>2</v>
      </c>
      <c r="C696" s="3" t="str">
        <f>Loads[[#This Row],[Load]]&amp;Loads[[#This Row],[Count]]</f>
        <v>44239Product62</v>
      </c>
      <c r="D696" s="90">
        <v>44239</v>
      </c>
      <c r="E696" s="143">
        <v>3.3333333333333333E-2</v>
      </c>
      <c r="F696" s="1" t="s">
        <v>9</v>
      </c>
      <c r="G696" s="2" t="s">
        <v>17</v>
      </c>
      <c r="H696" s="2" t="s">
        <v>42</v>
      </c>
      <c r="I696" s="1" t="s">
        <v>11</v>
      </c>
      <c r="J696" s="1" t="s">
        <v>8</v>
      </c>
      <c r="K696" s="89">
        <v>35040</v>
      </c>
      <c r="L696" s="3">
        <v>0.09</v>
      </c>
      <c r="M696" s="3" t="s">
        <v>8</v>
      </c>
      <c r="N696" s="3">
        <v>1.67</v>
      </c>
      <c r="O696" s="3" t="s">
        <v>8</v>
      </c>
    </row>
    <row r="697" spans="1:15" x14ac:dyDescent="0.35">
      <c r="A697" s="5" t="str">
        <f>Loads[[#This Row],[Date]]&amp;Loads[[#This Row],[Product]]</f>
        <v>44240Product6</v>
      </c>
      <c r="B697" s="5">
        <f>COUNTIF($A$1:A697,Loads[[#This Row],[Load]])</f>
        <v>1</v>
      </c>
      <c r="C697" s="3" t="str">
        <f>Loads[[#This Row],[Load]]&amp;Loads[[#This Row],[Count]]</f>
        <v>44240Product61</v>
      </c>
      <c r="D697" s="90">
        <v>44240</v>
      </c>
      <c r="E697" s="143">
        <v>9.0277777777777776E-2</v>
      </c>
      <c r="F697" s="1" t="s">
        <v>9</v>
      </c>
      <c r="G697" s="2" t="s">
        <v>17</v>
      </c>
      <c r="H697" s="2" t="s">
        <v>42</v>
      </c>
      <c r="I697" s="1" t="s">
        <v>11</v>
      </c>
      <c r="J697" s="1" t="s">
        <v>8</v>
      </c>
      <c r="K697" s="89">
        <v>31420</v>
      </c>
      <c r="L697" s="3">
        <v>1.67</v>
      </c>
      <c r="M697" s="3" t="s">
        <v>8</v>
      </c>
      <c r="N697" s="3">
        <v>0.08</v>
      </c>
      <c r="O697" s="3" t="s">
        <v>8</v>
      </c>
    </row>
    <row r="698" spans="1:15" x14ac:dyDescent="0.35">
      <c r="A698" s="5" t="str">
        <f>Loads[[#This Row],[Date]]&amp;Loads[[#This Row],[Product]]</f>
        <v>44240Product6</v>
      </c>
      <c r="B698" s="5">
        <f>COUNTIF($A$1:A698,Loads[[#This Row],[Load]])</f>
        <v>2</v>
      </c>
      <c r="C698" s="3" t="str">
        <f>Loads[[#This Row],[Load]]&amp;Loads[[#This Row],[Count]]</f>
        <v>44240Product62</v>
      </c>
      <c r="D698" s="90">
        <v>44240</v>
      </c>
      <c r="E698" s="143">
        <v>9.0972222222222218E-2</v>
      </c>
      <c r="F698" s="1" t="s">
        <v>9</v>
      </c>
      <c r="G698" s="2" t="s">
        <v>17</v>
      </c>
      <c r="H698" s="2" t="s">
        <v>42</v>
      </c>
      <c r="I698" s="1" t="s">
        <v>11</v>
      </c>
      <c r="J698" s="1" t="s">
        <v>8</v>
      </c>
      <c r="K698" s="89">
        <v>36030</v>
      </c>
      <c r="L698" s="3">
        <v>0.09</v>
      </c>
      <c r="M698" s="3" t="s">
        <v>8</v>
      </c>
      <c r="N698" s="3">
        <v>1.67</v>
      </c>
      <c r="O698" s="3" t="s">
        <v>8</v>
      </c>
    </row>
    <row r="699" spans="1:15" x14ac:dyDescent="0.35">
      <c r="A699" s="5" t="str">
        <f>Loads[[#This Row],[Date]]&amp;Loads[[#This Row],[Product]]</f>
        <v>44241Product6</v>
      </c>
      <c r="B699" s="5">
        <f>COUNTIF($A$1:A699,Loads[[#This Row],[Load]])</f>
        <v>1</v>
      </c>
      <c r="C699" s="3" t="str">
        <f>Loads[[#This Row],[Load]]&amp;Loads[[#This Row],[Count]]</f>
        <v>44241Product61</v>
      </c>
      <c r="D699" s="90">
        <v>44241</v>
      </c>
      <c r="E699" s="143">
        <v>3.8194444444444441E-2</v>
      </c>
      <c r="F699" s="1" t="s">
        <v>9</v>
      </c>
      <c r="G699" s="2" t="s">
        <v>17</v>
      </c>
      <c r="H699" s="2" t="s">
        <v>42</v>
      </c>
      <c r="I699" s="1" t="s">
        <v>11</v>
      </c>
      <c r="J699" s="1" t="s">
        <v>8</v>
      </c>
      <c r="K699" s="89">
        <v>33520</v>
      </c>
      <c r="L699" s="3">
        <v>0.08</v>
      </c>
      <c r="M699" s="3" t="s">
        <v>8</v>
      </c>
      <c r="N699" s="3">
        <v>1.67</v>
      </c>
      <c r="O699" s="3" t="s">
        <v>8</v>
      </c>
    </row>
    <row r="700" spans="1:15" x14ac:dyDescent="0.35">
      <c r="A700" s="5" t="str">
        <f>Loads[[#This Row],[Date]]&amp;Loads[[#This Row],[Product]]</f>
        <v>44197Product1</v>
      </c>
      <c r="B700" s="5">
        <f>COUNTIF($A$1:A700,Loads[[#This Row],[Load]])</f>
        <v>1</v>
      </c>
      <c r="C700" s="3" t="str">
        <f>Loads[[#This Row],[Load]]&amp;Loads[[#This Row],[Count]]</f>
        <v>44197Product11</v>
      </c>
      <c r="D700" s="90">
        <v>44197</v>
      </c>
      <c r="E700" s="143">
        <v>7.1527777777777787E-2</v>
      </c>
      <c r="F700" s="1" t="s">
        <v>9</v>
      </c>
      <c r="G700" s="2" t="s">
        <v>12</v>
      </c>
      <c r="H700" s="2" t="s">
        <v>42</v>
      </c>
      <c r="I700" s="1" t="s">
        <v>11</v>
      </c>
      <c r="J700" s="1" t="s">
        <v>8</v>
      </c>
      <c r="K700" s="89">
        <v>20480</v>
      </c>
      <c r="L700" s="3">
        <v>9.64</v>
      </c>
      <c r="M700" s="3">
        <v>21.91</v>
      </c>
      <c r="N700" s="3" t="s">
        <v>8</v>
      </c>
      <c r="O700" s="3" t="s">
        <v>8</v>
      </c>
    </row>
    <row r="701" spans="1:15" x14ac:dyDescent="0.35">
      <c r="A701" s="5" t="str">
        <f>Loads[[#This Row],[Date]]&amp;Loads[[#This Row],[Product]]</f>
        <v>44197Product1</v>
      </c>
      <c r="B701" s="5">
        <f>COUNTIF($A$1:A701,Loads[[#This Row],[Load]])</f>
        <v>2</v>
      </c>
      <c r="C701" s="3" t="str">
        <f>Loads[[#This Row],[Load]]&amp;Loads[[#This Row],[Count]]</f>
        <v>44197Product12</v>
      </c>
      <c r="D701" s="90">
        <v>44197</v>
      </c>
      <c r="E701" s="143">
        <v>7.2222222222222229E-2</v>
      </c>
      <c r="F701" s="1" t="s">
        <v>9</v>
      </c>
      <c r="G701" s="2" t="s">
        <v>12</v>
      </c>
      <c r="H701" s="2" t="s">
        <v>42</v>
      </c>
      <c r="I701" s="1" t="s">
        <v>11</v>
      </c>
      <c r="J701" s="1" t="s">
        <v>8</v>
      </c>
      <c r="K701" s="89">
        <v>20620</v>
      </c>
      <c r="L701" s="3">
        <v>7.36</v>
      </c>
      <c r="M701" s="3">
        <v>19.77</v>
      </c>
      <c r="N701" s="3" t="s">
        <v>8</v>
      </c>
      <c r="O701" s="3" t="s">
        <v>8</v>
      </c>
    </row>
    <row r="702" spans="1:15" x14ac:dyDescent="0.35">
      <c r="A702" s="5" t="str">
        <f>Loads[[#This Row],[Date]]&amp;Loads[[#This Row],[Product]]</f>
        <v>44197Product1</v>
      </c>
      <c r="B702" s="5">
        <f>COUNTIF($A$1:A702,Loads[[#This Row],[Load]])</f>
        <v>3</v>
      </c>
      <c r="C702" s="3" t="str">
        <f>Loads[[#This Row],[Load]]&amp;Loads[[#This Row],[Count]]</f>
        <v>44197Product13</v>
      </c>
      <c r="D702" s="90">
        <v>44197</v>
      </c>
      <c r="E702" s="143">
        <v>7.2916666666666671E-2</v>
      </c>
      <c r="F702" s="1" t="s">
        <v>9</v>
      </c>
      <c r="G702" s="2" t="s">
        <v>12</v>
      </c>
      <c r="H702" s="2" t="s">
        <v>42</v>
      </c>
      <c r="I702" s="1" t="s">
        <v>11</v>
      </c>
      <c r="J702" s="1" t="s">
        <v>8</v>
      </c>
      <c r="K702" s="89">
        <v>18920</v>
      </c>
      <c r="L702" s="3">
        <v>8.2100000000000009</v>
      </c>
      <c r="M702" s="3">
        <v>21.14</v>
      </c>
      <c r="N702" s="3" t="s">
        <v>8</v>
      </c>
      <c r="O702" s="3" t="s">
        <v>8</v>
      </c>
    </row>
    <row r="703" spans="1:15" x14ac:dyDescent="0.35">
      <c r="A703" s="5" t="str">
        <f>Loads[[#This Row],[Date]]&amp;Loads[[#This Row],[Product]]</f>
        <v>44197Product1</v>
      </c>
      <c r="B703" s="5">
        <f>COUNTIF($A$1:A703,Loads[[#This Row],[Load]])</f>
        <v>4</v>
      </c>
      <c r="C703" s="3" t="str">
        <f>Loads[[#This Row],[Load]]&amp;Loads[[#This Row],[Count]]</f>
        <v>44197Product14</v>
      </c>
      <c r="D703" s="90">
        <v>44197</v>
      </c>
      <c r="E703" s="143">
        <v>7.2916666666666671E-2</v>
      </c>
      <c r="F703" s="1" t="s">
        <v>9</v>
      </c>
      <c r="G703" s="2" t="s">
        <v>12</v>
      </c>
      <c r="H703" s="2" t="s">
        <v>42</v>
      </c>
      <c r="I703" s="1" t="s">
        <v>11</v>
      </c>
      <c r="J703" s="1" t="s">
        <v>8</v>
      </c>
      <c r="K703" s="89">
        <v>19660</v>
      </c>
      <c r="L703" s="3">
        <v>8.7899999999999991</v>
      </c>
      <c r="M703" s="3">
        <v>21.91</v>
      </c>
      <c r="N703" s="3" t="s">
        <v>8</v>
      </c>
      <c r="O703" s="3" t="s">
        <v>8</v>
      </c>
    </row>
    <row r="704" spans="1:15" x14ac:dyDescent="0.35">
      <c r="A704" s="5" t="str">
        <f>Loads[[#This Row],[Date]]&amp;Loads[[#This Row],[Product]]</f>
        <v>44197Product1</v>
      </c>
      <c r="B704" s="5">
        <f>COUNTIF($A$1:A704,Loads[[#This Row],[Load]])</f>
        <v>5</v>
      </c>
      <c r="C704" s="3" t="str">
        <f>Loads[[#This Row],[Load]]&amp;Loads[[#This Row],[Count]]</f>
        <v>44197Product15</v>
      </c>
      <c r="D704" s="90">
        <v>44197</v>
      </c>
      <c r="E704" s="143">
        <v>7.3611111111111113E-2</v>
      </c>
      <c r="F704" s="1" t="s">
        <v>9</v>
      </c>
      <c r="G704" s="2" t="s">
        <v>12</v>
      </c>
      <c r="H704" s="2" t="s">
        <v>42</v>
      </c>
      <c r="I704" s="1" t="s">
        <v>11</v>
      </c>
      <c r="J704" s="1" t="s">
        <v>8</v>
      </c>
      <c r="K704" s="89">
        <v>23360</v>
      </c>
      <c r="L704" s="3">
        <v>8.7899999999999991</v>
      </c>
      <c r="M704" s="3">
        <v>21.91</v>
      </c>
      <c r="N704" s="3" t="s">
        <v>8</v>
      </c>
      <c r="O704" s="3" t="s">
        <v>8</v>
      </c>
    </row>
    <row r="705" spans="1:15" x14ac:dyDescent="0.35">
      <c r="A705" s="5" t="str">
        <f>Loads[[#This Row],[Date]]&amp;Loads[[#This Row],[Product]]</f>
        <v>44197Product1</v>
      </c>
      <c r="B705" s="5">
        <f>COUNTIF($A$1:A705,Loads[[#This Row],[Load]])</f>
        <v>6</v>
      </c>
      <c r="C705" s="3" t="str">
        <f>Loads[[#This Row],[Load]]&amp;Loads[[#This Row],[Count]]</f>
        <v>44197Product16</v>
      </c>
      <c r="D705" s="90">
        <v>44197</v>
      </c>
      <c r="E705" s="143">
        <v>7.4305555555555555E-2</v>
      </c>
      <c r="F705" s="1" t="s">
        <v>9</v>
      </c>
      <c r="G705" s="2" t="s">
        <v>12</v>
      </c>
      <c r="H705" s="2" t="s">
        <v>42</v>
      </c>
      <c r="I705" s="1" t="s">
        <v>11</v>
      </c>
      <c r="J705" s="1" t="s">
        <v>8</v>
      </c>
      <c r="K705" s="89">
        <v>19540</v>
      </c>
      <c r="L705" s="3">
        <v>8.7100000000000009</v>
      </c>
      <c r="M705" s="3">
        <v>21.06</v>
      </c>
      <c r="N705" s="3" t="s">
        <v>8</v>
      </c>
      <c r="O705" s="3" t="s">
        <v>8</v>
      </c>
    </row>
    <row r="706" spans="1:15" x14ac:dyDescent="0.35">
      <c r="A706" s="5" t="str">
        <f>Loads[[#This Row],[Date]]&amp;Loads[[#This Row],[Product]]</f>
        <v>44197Product1</v>
      </c>
      <c r="B706" s="5">
        <f>COUNTIF($A$1:A706,Loads[[#This Row],[Load]])</f>
        <v>7</v>
      </c>
      <c r="C706" s="3" t="str">
        <f>Loads[[#This Row],[Load]]&amp;Loads[[#This Row],[Count]]</f>
        <v>44197Product17</v>
      </c>
      <c r="D706" s="90">
        <v>44197</v>
      </c>
      <c r="E706" s="143">
        <v>7.4305555555555555E-2</v>
      </c>
      <c r="F706" s="1" t="s">
        <v>9</v>
      </c>
      <c r="G706" s="2" t="s">
        <v>12</v>
      </c>
      <c r="H706" s="2" t="s">
        <v>42</v>
      </c>
      <c r="I706" s="1" t="s">
        <v>11</v>
      </c>
      <c r="J706" s="1" t="s">
        <v>8</v>
      </c>
      <c r="K706" s="89">
        <v>28400</v>
      </c>
      <c r="L706" s="3">
        <v>9.48</v>
      </c>
      <c r="M706" s="3">
        <v>21.49</v>
      </c>
      <c r="N706" s="3" t="s">
        <v>8</v>
      </c>
      <c r="O706" s="3" t="s">
        <v>8</v>
      </c>
    </row>
    <row r="707" spans="1:15" x14ac:dyDescent="0.35">
      <c r="A707" s="5" t="str">
        <f>Loads[[#This Row],[Date]]&amp;Loads[[#This Row],[Product]]</f>
        <v>44197Product1</v>
      </c>
      <c r="B707" s="5">
        <f>COUNTIF($A$1:A707,Loads[[#This Row],[Load]])</f>
        <v>8</v>
      </c>
      <c r="C707" s="3" t="str">
        <f>Loads[[#This Row],[Load]]&amp;Loads[[#This Row],[Count]]</f>
        <v>44197Product18</v>
      </c>
      <c r="D707" s="90">
        <v>44197</v>
      </c>
      <c r="E707" s="143">
        <v>7.4999999999999997E-2</v>
      </c>
      <c r="F707" s="1" t="s">
        <v>9</v>
      </c>
      <c r="G707" s="2" t="s">
        <v>12</v>
      </c>
      <c r="H707" s="2" t="s">
        <v>42</v>
      </c>
      <c r="I707" s="1" t="s">
        <v>11</v>
      </c>
      <c r="J707" s="1" t="s">
        <v>8</v>
      </c>
      <c r="K707" s="89">
        <v>23260</v>
      </c>
      <c r="L707" s="3">
        <v>9.59</v>
      </c>
      <c r="M707" s="3">
        <v>21.27</v>
      </c>
      <c r="N707" s="3" t="s">
        <v>8</v>
      </c>
      <c r="O707" s="3" t="s">
        <v>8</v>
      </c>
    </row>
    <row r="708" spans="1:15" x14ac:dyDescent="0.35">
      <c r="A708" s="5" t="str">
        <f>Loads[[#This Row],[Date]]&amp;Loads[[#This Row],[Product]]</f>
        <v>44197Product1</v>
      </c>
      <c r="B708" s="5">
        <f>COUNTIF($A$1:A708,Loads[[#This Row],[Load]])</f>
        <v>9</v>
      </c>
      <c r="C708" s="3" t="str">
        <f>Loads[[#This Row],[Load]]&amp;Loads[[#This Row],[Count]]</f>
        <v>44197Product19</v>
      </c>
      <c r="D708" s="90">
        <v>44197</v>
      </c>
      <c r="E708" s="143">
        <v>7.5694444444444439E-2</v>
      </c>
      <c r="F708" s="1" t="s">
        <v>9</v>
      </c>
      <c r="G708" s="2" t="s">
        <v>12</v>
      </c>
      <c r="H708" s="2" t="s">
        <v>42</v>
      </c>
      <c r="I708" s="1" t="s">
        <v>11</v>
      </c>
      <c r="J708" s="1" t="s">
        <v>8</v>
      </c>
      <c r="K708" s="89">
        <v>20940</v>
      </c>
      <c r="L708" s="3">
        <v>7.09</v>
      </c>
      <c r="M708" s="3">
        <v>20.41</v>
      </c>
      <c r="N708" s="3" t="s">
        <v>8</v>
      </c>
      <c r="O708" s="3" t="s">
        <v>8</v>
      </c>
    </row>
    <row r="709" spans="1:15" x14ac:dyDescent="0.35">
      <c r="A709" s="5" t="str">
        <f>Loads[[#This Row],[Date]]&amp;Loads[[#This Row],[Product]]</f>
        <v>44198Product1</v>
      </c>
      <c r="B709" s="5">
        <f>COUNTIF($A$1:A709,Loads[[#This Row],[Load]])</f>
        <v>1</v>
      </c>
      <c r="C709" s="3" t="str">
        <f>Loads[[#This Row],[Load]]&amp;Loads[[#This Row],[Count]]</f>
        <v>44198Product11</v>
      </c>
      <c r="D709" s="90">
        <v>44198</v>
      </c>
      <c r="E709" s="143">
        <v>4.2361111111111106E-2</v>
      </c>
      <c r="F709" s="1" t="s">
        <v>9</v>
      </c>
      <c r="G709" s="2" t="s">
        <v>12</v>
      </c>
      <c r="H709" s="2" t="s">
        <v>42</v>
      </c>
      <c r="I709" s="1" t="s">
        <v>11</v>
      </c>
      <c r="J709" s="1" t="s">
        <v>8</v>
      </c>
      <c r="K709" s="89">
        <v>21620</v>
      </c>
      <c r="L709" s="3">
        <v>3.06</v>
      </c>
      <c r="M709" s="3">
        <v>21.42</v>
      </c>
      <c r="N709" s="3" t="s">
        <v>8</v>
      </c>
      <c r="O709" s="3" t="s">
        <v>8</v>
      </c>
    </row>
    <row r="710" spans="1:15" x14ac:dyDescent="0.35">
      <c r="A710" s="5" t="str">
        <f>Loads[[#This Row],[Date]]&amp;Loads[[#This Row],[Product]]</f>
        <v>44198Product1</v>
      </c>
      <c r="B710" s="5">
        <f>COUNTIF($A$1:A710,Loads[[#This Row],[Load]])</f>
        <v>2</v>
      </c>
      <c r="C710" s="3" t="str">
        <f>Loads[[#This Row],[Load]]&amp;Loads[[#This Row],[Count]]</f>
        <v>44198Product12</v>
      </c>
      <c r="D710" s="90">
        <v>44198</v>
      </c>
      <c r="E710" s="143">
        <v>4.3055555555555562E-2</v>
      </c>
      <c r="F710" s="1" t="s">
        <v>9</v>
      </c>
      <c r="G710" s="2" t="s">
        <v>12</v>
      </c>
      <c r="H710" s="2" t="s">
        <v>42</v>
      </c>
      <c r="I710" s="1" t="s">
        <v>11</v>
      </c>
      <c r="J710" s="1" t="s">
        <v>8</v>
      </c>
      <c r="K710" s="89">
        <v>20440</v>
      </c>
      <c r="L710" s="3">
        <v>9.75</v>
      </c>
      <c r="M710" s="3">
        <v>21.61</v>
      </c>
      <c r="N710" s="3" t="s">
        <v>8</v>
      </c>
      <c r="O710" s="3" t="s">
        <v>8</v>
      </c>
    </row>
    <row r="711" spans="1:15" x14ac:dyDescent="0.35">
      <c r="A711" s="5" t="str">
        <f>Loads[[#This Row],[Date]]&amp;Loads[[#This Row],[Product]]</f>
        <v>44198Product1</v>
      </c>
      <c r="B711" s="5">
        <f>COUNTIF($A$1:A711,Loads[[#This Row],[Load]])</f>
        <v>3</v>
      </c>
      <c r="C711" s="3" t="str">
        <f>Loads[[#This Row],[Load]]&amp;Loads[[#This Row],[Count]]</f>
        <v>44198Product13</v>
      </c>
      <c r="D711" s="90">
        <v>44198</v>
      </c>
      <c r="E711" s="143">
        <v>4.3055555555555562E-2</v>
      </c>
      <c r="F711" s="1" t="s">
        <v>9</v>
      </c>
      <c r="G711" s="2" t="s">
        <v>12</v>
      </c>
      <c r="H711" s="2" t="s">
        <v>42</v>
      </c>
      <c r="I711" s="1" t="s">
        <v>11</v>
      </c>
      <c r="J711" s="1" t="s">
        <v>8</v>
      </c>
      <c r="K711" s="89">
        <v>21080</v>
      </c>
      <c r="L711" s="3">
        <v>7.7</v>
      </c>
      <c r="M711" s="3">
        <v>22.84</v>
      </c>
      <c r="N711" s="3" t="s">
        <v>8</v>
      </c>
      <c r="O711" s="3" t="s">
        <v>8</v>
      </c>
    </row>
    <row r="712" spans="1:15" x14ac:dyDescent="0.35">
      <c r="A712" s="5" t="str">
        <f>Loads[[#This Row],[Date]]&amp;Loads[[#This Row],[Product]]</f>
        <v>44198Product1</v>
      </c>
      <c r="B712" s="5">
        <f>COUNTIF($A$1:A712,Loads[[#This Row],[Load]])</f>
        <v>4</v>
      </c>
      <c r="C712" s="3" t="str">
        <f>Loads[[#This Row],[Load]]&amp;Loads[[#This Row],[Count]]</f>
        <v>44198Product14</v>
      </c>
      <c r="D712" s="90">
        <v>44198</v>
      </c>
      <c r="E712" s="143">
        <v>4.3750000000000004E-2</v>
      </c>
      <c r="F712" s="1" t="s">
        <v>9</v>
      </c>
      <c r="G712" s="2" t="s">
        <v>12</v>
      </c>
      <c r="H712" s="2" t="s">
        <v>42</v>
      </c>
      <c r="I712" s="1" t="s">
        <v>11</v>
      </c>
      <c r="J712" s="1" t="s">
        <v>8</v>
      </c>
      <c r="K712" s="89">
        <v>25200</v>
      </c>
      <c r="L712" s="3">
        <v>7.67</v>
      </c>
      <c r="M712" s="3">
        <v>22.83</v>
      </c>
      <c r="N712" s="3" t="s">
        <v>8</v>
      </c>
      <c r="O712" s="3" t="s">
        <v>8</v>
      </c>
    </row>
    <row r="713" spans="1:15" x14ac:dyDescent="0.35">
      <c r="A713" s="5" t="str">
        <f>Loads[[#This Row],[Date]]&amp;Loads[[#This Row],[Product]]</f>
        <v>44198Product1</v>
      </c>
      <c r="B713" s="5">
        <f>COUNTIF($A$1:A713,Loads[[#This Row],[Load]])</f>
        <v>5</v>
      </c>
      <c r="C713" s="3" t="str">
        <f>Loads[[#This Row],[Load]]&amp;Loads[[#This Row],[Count]]</f>
        <v>44198Product15</v>
      </c>
      <c r="D713" s="90">
        <v>44198</v>
      </c>
      <c r="E713" s="143">
        <v>4.3750000000000004E-2</v>
      </c>
      <c r="F713" s="1" t="s">
        <v>9</v>
      </c>
      <c r="G713" s="2" t="s">
        <v>12</v>
      </c>
      <c r="H713" s="2" t="s">
        <v>42</v>
      </c>
      <c r="I713" s="1" t="s">
        <v>11</v>
      </c>
      <c r="J713" s="1" t="s">
        <v>8</v>
      </c>
      <c r="K713" s="89">
        <v>21800</v>
      </c>
      <c r="L713" s="3">
        <v>3.68</v>
      </c>
      <c r="M713" s="3">
        <v>19.739999999999998</v>
      </c>
      <c r="N713" s="3" t="s">
        <v>8</v>
      </c>
      <c r="O713" s="3" t="s">
        <v>8</v>
      </c>
    </row>
    <row r="714" spans="1:15" x14ac:dyDescent="0.35">
      <c r="A714" s="5" t="str">
        <f>Loads[[#This Row],[Date]]&amp;Loads[[#This Row],[Product]]</f>
        <v>44198Product1</v>
      </c>
      <c r="B714" s="5">
        <f>COUNTIF($A$1:A714,Loads[[#This Row],[Load]])</f>
        <v>6</v>
      </c>
      <c r="C714" s="3" t="str">
        <f>Loads[[#This Row],[Load]]&amp;Loads[[#This Row],[Count]]</f>
        <v>44198Product16</v>
      </c>
      <c r="D714" s="90">
        <v>44198</v>
      </c>
      <c r="E714" s="143">
        <v>4.4444444444444446E-2</v>
      </c>
      <c r="F714" s="1" t="s">
        <v>9</v>
      </c>
      <c r="G714" s="2" t="s">
        <v>12</v>
      </c>
      <c r="H714" s="2" t="s">
        <v>42</v>
      </c>
      <c r="I714" s="1" t="s">
        <v>11</v>
      </c>
      <c r="J714" s="1" t="s">
        <v>8</v>
      </c>
      <c r="K714" s="89">
        <v>19320</v>
      </c>
      <c r="L714" s="3">
        <v>8.49</v>
      </c>
      <c r="M714" s="3">
        <v>20.96</v>
      </c>
      <c r="N714" s="3" t="s">
        <v>8</v>
      </c>
      <c r="O714" s="3" t="s">
        <v>8</v>
      </c>
    </row>
    <row r="715" spans="1:15" x14ac:dyDescent="0.35">
      <c r="A715" s="5" t="str">
        <f>Loads[[#This Row],[Date]]&amp;Loads[[#This Row],[Product]]</f>
        <v>44198Product1</v>
      </c>
      <c r="B715" s="5">
        <f>COUNTIF($A$1:A715,Loads[[#This Row],[Load]])</f>
        <v>7</v>
      </c>
      <c r="C715" s="3" t="str">
        <f>Loads[[#This Row],[Load]]&amp;Loads[[#This Row],[Count]]</f>
        <v>44198Product17</v>
      </c>
      <c r="D715" s="90">
        <v>44198</v>
      </c>
      <c r="E715" s="143">
        <v>4.5138888888888888E-2</v>
      </c>
      <c r="F715" s="1" t="s">
        <v>9</v>
      </c>
      <c r="G715" s="2" t="s">
        <v>12</v>
      </c>
      <c r="H715" s="2" t="s">
        <v>42</v>
      </c>
      <c r="I715" s="1" t="s">
        <v>11</v>
      </c>
      <c r="J715" s="1" t="s">
        <v>8</v>
      </c>
      <c r="K715" s="89">
        <v>22160</v>
      </c>
      <c r="L715" s="3">
        <v>7.47</v>
      </c>
      <c r="M715" s="3">
        <v>20.45</v>
      </c>
      <c r="N715" s="3" t="s">
        <v>8</v>
      </c>
      <c r="O715" s="3" t="s">
        <v>8</v>
      </c>
    </row>
    <row r="716" spans="1:15" x14ac:dyDescent="0.35">
      <c r="A716" s="5" t="str">
        <f>Loads[[#This Row],[Date]]&amp;Loads[[#This Row],[Product]]</f>
        <v>44198Product1</v>
      </c>
      <c r="B716" s="5">
        <f>COUNTIF($A$1:A716,Loads[[#This Row],[Load]])</f>
        <v>8</v>
      </c>
      <c r="C716" s="3" t="str">
        <f>Loads[[#This Row],[Load]]&amp;Loads[[#This Row],[Count]]</f>
        <v>44198Product18</v>
      </c>
      <c r="D716" s="90">
        <v>44198</v>
      </c>
      <c r="E716" s="143">
        <v>4.5138888888888888E-2</v>
      </c>
      <c r="F716" s="1" t="s">
        <v>9</v>
      </c>
      <c r="G716" s="2" t="s">
        <v>12</v>
      </c>
      <c r="H716" s="2" t="s">
        <v>42</v>
      </c>
      <c r="I716" s="1" t="s">
        <v>11</v>
      </c>
      <c r="J716" s="1" t="s">
        <v>8</v>
      </c>
      <c r="K716" s="89">
        <v>15060</v>
      </c>
      <c r="L716" s="3">
        <v>7.27</v>
      </c>
      <c r="M716" s="3">
        <v>20.64</v>
      </c>
      <c r="N716" s="3" t="s">
        <v>8</v>
      </c>
      <c r="O716" s="3" t="s">
        <v>8</v>
      </c>
    </row>
    <row r="717" spans="1:15" x14ac:dyDescent="0.35">
      <c r="A717" s="5" t="str">
        <f>Loads[[#This Row],[Date]]&amp;Loads[[#This Row],[Product]]</f>
        <v>44198Product1</v>
      </c>
      <c r="B717" s="5">
        <f>COUNTIF($A$1:A717,Loads[[#This Row],[Load]])</f>
        <v>9</v>
      </c>
      <c r="C717" s="3" t="str">
        <f>Loads[[#This Row],[Load]]&amp;Loads[[#This Row],[Count]]</f>
        <v>44198Product19</v>
      </c>
      <c r="D717" s="90">
        <v>44198</v>
      </c>
      <c r="E717" s="143">
        <v>4.5833333333333337E-2</v>
      </c>
      <c r="F717" s="1" t="s">
        <v>9</v>
      </c>
      <c r="G717" s="2" t="s">
        <v>12</v>
      </c>
      <c r="H717" s="2" t="s">
        <v>42</v>
      </c>
      <c r="I717" s="1" t="s">
        <v>11</v>
      </c>
      <c r="J717" s="1" t="s">
        <v>8</v>
      </c>
      <c r="K717" s="89">
        <v>15060</v>
      </c>
      <c r="L717" s="3">
        <v>7.27</v>
      </c>
      <c r="M717" s="3">
        <v>20.64</v>
      </c>
      <c r="N717" s="3" t="s">
        <v>8</v>
      </c>
      <c r="O717" s="3" t="s">
        <v>8</v>
      </c>
    </row>
    <row r="718" spans="1:15" x14ac:dyDescent="0.35">
      <c r="A718" s="5" t="str">
        <f>Loads[[#This Row],[Date]]&amp;Loads[[#This Row],[Product]]</f>
        <v>44198Product1</v>
      </c>
      <c r="B718" s="5">
        <f>COUNTIF($A$1:A718,Loads[[#This Row],[Load]])</f>
        <v>10</v>
      </c>
      <c r="C718" s="3" t="str">
        <f>Loads[[#This Row],[Load]]&amp;Loads[[#This Row],[Count]]</f>
        <v>44198Product110</v>
      </c>
      <c r="D718" s="90">
        <v>44198</v>
      </c>
      <c r="E718" s="143">
        <v>4.6527777777777779E-2</v>
      </c>
      <c r="F718" s="1" t="s">
        <v>9</v>
      </c>
      <c r="G718" s="2" t="s">
        <v>12</v>
      </c>
      <c r="H718" s="2" t="s">
        <v>42</v>
      </c>
      <c r="I718" s="1" t="s">
        <v>11</v>
      </c>
      <c r="J718" s="1" t="s">
        <v>8</v>
      </c>
      <c r="K718" s="89">
        <v>25540</v>
      </c>
      <c r="L718" s="3">
        <v>7.89</v>
      </c>
      <c r="M718" s="3">
        <v>21.09</v>
      </c>
      <c r="N718" s="3" t="s">
        <v>8</v>
      </c>
      <c r="O718" s="3" t="s">
        <v>8</v>
      </c>
    </row>
    <row r="719" spans="1:15" x14ac:dyDescent="0.35">
      <c r="A719" s="5" t="str">
        <f>Loads[[#This Row],[Date]]&amp;Loads[[#This Row],[Product]]</f>
        <v>44198Product1</v>
      </c>
      <c r="B719" s="5">
        <f>COUNTIF($A$1:A719,Loads[[#This Row],[Load]])</f>
        <v>11</v>
      </c>
      <c r="C719" s="3" t="str">
        <f>Loads[[#This Row],[Load]]&amp;Loads[[#This Row],[Count]]</f>
        <v>44198Product111</v>
      </c>
      <c r="D719" s="90">
        <v>44198</v>
      </c>
      <c r="E719" s="143">
        <v>4.7222222222222221E-2</v>
      </c>
      <c r="F719" s="1" t="s">
        <v>9</v>
      </c>
      <c r="G719" s="2" t="s">
        <v>12</v>
      </c>
      <c r="H719" s="2" t="s">
        <v>42</v>
      </c>
      <c r="I719" s="1" t="s">
        <v>11</v>
      </c>
      <c r="J719" s="1" t="s">
        <v>8</v>
      </c>
      <c r="K719" s="89">
        <v>19140</v>
      </c>
      <c r="L719" s="3">
        <v>5.35</v>
      </c>
      <c r="M719" s="3">
        <v>18.53</v>
      </c>
      <c r="N719" s="3" t="s">
        <v>8</v>
      </c>
      <c r="O719" s="3" t="s">
        <v>8</v>
      </c>
    </row>
    <row r="720" spans="1:15" x14ac:dyDescent="0.35">
      <c r="A720" s="5" t="str">
        <f>Loads[[#This Row],[Date]]&amp;Loads[[#This Row],[Product]]</f>
        <v>44198Product1</v>
      </c>
      <c r="B720" s="5">
        <f>COUNTIF($A$1:A720,Loads[[#This Row],[Load]])</f>
        <v>12</v>
      </c>
      <c r="C720" s="3" t="str">
        <f>Loads[[#This Row],[Load]]&amp;Loads[[#This Row],[Count]]</f>
        <v>44198Product112</v>
      </c>
      <c r="D720" s="90">
        <v>44198</v>
      </c>
      <c r="E720" s="143">
        <v>4.7916666666666663E-2</v>
      </c>
      <c r="F720" s="1" t="s">
        <v>9</v>
      </c>
      <c r="G720" s="2" t="s">
        <v>12</v>
      </c>
      <c r="H720" s="2" t="s">
        <v>42</v>
      </c>
      <c r="I720" s="1" t="s">
        <v>11</v>
      </c>
      <c r="J720" s="1" t="s">
        <v>8</v>
      </c>
      <c r="K720" s="89">
        <v>31540</v>
      </c>
      <c r="L720" s="3">
        <v>6.07</v>
      </c>
      <c r="M720" s="3">
        <v>20.32</v>
      </c>
      <c r="N720" s="3" t="s">
        <v>8</v>
      </c>
      <c r="O720" s="3" t="s">
        <v>8</v>
      </c>
    </row>
    <row r="721" spans="1:15" x14ac:dyDescent="0.35">
      <c r="A721" s="5" t="str">
        <f>Loads[[#This Row],[Date]]&amp;Loads[[#This Row],[Product]]</f>
        <v>44198Product1</v>
      </c>
      <c r="B721" s="5">
        <f>COUNTIF($A$1:A721,Loads[[#This Row],[Load]])</f>
        <v>13</v>
      </c>
      <c r="C721" s="3" t="str">
        <f>Loads[[#This Row],[Load]]&amp;Loads[[#This Row],[Count]]</f>
        <v>44198Product113</v>
      </c>
      <c r="D721" s="90">
        <v>44198</v>
      </c>
      <c r="E721" s="143">
        <v>4.7916666666666663E-2</v>
      </c>
      <c r="F721" s="1" t="s">
        <v>9</v>
      </c>
      <c r="G721" s="2" t="s">
        <v>12</v>
      </c>
      <c r="H721" s="2" t="s">
        <v>42</v>
      </c>
      <c r="I721" s="1" t="s">
        <v>11</v>
      </c>
      <c r="J721" s="1" t="s">
        <v>8</v>
      </c>
      <c r="K721" s="89">
        <v>21420</v>
      </c>
      <c r="L721" s="3">
        <v>4.88</v>
      </c>
      <c r="M721" s="3">
        <v>19.579999999999998</v>
      </c>
      <c r="N721" s="3" t="s">
        <v>8</v>
      </c>
      <c r="O721" s="3" t="s">
        <v>8</v>
      </c>
    </row>
    <row r="722" spans="1:15" x14ac:dyDescent="0.35">
      <c r="A722" s="5" t="str">
        <f>Loads[[#This Row],[Date]]&amp;Loads[[#This Row],[Product]]</f>
        <v>44198Product1</v>
      </c>
      <c r="B722" s="5">
        <f>COUNTIF($A$1:A722,Loads[[#This Row],[Load]])</f>
        <v>14</v>
      </c>
      <c r="C722" s="3" t="str">
        <f>Loads[[#This Row],[Load]]&amp;Loads[[#This Row],[Count]]</f>
        <v>44198Product114</v>
      </c>
      <c r="D722" s="90">
        <v>44198</v>
      </c>
      <c r="E722" s="143">
        <v>4.8611111111111112E-2</v>
      </c>
      <c r="F722" s="1" t="s">
        <v>9</v>
      </c>
      <c r="G722" s="2" t="s">
        <v>12</v>
      </c>
      <c r="H722" s="2" t="s">
        <v>42</v>
      </c>
      <c r="I722" s="1" t="s">
        <v>11</v>
      </c>
      <c r="J722" s="1" t="s">
        <v>8</v>
      </c>
      <c r="K722" s="89">
        <v>18620</v>
      </c>
      <c r="L722" s="3">
        <v>5.31</v>
      </c>
      <c r="M722" s="3">
        <v>19.989999999999998</v>
      </c>
      <c r="N722" s="3" t="s">
        <v>8</v>
      </c>
      <c r="O722" s="3" t="s">
        <v>8</v>
      </c>
    </row>
    <row r="723" spans="1:15" x14ac:dyDescent="0.35">
      <c r="A723" s="5" t="str">
        <f>Loads[[#This Row],[Date]]&amp;Loads[[#This Row],[Product]]</f>
        <v>44198Product1</v>
      </c>
      <c r="B723" s="5">
        <f>COUNTIF($A$1:A723,Loads[[#This Row],[Load]])</f>
        <v>15</v>
      </c>
      <c r="C723" s="3" t="str">
        <f>Loads[[#This Row],[Load]]&amp;Loads[[#This Row],[Count]]</f>
        <v>44198Product115</v>
      </c>
      <c r="D723" s="90">
        <v>44198</v>
      </c>
      <c r="E723" s="143">
        <v>4.9305555555555554E-2</v>
      </c>
      <c r="F723" s="1" t="s">
        <v>9</v>
      </c>
      <c r="G723" s="2" t="s">
        <v>12</v>
      </c>
      <c r="H723" s="2" t="s">
        <v>42</v>
      </c>
      <c r="I723" s="1" t="s">
        <v>11</v>
      </c>
      <c r="J723" s="1" t="s">
        <v>8</v>
      </c>
      <c r="K723" s="89">
        <v>21000</v>
      </c>
      <c r="L723" s="3">
        <v>8.4</v>
      </c>
      <c r="M723" s="3">
        <v>21.7</v>
      </c>
      <c r="N723" s="3" t="s">
        <v>8</v>
      </c>
      <c r="O723" s="3" t="s">
        <v>8</v>
      </c>
    </row>
    <row r="724" spans="1:15" x14ac:dyDescent="0.35">
      <c r="A724" s="5" t="str">
        <f>Loads[[#This Row],[Date]]&amp;Loads[[#This Row],[Product]]</f>
        <v>44199Product1</v>
      </c>
      <c r="B724" s="5">
        <f>COUNTIF($A$1:A724,Loads[[#This Row],[Load]])</f>
        <v>1</v>
      </c>
      <c r="C724" s="3" t="str">
        <f>Loads[[#This Row],[Load]]&amp;Loads[[#This Row],[Count]]</f>
        <v>44199Product11</v>
      </c>
      <c r="D724" s="90">
        <v>44199</v>
      </c>
      <c r="E724" s="143">
        <v>8.5416666666666655E-2</v>
      </c>
      <c r="F724" s="1" t="s">
        <v>9</v>
      </c>
      <c r="G724" s="2" t="s">
        <v>12</v>
      </c>
      <c r="H724" s="2" t="s">
        <v>42</v>
      </c>
      <c r="I724" s="1" t="s">
        <v>11</v>
      </c>
      <c r="J724" s="1" t="s">
        <v>8</v>
      </c>
      <c r="K724" s="89">
        <v>22080</v>
      </c>
      <c r="L724" s="3">
        <v>7.83</v>
      </c>
      <c r="M724" s="3">
        <v>21.15</v>
      </c>
      <c r="N724" s="3" t="s">
        <v>8</v>
      </c>
      <c r="O724" s="3" t="s">
        <v>8</v>
      </c>
    </row>
    <row r="725" spans="1:15" x14ac:dyDescent="0.35">
      <c r="A725" s="5" t="str">
        <f>Loads[[#This Row],[Date]]&amp;Loads[[#This Row],[Product]]</f>
        <v>44199Product1</v>
      </c>
      <c r="B725" s="5">
        <f>COUNTIF($A$1:A725,Loads[[#This Row],[Load]])</f>
        <v>2</v>
      </c>
      <c r="C725" s="3" t="str">
        <f>Loads[[#This Row],[Load]]&amp;Loads[[#This Row],[Count]]</f>
        <v>44199Product12</v>
      </c>
      <c r="D725" s="90">
        <v>44199</v>
      </c>
      <c r="E725" s="143">
        <v>8.6111111111111124E-2</v>
      </c>
      <c r="F725" s="1" t="s">
        <v>9</v>
      </c>
      <c r="G725" s="2" t="s">
        <v>12</v>
      </c>
      <c r="H725" s="2" t="s">
        <v>42</v>
      </c>
      <c r="I725" s="1" t="s">
        <v>11</v>
      </c>
      <c r="J725" s="1" t="s">
        <v>8</v>
      </c>
      <c r="K725" s="89">
        <v>19360</v>
      </c>
      <c r="L725" s="3">
        <v>7.16</v>
      </c>
      <c r="M725" s="3">
        <v>20.71</v>
      </c>
      <c r="N725" s="3" t="s">
        <v>8</v>
      </c>
      <c r="O725" s="3" t="s">
        <v>8</v>
      </c>
    </row>
    <row r="726" spans="1:15" x14ac:dyDescent="0.35">
      <c r="A726" s="5" t="str">
        <f>Loads[[#This Row],[Date]]&amp;Loads[[#This Row],[Product]]</f>
        <v>44199Product1</v>
      </c>
      <c r="B726" s="5">
        <f>COUNTIF($A$1:A726,Loads[[#This Row],[Load]])</f>
        <v>3</v>
      </c>
      <c r="C726" s="3" t="str">
        <f>Loads[[#This Row],[Load]]&amp;Loads[[#This Row],[Count]]</f>
        <v>44199Product13</v>
      </c>
      <c r="D726" s="90">
        <v>44199</v>
      </c>
      <c r="E726" s="143">
        <v>8.6111111111111124E-2</v>
      </c>
      <c r="F726" s="1" t="s">
        <v>9</v>
      </c>
      <c r="G726" s="2" t="s">
        <v>12</v>
      </c>
      <c r="H726" s="2" t="s">
        <v>42</v>
      </c>
      <c r="I726" s="1" t="s">
        <v>11</v>
      </c>
      <c r="J726" s="1" t="s">
        <v>8</v>
      </c>
      <c r="K726" s="89">
        <v>19840</v>
      </c>
      <c r="L726" s="3">
        <v>7.92</v>
      </c>
      <c r="M726" s="3">
        <v>21.29</v>
      </c>
      <c r="N726" s="3" t="s">
        <v>8</v>
      </c>
      <c r="O726" s="3" t="s">
        <v>8</v>
      </c>
    </row>
    <row r="727" spans="1:15" x14ac:dyDescent="0.35">
      <c r="A727" s="5" t="str">
        <f>Loads[[#This Row],[Date]]&amp;Loads[[#This Row],[Product]]</f>
        <v>44199Product1</v>
      </c>
      <c r="B727" s="5">
        <f>COUNTIF($A$1:A727,Loads[[#This Row],[Load]])</f>
        <v>4</v>
      </c>
      <c r="C727" s="3" t="str">
        <f>Loads[[#This Row],[Load]]&amp;Loads[[#This Row],[Count]]</f>
        <v>44199Product14</v>
      </c>
      <c r="D727" s="90">
        <v>44199</v>
      </c>
      <c r="E727" s="143">
        <v>8.6805555555555566E-2</v>
      </c>
      <c r="F727" s="1" t="s">
        <v>9</v>
      </c>
      <c r="G727" s="2" t="s">
        <v>12</v>
      </c>
      <c r="H727" s="2" t="s">
        <v>42</v>
      </c>
      <c r="I727" s="1" t="s">
        <v>11</v>
      </c>
      <c r="J727" s="1" t="s">
        <v>8</v>
      </c>
      <c r="K727" s="89">
        <v>13560</v>
      </c>
      <c r="L727" s="3">
        <v>5.83</v>
      </c>
      <c r="M727" s="3">
        <v>22.43</v>
      </c>
      <c r="N727" s="3" t="s">
        <v>8</v>
      </c>
      <c r="O727" s="3" t="s">
        <v>8</v>
      </c>
    </row>
    <row r="728" spans="1:15" x14ac:dyDescent="0.35">
      <c r="A728" s="5" t="str">
        <f>Loads[[#This Row],[Date]]&amp;Loads[[#This Row],[Product]]</f>
        <v>44199Product1</v>
      </c>
      <c r="B728" s="5">
        <f>COUNTIF($A$1:A728,Loads[[#This Row],[Load]])</f>
        <v>5</v>
      </c>
      <c r="C728" s="3" t="str">
        <f>Loads[[#This Row],[Load]]&amp;Loads[[#This Row],[Count]]</f>
        <v>44199Product15</v>
      </c>
      <c r="D728" s="90">
        <v>44199</v>
      </c>
      <c r="E728" s="143">
        <v>8.6805555555555566E-2</v>
      </c>
      <c r="F728" s="1" t="s">
        <v>9</v>
      </c>
      <c r="G728" s="2" t="s">
        <v>12</v>
      </c>
      <c r="H728" s="2" t="s">
        <v>42</v>
      </c>
      <c r="I728" s="1" t="s">
        <v>11</v>
      </c>
      <c r="J728" s="1" t="s">
        <v>8</v>
      </c>
      <c r="K728" s="89">
        <v>19220</v>
      </c>
      <c r="L728" s="3">
        <v>5.71</v>
      </c>
      <c r="M728" s="3">
        <v>21.64</v>
      </c>
      <c r="N728" s="3" t="s">
        <v>8</v>
      </c>
      <c r="O728" s="3" t="s">
        <v>8</v>
      </c>
    </row>
    <row r="729" spans="1:15" x14ac:dyDescent="0.35">
      <c r="A729" s="5" t="str">
        <f>Loads[[#This Row],[Date]]&amp;Loads[[#This Row],[Product]]</f>
        <v>44199Product1</v>
      </c>
      <c r="B729" s="5">
        <f>COUNTIF($A$1:A729,Loads[[#This Row],[Load]])</f>
        <v>6</v>
      </c>
      <c r="C729" s="3" t="str">
        <f>Loads[[#This Row],[Load]]&amp;Loads[[#This Row],[Count]]</f>
        <v>44199Product16</v>
      </c>
      <c r="D729" s="90">
        <v>44199</v>
      </c>
      <c r="E729" s="143">
        <v>8.7500000000000008E-2</v>
      </c>
      <c r="F729" s="1" t="s">
        <v>9</v>
      </c>
      <c r="G729" s="2" t="s">
        <v>12</v>
      </c>
      <c r="H729" s="2" t="s">
        <v>42</v>
      </c>
      <c r="I729" s="1" t="s">
        <v>11</v>
      </c>
      <c r="J729" s="1" t="s">
        <v>8</v>
      </c>
      <c r="K729" s="89">
        <v>20020</v>
      </c>
      <c r="L729" s="3">
        <v>7.9</v>
      </c>
      <c r="M729" s="3">
        <v>19.96</v>
      </c>
      <c r="N729" s="3" t="s">
        <v>8</v>
      </c>
      <c r="O729" s="3" t="s">
        <v>8</v>
      </c>
    </row>
    <row r="730" spans="1:15" x14ac:dyDescent="0.35">
      <c r="A730" s="5" t="str">
        <f>Loads[[#This Row],[Date]]&amp;Loads[[#This Row],[Product]]</f>
        <v>44199Product1</v>
      </c>
      <c r="B730" s="5">
        <f>COUNTIF($A$1:A730,Loads[[#This Row],[Load]])</f>
        <v>7</v>
      </c>
      <c r="C730" s="3" t="str">
        <f>Loads[[#This Row],[Load]]&amp;Loads[[#This Row],[Count]]</f>
        <v>44199Product17</v>
      </c>
      <c r="D730" s="90">
        <v>44199</v>
      </c>
      <c r="E730" s="143">
        <v>8.819444444444445E-2</v>
      </c>
      <c r="F730" s="1" t="s">
        <v>9</v>
      </c>
      <c r="G730" s="2" t="s">
        <v>12</v>
      </c>
      <c r="H730" s="2" t="s">
        <v>42</v>
      </c>
      <c r="I730" s="1" t="s">
        <v>11</v>
      </c>
      <c r="J730" s="1" t="s">
        <v>8</v>
      </c>
      <c r="K730" s="89">
        <v>18160</v>
      </c>
      <c r="L730" s="3">
        <v>8.06</v>
      </c>
      <c r="M730" s="3">
        <v>21.47</v>
      </c>
      <c r="N730" s="3" t="s">
        <v>8</v>
      </c>
      <c r="O730" s="3" t="s">
        <v>8</v>
      </c>
    </row>
    <row r="731" spans="1:15" x14ac:dyDescent="0.35">
      <c r="A731" s="5" t="str">
        <f>Loads[[#This Row],[Date]]&amp;Loads[[#This Row],[Product]]</f>
        <v>44199Product1</v>
      </c>
      <c r="B731" s="5">
        <f>COUNTIF($A$1:A731,Loads[[#This Row],[Load]])</f>
        <v>8</v>
      </c>
      <c r="C731" s="3" t="str">
        <f>Loads[[#This Row],[Load]]&amp;Loads[[#This Row],[Count]]</f>
        <v>44199Product18</v>
      </c>
      <c r="D731" s="90">
        <v>44199</v>
      </c>
      <c r="E731" s="143">
        <v>8.819444444444445E-2</v>
      </c>
      <c r="F731" s="1" t="s">
        <v>9</v>
      </c>
      <c r="G731" s="2" t="s">
        <v>12</v>
      </c>
      <c r="H731" s="2" t="s">
        <v>42</v>
      </c>
      <c r="I731" s="1" t="s">
        <v>11</v>
      </c>
      <c r="J731" s="1" t="s">
        <v>8</v>
      </c>
      <c r="K731" s="89">
        <v>20000</v>
      </c>
      <c r="L731" s="3">
        <v>7.49</v>
      </c>
      <c r="M731" s="3">
        <v>21.49</v>
      </c>
      <c r="N731" s="3" t="s">
        <v>8</v>
      </c>
      <c r="O731" s="3" t="s">
        <v>8</v>
      </c>
    </row>
    <row r="732" spans="1:15" x14ac:dyDescent="0.35">
      <c r="A732" s="5" t="str">
        <f>Loads[[#This Row],[Date]]&amp;Loads[[#This Row],[Product]]</f>
        <v>44199Product1</v>
      </c>
      <c r="B732" s="5">
        <f>COUNTIF($A$1:A732,Loads[[#This Row],[Load]])</f>
        <v>9</v>
      </c>
      <c r="C732" s="3" t="str">
        <f>Loads[[#This Row],[Load]]&amp;Loads[[#This Row],[Count]]</f>
        <v>44199Product19</v>
      </c>
      <c r="D732" s="90">
        <v>44199</v>
      </c>
      <c r="E732" s="143">
        <v>8.8888888888888892E-2</v>
      </c>
      <c r="F732" s="1" t="s">
        <v>9</v>
      </c>
      <c r="G732" s="2" t="s">
        <v>12</v>
      </c>
      <c r="H732" s="2" t="s">
        <v>42</v>
      </c>
      <c r="I732" s="1" t="s">
        <v>11</v>
      </c>
      <c r="J732" s="1" t="s">
        <v>8</v>
      </c>
      <c r="K732" s="89">
        <v>20800</v>
      </c>
      <c r="L732" s="3">
        <v>8.59</v>
      </c>
      <c r="M732" s="3">
        <v>21.32</v>
      </c>
      <c r="N732" s="3" t="s">
        <v>8</v>
      </c>
      <c r="O732" s="3" t="s">
        <v>8</v>
      </c>
    </row>
    <row r="733" spans="1:15" x14ac:dyDescent="0.35">
      <c r="A733" s="5" t="str">
        <f>Loads[[#This Row],[Date]]&amp;Loads[[#This Row],[Product]]</f>
        <v>44199Product1</v>
      </c>
      <c r="B733" s="5">
        <f>COUNTIF($A$1:A733,Loads[[#This Row],[Load]])</f>
        <v>10</v>
      </c>
      <c r="C733" s="3" t="str">
        <f>Loads[[#This Row],[Load]]&amp;Loads[[#This Row],[Count]]</f>
        <v>44199Product110</v>
      </c>
      <c r="D733" s="90">
        <v>44199</v>
      </c>
      <c r="E733" s="143">
        <v>8.8888888888888892E-2</v>
      </c>
      <c r="F733" s="1" t="s">
        <v>9</v>
      </c>
      <c r="G733" s="2" t="s">
        <v>12</v>
      </c>
      <c r="H733" s="2" t="s">
        <v>42</v>
      </c>
      <c r="I733" s="1" t="s">
        <v>11</v>
      </c>
      <c r="J733" s="1" t="s">
        <v>8</v>
      </c>
      <c r="K733" s="89">
        <v>21900</v>
      </c>
      <c r="L733" s="3">
        <v>8.8800000000000008</v>
      </c>
      <c r="M733" s="3">
        <v>21.14</v>
      </c>
      <c r="N733" s="3" t="s">
        <v>8</v>
      </c>
      <c r="O733" s="3" t="s">
        <v>8</v>
      </c>
    </row>
    <row r="734" spans="1:15" x14ac:dyDescent="0.35">
      <c r="A734" s="5" t="str">
        <f>Loads[[#This Row],[Date]]&amp;Loads[[#This Row],[Product]]</f>
        <v>44199Product1</v>
      </c>
      <c r="B734" s="5">
        <f>COUNTIF($A$1:A734,Loads[[#This Row],[Load]])</f>
        <v>11</v>
      </c>
      <c r="C734" s="3" t="str">
        <f>Loads[[#This Row],[Load]]&amp;Loads[[#This Row],[Count]]</f>
        <v>44199Product111</v>
      </c>
      <c r="D734" s="90">
        <v>44199</v>
      </c>
      <c r="E734" s="143">
        <v>8.9583333333333334E-2</v>
      </c>
      <c r="F734" s="1" t="s">
        <v>9</v>
      </c>
      <c r="G734" s="2" t="s">
        <v>12</v>
      </c>
      <c r="H734" s="2" t="s">
        <v>42</v>
      </c>
      <c r="I734" s="1" t="s">
        <v>11</v>
      </c>
      <c r="J734" s="1" t="s">
        <v>8</v>
      </c>
      <c r="K734" s="89">
        <v>21700</v>
      </c>
      <c r="L734" s="3">
        <v>8.0299999999999994</v>
      </c>
      <c r="M734" s="3">
        <v>20.64</v>
      </c>
      <c r="N734" s="3" t="s">
        <v>8</v>
      </c>
      <c r="O734" s="3" t="s">
        <v>8</v>
      </c>
    </row>
    <row r="735" spans="1:15" x14ac:dyDescent="0.35">
      <c r="A735" s="5" t="str">
        <f>Loads[[#This Row],[Date]]&amp;Loads[[#This Row],[Product]]</f>
        <v>44199Product1</v>
      </c>
      <c r="B735" s="5">
        <f>COUNTIF($A$1:A735,Loads[[#This Row],[Load]])</f>
        <v>12</v>
      </c>
      <c r="C735" s="3" t="str">
        <f>Loads[[#This Row],[Load]]&amp;Loads[[#This Row],[Count]]</f>
        <v>44199Product112</v>
      </c>
      <c r="D735" s="90">
        <v>44199</v>
      </c>
      <c r="E735" s="143">
        <v>9.0277777777777776E-2</v>
      </c>
      <c r="F735" s="1" t="s">
        <v>9</v>
      </c>
      <c r="G735" s="2" t="s">
        <v>12</v>
      </c>
      <c r="H735" s="2" t="s">
        <v>42</v>
      </c>
      <c r="I735" s="1" t="s">
        <v>11</v>
      </c>
      <c r="J735" s="1" t="s">
        <v>8</v>
      </c>
      <c r="K735" s="89">
        <v>19380</v>
      </c>
      <c r="L735" s="3">
        <v>8.39</v>
      </c>
      <c r="M735" s="3">
        <v>20.89</v>
      </c>
      <c r="N735" s="3" t="s">
        <v>8</v>
      </c>
      <c r="O735" s="3" t="s">
        <v>8</v>
      </c>
    </row>
    <row r="736" spans="1:15" x14ac:dyDescent="0.35">
      <c r="A736" s="5" t="str">
        <f>Loads[[#This Row],[Date]]&amp;Loads[[#This Row],[Product]]</f>
        <v>44199Product1</v>
      </c>
      <c r="B736" s="5">
        <f>COUNTIF($A$1:A736,Loads[[#This Row],[Load]])</f>
        <v>13</v>
      </c>
      <c r="C736" s="3" t="str">
        <f>Loads[[#This Row],[Load]]&amp;Loads[[#This Row],[Count]]</f>
        <v>44199Product113</v>
      </c>
      <c r="D736" s="90">
        <v>44199</v>
      </c>
      <c r="E736" s="143">
        <v>9.0277777777777776E-2</v>
      </c>
      <c r="F736" s="1" t="s">
        <v>9</v>
      </c>
      <c r="G736" s="2" t="s">
        <v>12</v>
      </c>
      <c r="H736" s="2" t="s">
        <v>42</v>
      </c>
      <c r="I736" s="1" t="s">
        <v>11</v>
      </c>
      <c r="J736" s="1" t="s">
        <v>8</v>
      </c>
      <c r="K736" s="89">
        <v>19400</v>
      </c>
      <c r="L736" s="3">
        <v>8.7799999999999994</v>
      </c>
      <c r="M736" s="3">
        <v>21.61</v>
      </c>
      <c r="N736" s="3" t="s">
        <v>8</v>
      </c>
      <c r="O736" s="3" t="s">
        <v>8</v>
      </c>
    </row>
    <row r="737" spans="1:15" x14ac:dyDescent="0.35">
      <c r="A737" s="5" t="str">
        <f>Loads[[#This Row],[Date]]&amp;Loads[[#This Row],[Product]]</f>
        <v>44199Product1</v>
      </c>
      <c r="B737" s="5">
        <f>COUNTIF($A$1:A737,Loads[[#This Row],[Load]])</f>
        <v>14</v>
      </c>
      <c r="C737" s="3" t="str">
        <f>Loads[[#This Row],[Load]]&amp;Loads[[#This Row],[Count]]</f>
        <v>44199Product114</v>
      </c>
      <c r="D737" s="90">
        <v>44199</v>
      </c>
      <c r="E737" s="143">
        <v>9.0972222222222218E-2</v>
      </c>
      <c r="F737" s="1" t="s">
        <v>9</v>
      </c>
      <c r="G737" s="2" t="s">
        <v>12</v>
      </c>
      <c r="H737" s="2" t="s">
        <v>42</v>
      </c>
      <c r="I737" s="1" t="s">
        <v>10</v>
      </c>
      <c r="J737" s="1">
        <v>750</v>
      </c>
      <c r="K737" s="89">
        <v>29680</v>
      </c>
      <c r="L737" s="3">
        <v>8.2100000000000009</v>
      </c>
      <c r="M737" s="3">
        <v>21.71</v>
      </c>
      <c r="N737" s="3" t="s">
        <v>8</v>
      </c>
      <c r="O737" s="3" t="s">
        <v>8</v>
      </c>
    </row>
    <row r="738" spans="1:15" x14ac:dyDescent="0.35">
      <c r="A738" s="5" t="str">
        <f>Loads[[#This Row],[Date]]&amp;Loads[[#This Row],[Product]]</f>
        <v>44200Product1</v>
      </c>
      <c r="B738" s="5">
        <f>COUNTIF($A$1:A738,Loads[[#This Row],[Load]])</f>
        <v>1</v>
      </c>
      <c r="C738" s="3" t="str">
        <f>Loads[[#This Row],[Load]]&amp;Loads[[#This Row],[Count]]</f>
        <v>44200Product11</v>
      </c>
      <c r="D738" s="90">
        <v>44200</v>
      </c>
      <c r="E738" s="143">
        <v>0.77430555555555547</v>
      </c>
      <c r="F738" s="1" t="s">
        <v>9</v>
      </c>
      <c r="G738" s="2" t="s">
        <v>12</v>
      </c>
      <c r="H738" s="2" t="s">
        <v>42</v>
      </c>
      <c r="I738" s="1" t="s">
        <v>11</v>
      </c>
      <c r="J738" s="1" t="s">
        <v>8</v>
      </c>
      <c r="K738" s="89">
        <v>23120</v>
      </c>
      <c r="L738" s="3">
        <v>8.58</v>
      </c>
      <c r="M738" s="3">
        <v>22.45</v>
      </c>
      <c r="N738" s="3" t="s">
        <v>8</v>
      </c>
      <c r="O738" s="3" t="s">
        <v>8</v>
      </c>
    </row>
    <row r="739" spans="1:15" x14ac:dyDescent="0.35">
      <c r="A739" s="5" t="str">
        <f>Loads[[#This Row],[Date]]&amp;Loads[[#This Row],[Product]]</f>
        <v>44200Product1</v>
      </c>
      <c r="B739" s="5">
        <f>COUNTIF($A$1:A739,Loads[[#This Row],[Load]])</f>
        <v>2</v>
      </c>
      <c r="C739" s="3" t="str">
        <f>Loads[[#This Row],[Load]]&amp;Loads[[#This Row],[Count]]</f>
        <v>44200Product12</v>
      </c>
      <c r="D739" s="90">
        <v>44200</v>
      </c>
      <c r="E739" s="143">
        <v>0.77500000000000002</v>
      </c>
      <c r="F739" s="1" t="s">
        <v>9</v>
      </c>
      <c r="G739" s="2" t="s">
        <v>12</v>
      </c>
      <c r="H739" s="2" t="s">
        <v>42</v>
      </c>
      <c r="I739" s="1" t="s">
        <v>11</v>
      </c>
      <c r="J739" s="1" t="s">
        <v>8</v>
      </c>
      <c r="K739" s="89">
        <v>18980</v>
      </c>
      <c r="L739" s="3">
        <v>8.3800000000000008</v>
      </c>
      <c r="M739" s="3">
        <v>22.23</v>
      </c>
      <c r="N739" s="3" t="s">
        <v>8</v>
      </c>
      <c r="O739" s="3" t="s">
        <v>8</v>
      </c>
    </row>
    <row r="740" spans="1:15" x14ac:dyDescent="0.35">
      <c r="A740" s="5" t="str">
        <f>Loads[[#This Row],[Date]]&amp;Loads[[#This Row],[Product]]</f>
        <v>44200Product1</v>
      </c>
      <c r="B740" s="5">
        <f>COUNTIF($A$1:A740,Loads[[#This Row],[Load]])</f>
        <v>3</v>
      </c>
      <c r="C740" s="3" t="str">
        <f>Loads[[#This Row],[Load]]&amp;Loads[[#This Row],[Count]]</f>
        <v>44200Product13</v>
      </c>
      <c r="D740" s="90">
        <v>44200</v>
      </c>
      <c r="E740" s="143">
        <v>0.77569444444444446</v>
      </c>
      <c r="F740" s="1" t="s">
        <v>9</v>
      </c>
      <c r="G740" s="2" t="s">
        <v>12</v>
      </c>
      <c r="H740" s="2" t="s">
        <v>42</v>
      </c>
      <c r="I740" s="1" t="s">
        <v>11</v>
      </c>
      <c r="J740" s="1" t="s">
        <v>8</v>
      </c>
      <c r="K740" s="89">
        <v>25900</v>
      </c>
      <c r="L740" s="3">
        <v>9.49</v>
      </c>
      <c r="M740" s="3">
        <v>21.83</v>
      </c>
      <c r="N740" s="3" t="s">
        <v>8</v>
      </c>
      <c r="O740" s="3" t="s">
        <v>8</v>
      </c>
    </row>
    <row r="741" spans="1:15" x14ac:dyDescent="0.35">
      <c r="A741" s="5" t="str">
        <f>Loads[[#This Row],[Date]]&amp;Loads[[#This Row],[Product]]</f>
        <v>44200Product1</v>
      </c>
      <c r="B741" s="5">
        <f>COUNTIF($A$1:A741,Loads[[#This Row],[Load]])</f>
        <v>4</v>
      </c>
      <c r="C741" s="3" t="str">
        <f>Loads[[#This Row],[Load]]&amp;Loads[[#This Row],[Count]]</f>
        <v>44200Product14</v>
      </c>
      <c r="D741" s="90">
        <v>44200</v>
      </c>
      <c r="E741" s="143">
        <v>0.77638888888888891</v>
      </c>
      <c r="F741" s="1" t="s">
        <v>9</v>
      </c>
      <c r="G741" s="2" t="s">
        <v>12</v>
      </c>
      <c r="H741" s="2" t="s">
        <v>42</v>
      </c>
      <c r="I741" s="1" t="s">
        <v>11</v>
      </c>
      <c r="J741" s="1" t="s">
        <v>8</v>
      </c>
      <c r="K741" s="89">
        <v>20500</v>
      </c>
      <c r="L741" s="3">
        <v>9.32</v>
      </c>
      <c r="M741" s="3">
        <v>21.47</v>
      </c>
      <c r="N741" s="3" t="s">
        <v>8</v>
      </c>
      <c r="O741" s="3" t="s">
        <v>8</v>
      </c>
    </row>
    <row r="742" spans="1:15" x14ac:dyDescent="0.35">
      <c r="A742" s="5" t="str">
        <f>Loads[[#This Row],[Date]]&amp;Loads[[#This Row],[Product]]</f>
        <v>44200Product1</v>
      </c>
      <c r="B742" s="5">
        <f>COUNTIF($A$1:A742,Loads[[#This Row],[Load]])</f>
        <v>5</v>
      </c>
      <c r="C742" s="3" t="str">
        <f>Loads[[#This Row],[Load]]&amp;Loads[[#This Row],[Count]]</f>
        <v>44200Product15</v>
      </c>
      <c r="D742" s="90">
        <v>44200</v>
      </c>
      <c r="E742" s="143">
        <v>0.77847222222222223</v>
      </c>
      <c r="F742" s="1" t="s">
        <v>9</v>
      </c>
      <c r="G742" s="2" t="s">
        <v>12</v>
      </c>
      <c r="H742" s="2" t="s">
        <v>42</v>
      </c>
      <c r="I742" s="1" t="s">
        <v>11</v>
      </c>
      <c r="J742" s="1" t="s">
        <v>8</v>
      </c>
      <c r="K742" s="89">
        <v>22580</v>
      </c>
      <c r="L742" s="3">
        <v>8.7799999999999994</v>
      </c>
      <c r="M742" s="3">
        <v>21.92</v>
      </c>
      <c r="N742" s="3" t="s">
        <v>8</v>
      </c>
      <c r="O742" s="3" t="s">
        <v>8</v>
      </c>
    </row>
    <row r="743" spans="1:15" x14ac:dyDescent="0.35">
      <c r="A743" s="5" t="str">
        <f>Loads[[#This Row],[Date]]&amp;Loads[[#This Row],[Product]]</f>
        <v>44200Product1</v>
      </c>
      <c r="B743" s="5">
        <f>COUNTIF($A$1:A743,Loads[[#This Row],[Load]])</f>
        <v>6</v>
      </c>
      <c r="C743" s="3" t="str">
        <f>Loads[[#This Row],[Load]]&amp;Loads[[#This Row],[Count]]</f>
        <v>44200Product16</v>
      </c>
      <c r="D743" s="90">
        <v>44200</v>
      </c>
      <c r="E743" s="143">
        <v>0.77916666666666667</v>
      </c>
      <c r="F743" s="1" t="s">
        <v>9</v>
      </c>
      <c r="G743" s="2" t="s">
        <v>12</v>
      </c>
      <c r="H743" s="2" t="s">
        <v>42</v>
      </c>
      <c r="I743" s="1" t="s">
        <v>11</v>
      </c>
      <c r="J743" s="1" t="s">
        <v>8</v>
      </c>
      <c r="K743" s="89">
        <v>29640</v>
      </c>
      <c r="L743" s="3">
        <v>8.6199999999999992</v>
      </c>
      <c r="M743" s="3">
        <v>21.31</v>
      </c>
      <c r="N743" s="3" t="s">
        <v>8</v>
      </c>
      <c r="O743" s="3" t="s">
        <v>8</v>
      </c>
    </row>
    <row r="744" spans="1:15" x14ac:dyDescent="0.35">
      <c r="A744" s="5" t="str">
        <f>Loads[[#This Row],[Date]]&amp;Loads[[#This Row],[Product]]</f>
        <v>44200Product1</v>
      </c>
      <c r="B744" s="5">
        <f>COUNTIF($A$1:A744,Loads[[#This Row],[Load]])</f>
        <v>7</v>
      </c>
      <c r="C744" s="3" t="str">
        <f>Loads[[#This Row],[Load]]&amp;Loads[[#This Row],[Count]]</f>
        <v>44200Product17</v>
      </c>
      <c r="D744" s="90">
        <v>44200</v>
      </c>
      <c r="E744" s="143">
        <v>0.78055555555555556</v>
      </c>
      <c r="F744" s="1" t="s">
        <v>9</v>
      </c>
      <c r="G744" s="2" t="s">
        <v>12</v>
      </c>
      <c r="H744" s="2" t="s">
        <v>42</v>
      </c>
      <c r="I744" s="1" t="s">
        <v>11</v>
      </c>
      <c r="J744" s="1" t="s">
        <v>8</v>
      </c>
      <c r="K744" s="89">
        <v>19440</v>
      </c>
      <c r="L744" s="3">
        <v>7.74</v>
      </c>
      <c r="M744" s="3">
        <v>22.04</v>
      </c>
      <c r="N744" s="3" t="s">
        <v>8</v>
      </c>
      <c r="O744" s="3" t="s">
        <v>8</v>
      </c>
    </row>
    <row r="745" spans="1:15" x14ac:dyDescent="0.35">
      <c r="A745" s="5" t="str">
        <f>Loads[[#This Row],[Date]]&amp;Loads[[#This Row],[Product]]</f>
        <v>44200Product1</v>
      </c>
      <c r="B745" s="5">
        <f>COUNTIF($A$1:A745,Loads[[#This Row],[Load]])</f>
        <v>8</v>
      </c>
      <c r="C745" s="3" t="str">
        <f>Loads[[#This Row],[Load]]&amp;Loads[[#This Row],[Count]]</f>
        <v>44200Product18</v>
      </c>
      <c r="D745" s="90">
        <v>44200</v>
      </c>
      <c r="E745" s="143">
        <v>0.78194444444444444</v>
      </c>
      <c r="F745" s="1" t="s">
        <v>9</v>
      </c>
      <c r="G745" s="2" t="s">
        <v>12</v>
      </c>
      <c r="H745" s="2" t="s">
        <v>42</v>
      </c>
      <c r="I745" s="1" t="s">
        <v>11</v>
      </c>
      <c r="J745" s="1" t="s">
        <v>8</v>
      </c>
      <c r="K745" s="89">
        <v>30380</v>
      </c>
      <c r="L745" s="3">
        <v>8.59</v>
      </c>
      <c r="M745" s="3">
        <v>23.38</v>
      </c>
      <c r="N745" s="3" t="s">
        <v>8</v>
      </c>
      <c r="O745" s="3" t="s">
        <v>8</v>
      </c>
    </row>
    <row r="746" spans="1:15" x14ac:dyDescent="0.35">
      <c r="A746" s="5" t="str">
        <f>Loads[[#This Row],[Date]]&amp;Loads[[#This Row],[Product]]</f>
        <v>44201Product1</v>
      </c>
      <c r="B746" s="5">
        <f>COUNTIF($A$1:A746,Loads[[#This Row],[Load]])</f>
        <v>1</v>
      </c>
      <c r="C746" s="3" t="str">
        <f>Loads[[#This Row],[Load]]&amp;Loads[[#This Row],[Count]]</f>
        <v>44201Product11</v>
      </c>
      <c r="D746" s="90">
        <v>44201</v>
      </c>
      <c r="E746" s="143">
        <v>4.8611111111111112E-2</v>
      </c>
      <c r="F746" s="1" t="s">
        <v>9</v>
      </c>
      <c r="G746" s="2" t="s">
        <v>12</v>
      </c>
      <c r="H746" s="2" t="s">
        <v>42</v>
      </c>
      <c r="I746" s="1" t="s">
        <v>10</v>
      </c>
      <c r="J746" s="1">
        <v>475</v>
      </c>
      <c r="K746" s="89">
        <v>19200</v>
      </c>
      <c r="L746" s="3">
        <v>7.18</v>
      </c>
      <c r="M746" s="3">
        <v>20.98</v>
      </c>
      <c r="N746" s="3" t="s">
        <v>8</v>
      </c>
      <c r="O746" s="3" t="s">
        <v>8</v>
      </c>
    </row>
    <row r="747" spans="1:15" x14ac:dyDescent="0.35">
      <c r="A747" s="5" t="str">
        <f>Loads[[#This Row],[Date]]&amp;Loads[[#This Row],[Product]]</f>
        <v>44201Product1</v>
      </c>
      <c r="B747" s="5">
        <f>COUNTIF($A$1:A747,Loads[[#This Row],[Load]])</f>
        <v>2</v>
      </c>
      <c r="C747" s="3" t="str">
        <f>Loads[[#This Row],[Load]]&amp;Loads[[#This Row],[Count]]</f>
        <v>44201Product12</v>
      </c>
      <c r="D747" s="90">
        <v>44201</v>
      </c>
      <c r="E747" s="143">
        <v>8.3333333333333329E-2</v>
      </c>
      <c r="F747" s="1" t="s">
        <v>9</v>
      </c>
      <c r="G747" s="2" t="s">
        <v>12</v>
      </c>
      <c r="H747" s="2" t="s">
        <v>42</v>
      </c>
      <c r="I747" s="1" t="s">
        <v>10</v>
      </c>
      <c r="J747" s="1">
        <v>350</v>
      </c>
      <c r="K747" s="89">
        <v>14120</v>
      </c>
      <c r="L747" s="3">
        <v>9.86</v>
      </c>
      <c r="M747" s="3">
        <v>22.62</v>
      </c>
      <c r="N747" s="3" t="s">
        <v>8</v>
      </c>
      <c r="O747" s="3" t="s">
        <v>8</v>
      </c>
    </row>
    <row r="748" spans="1:15" x14ac:dyDescent="0.35">
      <c r="A748" s="5" t="str">
        <f>Loads[[#This Row],[Date]]&amp;Loads[[#This Row],[Product]]</f>
        <v>44201Product1</v>
      </c>
      <c r="B748" s="5">
        <f>COUNTIF($A$1:A748,Loads[[#This Row],[Load]])</f>
        <v>3</v>
      </c>
      <c r="C748" s="3" t="str">
        <f>Loads[[#This Row],[Load]]&amp;Loads[[#This Row],[Count]]</f>
        <v>44201Product13</v>
      </c>
      <c r="D748" s="90">
        <v>44201</v>
      </c>
      <c r="E748" s="143">
        <v>0.11458333333333333</v>
      </c>
      <c r="F748" s="1" t="s">
        <v>9</v>
      </c>
      <c r="G748" s="2" t="s">
        <v>12</v>
      </c>
      <c r="H748" s="2" t="s">
        <v>42</v>
      </c>
      <c r="I748" s="1" t="s">
        <v>11</v>
      </c>
      <c r="J748" s="1" t="s">
        <v>8</v>
      </c>
      <c r="K748" s="89">
        <v>20560</v>
      </c>
      <c r="L748" s="3">
        <v>9.6999999999999993</v>
      </c>
      <c r="M748" s="3">
        <v>22.7</v>
      </c>
      <c r="N748" s="3" t="s">
        <v>8</v>
      </c>
      <c r="O748" s="3" t="s">
        <v>8</v>
      </c>
    </row>
    <row r="749" spans="1:15" x14ac:dyDescent="0.35">
      <c r="A749" s="5" t="str">
        <f>Loads[[#This Row],[Date]]&amp;Loads[[#This Row],[Product]]</f>
        <v>44201Product1</v>
      </c>
      <c r="B749" s="5">
        <f>COUNTIF($A$1:A749,Loads[[#This Row],[Load]])</f>
        <v>4</v>
      </c>
      <c r="C749" s="3" t="str">
        <f>Loads[[#This Row],[Load]]&amp;Loads[[#This Row],[Count]]</f>
        <v>44201Product14</v>
      </c>
      <c r="D749" s="90">
        <v>44201</v>
      </c>
      <c r="E749" s="143">
        <v>0.1388888888888889</v>
      </c>
      <c r="F749" s="1" t="s">
        <v>9</v>
      </c>
      <c r="G749" s="2" t="s">
        <v>12</v>
      </c>
      <c r="H749" s="2" t="s">
        <v>42</v>
      </c>
      <c r="I749" s="1" t="s">
        <v>11</v>
      </c>
      <c r="J749" s="1" t="s">
        <v>8</v>
      </c>
      <c r="K749" s="89">
        <v>20900</v>
      </c>
      <c r="L749" s="3">
        <v>9.76</v>
      </c>
      <c r="M749" s="3">
        <v>22.57</v>
      </c>
      <c r="N749" s="3" t="s">
        <v>8</v>
      </c>
      <c r="O749" s="3" t="s">
        <v>8</v>
      </c>
    </row>
    <row r="750" spans="1:15" x14ac:dyDescent="0.35">
      <c r="A750" s="5" t="str">
        <f>Loads[[#This Row],[Date]]&amp;Loads[[#This Row],[Product]]</f>
        <v>44201Product1</v>
      </c>
      <c r="B750" s="5">
        <f>COUNTIF($A$1:A750,Loads[[#This Row],[Load]])</f>
        <v>5</v>
      </c>
      <c r="C750" s="3" t="str">
        <f>Loads[[#This Row],[Load]]&amp;Loads[[#This Row],[Count]]</f>
        <v>44201Product15</v>
      </c>
      <c r="D750" s="90">
        <v>44201</v>
      </c>
      <c r="E750" s="143">
        <v>0.56180555555555556</v>
      </c>
      <c r="F750" s="1" t="s">
        <v>9</v>
      </c>
      <c r="G750" s="2" t="s">
        <v>12</v>
      </c>
      <c r="H750" s="2" t="s">
        <v>42</v>
      </c>
      <c r="I750" s="1" t="s">
        <v>11</v>
      </c>
      <c r="J750" s="1" t="s">
        <v>8</v>
      </c>
      <c r="K750" s="89">
        <v>28640</v>
      </c>
      <c r="L750" s="3">
        <v>8.57</v>
      </c>
      <c r="M750" s="3">
        <v>21.94</v>
      </c>
      <c r="N750" s="3" t="s">
        <v>8</v>
      </c>
      <c r="O750" s="3" t="s">
        <v>8</v>
      </c>
    </row>
    <row r="751" spans="1:15" x14ac:dyDescent="0.35">
      <c r="A751" s="5" t="str">
        <f>Loads[[#This Row],[Date]]&amp;Loads[[#This Row],[Product]]</f>
        <v>44201Product1</v>
      </c>
      <c r="B751" s="5">
        <f>COUNTIF($A$1:A751,Loads[[#This Row],[Load]])</f>
        <v>6</v>
      </c>
      <c r="C751" s="3" t="str">
        <f>Loads[[#This Row],[Load]]&amp;Loads[[#This Row],[Count]]</f>
        <v>44201Product16</v>
      </c>
      <c r="D751" s="90">
        <v>44201</v>
      </c>
      <c r="E751" s="143">
        <v>0.56180555555555556</v>
      </c>
      <c r="F751" s="1" t="s">
        <v>9</v>
      </c>
      <c r="G751" s="2" t="s">
        <v>12</v>
      </c>
      <c r="H751" s="2" t="s">
        <v>42</v>
      </c>
      <c r="I751" s="1" t="s">
        <v>10</v>
      </c>
      <c r="J751" s="1">
        <v>341</v>
      </c>
      <c r="K751" s="89">
        <v>13560</v>
      </c>
      <c r="L751" s="3">
        <v>7.87</v>
      </c>
      <c r="M751" s="3">
        <v>21.54</v>
      </c>
      <c r="N751" s="3" t="s">
        <v>8</v>
      </c>
      <c r="O751" s="3" t="s">
        <v>8</v>
      </c>
    </row>
    <row r="752" spans="1:15" x14ac:dyDescent="0.35">
      <c r="A752" s="5" t="str">
        <f>Loads[[#This Row],[Date]]&amp;Loads[[#This Row],[Product]]</f>
        <v>44201Product1</v>
      </c>
      <c r="B752" s="5">
        <f>COUNTIF($A$1:A752,Loads[[#This Row],[Load]])</f>
        <v>7</v>
      </c>
      <c r="C752" s="3" t="str">
        <f>Loads[[#This Row],[Load]]&amp;Loads[[#This Row],[Count]]</f>
        <v>44201Product17</v>
      </c>
      <c r="D752" s="90">
        <v>44201</v>
      </c>
      <c r="E752" s="143">
        <v>0.5625</v>
      </c>
      <c r="F752" s="1" t="s">
        <v>9</v>
      </c>
      <c r="G752" s="2" t="s">
        <v>12</v>
      </c>
      <c r="H752" s="2" t="s">
        <v>42</v>
      </c>
      <c r="I752" s="1" t="s">
        <v>11</v>
      </c>
      <c r="J752" s="1" t="s">
        <v>8</v>
      </c>
      <c r="K752" s="89">
        <v>26080</v>
      </c>
      <c r="L752" s="3">
        <v>8.32</v>
      </c>
      <c r="M752" s="3">
        <v>20.75</v>
      </c>
      <c r="N752" s="3" t="s">
        <v>8</v>
      </c>
      <c r="O752" s="3" t="s">
        <v>8</v>
      </c>
    </row>
    <row r="753" spans="1:15" x14ac:dyDescent="0.35">
      <c r="A753" s="5" t="str">
        <f>Loads[[#This Row],[Date]]&amp;Loads[[#This Row],[Product]]</f>
        <v>44201Product1</v>
      </c>
      <c r="B753" s="5">
        <f>COUNTIF($A$1:A753,Loads[[#This Row],[Load]])</f>
        <v>8</v>
      </c>
      <c r="C753" s="3" t="str">
        <f>Loads[[#This Row],[Load]]&amp;Loads[[#This Row],[Count]]</f>
        <v>44201Product18</v>
      </c>
      <c r="D753" s="90">
        <v>44201</v>
      </c>
      <c r="E753" s="143">
        <v>0.5625</v>
      </c>
      <c r="F753" s="1" t="s">
        <v>9</v>
      </c>
      <c r="G753" s="2" t="s">
        <v>12</v>
      </c>
      <c r="H753" s="2" t="s">
        <v>42</v>
      </c>
      <c r="I753" s="1" t="s">
        <v>11</v>
      </c>
      <c r="J753" s="1" t="s">
        <v>8</v>
      </c>
      <c r="K753" s="89">
        <v>24480</v>
      </c>
      <c r="L753" s="3">
        <v>7.96</v>
      </c>
      <c r="M753" s="3">
        <v>21.29</v>
      </c>
      <c r="N753" s="3" t="s">
        <v>8</v>
      </c>
      <c r="O753" s="3" t="s">
        <v>8</v>
      </c>
    </row>
    <row r="754" spans="1:15" x14ac:dyDescent="0.35">
      <c r="A754" s="5" t="str">
        <f>Loads[[#This Row],[Date]]&amp;Loads[[#This Row],[Product]]</f>
        <v>44201Product1</v>
      </c>
      <c r="B754" s="5">
        <f>COUNTIF($A$1:A754,Loads[[#This Row],[Load]])</f>
        <v>9</v>
      </c>
      <c r="C754" s="3" t="str">
        <f>Loads[[#This Row],[Load]]&amp;Loads[[#This Row],[Count]]</f>
        <v>44201Product19</v>
      </c>
      <c r="D754" s="90">
        <v>44201</v>
      </c>
      <c r="E754" s="143">
        <v>0.56319444444444444</v>
      </c>
      <c r="F754" s="1" t="s">
        <v>9</v>
      </c>
      <c r="G754" s="2" t="s">
        <v>12</v>
      </c>
      <c r="H754" s="2" t="s">
        <v>42</v>
      </c>
      <c r="I754" s="1" t="s">
        <v>11</v>
      </c>
      <c r="J754" s="1" t="s">
        <v>8</v>
      </c>
      <c r="K754" s="89">
        <v>23680</v>
      </c>
      <c r="L754" s="3">
        <v>6.97</v>
      </c>
      <c r="M754" s="3">
        <v>21.22</v>
      </c>
      <c r="N754" s="3" t="s">
        <v>8</v>
      </c>
      <c r="O754" s="3" t="s">
        <v>8</v>
      </c>
    </row>
    <row r="755" spans="1:15" x14ac:dyDescent="0.35">
      <c r="A755" s="5" t="str">
        <f>Loads[[#This Row],[Date]]&amp;Loads[[#This Row],[Product]]</f>
        <v>44201Product1</v>
      </c>
      <c r="B755" s="5">
        <f>COUNTIF($A$1:A755,Loads[[#This Row],[Load]])</f>
        <v>10</v>
      </c>
      <c r="C755" s="3" t="str">
        <f>Loads[[#This Row],[Load]]&amp;Loads[[#This Row],[Count]]</f>
        <v>44201Product110</v>
      </c>
      <c r="D755" s="90">
        <v>44201</v>
      </c>
      <c r="E755" s="143">
        <v>0.56319444444444444</v>
      </c>
      <c r="F755" s="1" t="s">
        <v>9</v>
      </c>
      <c r="G755" s="2" t="s">
        <v>12</v>
      </c>
      <c r="H755" s="2" t="s">
        <v>42</v>
      </c>
      <c r="I755" s="1" t="s">
        <v>11</v>
      </c>
      <c r="J755" s="1" t="s">
        <v>8</v>
      </c>
      <c r="K755" s="89">
        <v>21900</v>
      </c>
      <c r="L755" s="3">
        <v>6.78</v>
      </c>
      <c r="M755" s="3">
        <v>21.31</v>
      </c>
      <c r="N755" s="3" t="s">
        <v>8</v>
      </c>
      <c r="O755" s="3" t="s">
        <v>8</v>
      </c>
    </row>
    <row r="756" spans="1:15" x14ac:dyDescent="0.35">
      <c r="A756" s="5" t="str">
        <f>Loads[[#This Row],[Date]]&amp;Loads[[#This Row],[Product]]</f>
        <v>44201Product1</v>
      </c>
      <c r="B756" s="5">
        <f>COUNTIF($A$1:A756,Loads[[#This Row],[Load]])</f>
        <v>11</v>
      </c>
      <c r="C756" s="3" t="str">
        <f>Loads[[#This Row],[Load]]&amp;Loads[[#This Row],[Count]]</f>
        <v>44201Product111</v>
      </c>
      <c r="D756" s="90">
        <v>44201</v>
      </c>
      <c r="E756" s="143">
        <v>0.62152777777777779</v>
      </c>
      <c r="F756" s="1" t="s">
        <v>9</v>
      </c>
      <c r="G756" s="2" t="s">
        <v>12</v>
      </c>
      <c r="H756" s="2" t="s">
        <v>42</v>
      </c>
      <c r="I756" s="1" t="s">
        <v>11</v>
      </c>
      <c r="J756" s="1" t="s">
        <v>8</v>
      </c>
      <c r="K756" s="89">
        <v>20900</v>
      </c>
      <c r="L756" s="3">
        <v>8.59</v>
      </c>
      <c r="M756" s="3">
        <v>22.16</v>
      </c>
      <c r="N756" s="3" t="s">
        <v>8</v>
      </c>
      <c r="O756" s="3" t="s">
        <v>8</v>
      </c>
    </row>
    <row r="757" spans="1:15" x14ac:dyDescent="0.35">
      <c r="A757" s="5" t="str">
        <f>Loads[[#This Row],[Date]]&amp;Loads[[#This Row],[Product]]</f>
        <v>44201Product1</v>
      </c>
      <c r="B757" s="5">
        <f>COUNTIF($A$1:A757,Loads[[#This Row],[Load]])</f>
        <v>12</v>
      </c>
      <c r="C757" s="3" t="str">
        <f>Loads[[#This Row],[Load]]&amp;Loads[[#This Row],[Count]]</f>
        <v>44201Product112</v>
      </c>
      <c r="D757" s="90">
        <v>44201</v>
      </c>
      <c r="E757" s="143">
        <v>0.62222222222222223</v>
      </c>
      <c r="F757" s="1" t="s">
        <v>9</v>
      </c>
      <c r="G757" s="2" t="s">
        <v>12</v>
      </c>
      <c r="H757" s="2" t="s">
        <v>42</v>
      </c>
      <c r="I757" s="1" t="s">
        <v>11</v>
      </c>
      <c r="J757" s="1" t="s">
        <v>8</v>
      </c>
      <c r="K757" s="89">
        <v>22740</v>
      </c>
      <c r="L757" s="3">
        <v>8.14</v>
      </c>
      <c r="M757" s="3">
        <v>22.19</v>
      </c>
      <c r="N757" s="3" t="s">
        <v>8</v>
      </c>
      <c r="O757" s="3" t="s">
        <v>8</v>
      </c>
    </row>
    <row r="758" spans="1:15" x14ac:dyDescent="0.35">
      <c r="A758" s="5" t="str">
        <f>Loads[[#This Row],[Date]]&amp;Loads[[#This Row],[Product]]</f>
        <v>44201Product1</v>
      </c>
      <c r="B758" s="5">
        <f>COUNTIF($A$1:A758,Loads[[#This Row],[Load]])</f>
        <v>13</v>
      </c>
      <c r="C758" s="3" t="str">
        <f>Loads[[#This Row],[Load]]&amp;Loads[[#This Row],[Count]]</f>
        <v>44201Product113</v>
      </c>
      <c r="D758" s="90">
        <v>44201</v>
      </c>
      <c r="E758" s="143">
        <v>0.96388888888888891</v>
      </c>
      <c r="F758" s="1" t="s">
        <v>9</v>
      </c>
      <c r="G758" s="2" t="s">
        <v>12</v>
      </c>
      <c r="H758" s="2" t="s">
        <v>42</v>
      </c>
      <c r="I758" s="1" t="s">
        <v>11</v>
      </c>
      <c r="J758" s="1" t="s">
        <v>8</v>
      </c>
      <c r="K758" s="89">
        <v>21040</v>
      </c>
      <c r="L758" s="3">
        <v>8.41</v>
      </c>
      <c r="M758" s="3">
        <v>21.93</v>
      </c>
      <c r="N758" s="3" t="s">
        <v>8</v>
      </c>
      <c r="O758" s="3" t="s">
        <v>8</v>
      </c>
    </row>
    <row r="759" spans="1:15" x14ac:dyDescent="0.35">
      <c r="A759" s="5" t="str">
        <f>Loads[[#This Row],[Date]]&amp;Loads[[#This Row],[Product]]</f>
        <v>44201Product1</v>
      </c>
      <c r="B759" s="5">
        <f>COUNTIF($A$1:A759,Loads[[#This Row],[Load]])</f>
        <v>14</v>
      </c>
      <c r="C759" s="3" t="str">
        <f>Loads[[#This Row],[Load]]&amp;Loads[[#This Row],[Count]]</f>
        <v>44201Product114</v>
      </c>
      <c r="D759" s="90">
        <v>44201</v>
      </c>
      <c r="E759" s="143">
        <v>0.96458333333333324</v>
      </c>
      <c r="F759" s="1" t="s">
        <v>9</v>
      </c>
      <c r="G759" s="2" t="s">
        <v>12</v>
      </c>
      <c r="H759" s="2" t="s">
        <v>42</v>
      </c>
      <c r="I759" s="1" t="s">
        <v>10</v>
      </c>
      <c r="J759" s="1">
        <v>450</v>
      </c>
      <c r="K759" s="89">
        <v>18040</v>
      </c>
      <c r="L759" s="3">
        <v>8.94</v>
      </c>
      <c r="M759" s="3">
        <v>21.55</v>
      </c>
      <c r="N759" s="3" t="s">
        <v>8</v>
      </c>
      <c r="O759" s="3" t="s">
        <v>8</v>
      </c>
    </row>
    <row r="760" spans="1:15" x14ac:dyDescent="0.35">
      <c r="A760" s="5" t="str">
        <f>Loads[[#This Row],[Date]]&amp;Loads[[#This Row],[Product]]</f>
        <v>44201Product1</v>
      </c>
      <c r="B760" s="5">
        <f>COUNTIF($A$1:A760,Loads[[#This Row],[Load]])</f>
        <v>15</v>
      </c>
      <c r="C760" s="3" t="str">
        <f>Loads[[#This Row],[Load]]&amp;Loads[[#This Row],[Count]]</f>
        <v>44201Product115</v>
      </c>
      <c r="D760" s="90">
        <v>44201</v>
      </c>
      <c r="E760" s="143">
        <v>0.96527777777777779</v>
      </c>
      <c r="F760" s="1" t="s">
        <v>9</v>
      </c>
      <c r="G760" s="2" t="s">
        <v>12</v>
      </c>
      <c r="H760" s="2" t="s">
        <v>42</v>
      </c>
      <c r="I760" s="1" t="s">
        <v>11</v>
      </c>
      <c r="J760" s="1" t="s">
        <v>8</v>
      </c>
      <c r="K760" s="89">
        <v>19580</v>
      </c>
      <c r="L760" s="3">
        <v>8.56</v>
      </c>
      <c r="M760" s="3">
        <v>22.36</v>
      </c>
      <c r="N760" s="3" t="s">
        <v>8</v>
      </c>
      <c r="O760" s="3" t="s">
        <v>8</v>
      </c>
    </row>
    <row r="761" spans="1:15" x14ac:dyDescent="0.35">
      <c r="A761" s="5" t="str">
        <f>Loads[[#This Row],[Date]]&amp;Loads[[#This Row],[Product]]</f>
        <v>44201Product1</v>
      </c>
      <c r="B761" s="5">
        <f>COUNTIF($A$1:A761,Loads[[#This Row],[Load]])</f>
        <v>16</v>
      </c>
      <c r="C761" s="3" t="str">
        <f>Loads[[#This Row],[Load]]&amp;Loads[[#This Row],[Count]]</f>
        <v>44201Product116</v>
      </c>
      <c r="D761" s="90">
        <v>44201</v>
      </c>
      <c r="E761" s="143">
        <v>0.96597222222222223</v>
      </c>
      <c r="F761" s="1" t="s">
        <v>9</v>
      </c>
      <c r="G761" s="2" t="s">
        <v>12</v>
      </c>
      <c r="H761" s="2" t="s">
        <v>42</v>
      </c>
      <c r="I761" s="1" t="s">
        <v>11</v>
      </c>
      <c r="J761" s="1" t="s">
        <v>8</v>
      </c>
      <c r="K761" s="89">
        <v>21980</v>
      </c>
      <c r="L761" s="3">
        <v>8.49</v>
      </c>
      <c r="M761" s="3">
        <v>22.39</v>
      </c>
      <c r="N761" s="3" t="s">
        <v>8</v>
      </c>
      <c r="O761" s="3" t="s">
        <v>8</v>
      </c>
    </row>
    <row r="762" spans="1:15" x14ac:dyDescent="0.35">
      <c r="A762" s="5" t="str">
        <f>Loads[[#This Row],[Date]]&amp;Loads[[#This Row],[Product]]</f>
        <v>44201Product1</v>
      </c>
      <c r="B762" s="5">
        <f>COUNTIF($A$1:A762,Loads[[#This Row],[Load]])</f>
        <v>17</v>
      </c>
      <c r="C762" s="3" t="str">
        <f>Loads[[#This Row],[Load]]&amp;Loads[[#This Row],[Count]]</f>
        <v>44201Product117</v>
      </c>
      <c r="D762" s="90">
        <v>44201</v>
      </c>
      <c r="E762" s="143">
        <v>0.96736111111111101</v>
      </c>
      <c r="F762" s="1" t="s">
        <v>9</v>
      </c>
      <c r="G762" s="2" t="s">
        <v>12</v>
      </c>
      <c r="H762" s="2" t="s">
        <v>42</v>
      </c>
      <c r="I762" s="1" t="s">
        <v>11</v>
      </c>
      <c r="J762" s="1" t="s">
        <v>8</v>
      </c>
      <c r="K762" s="89">
        <v>20800</v>
      </c>
      <c r="L762" s="3">
        <v>8.59</v>
      </c>
      <c r="M762" s="3">
        <v>22.31</v>
      </c>
      <c r="N762" s="3" t="s">
        <v>8</v>
      </c>
      <c r="O762" s="3" t="s">
        <v>8</v>
      </c>
    </row>
    <row r="763" spans="1:15" x14ac:dyDescent="0.35">
      <c r="A763" s="5" t="str">
        <f>Loads[[#This Row],[Date]]&amp;Loads[[#This Row],[Product]]</f>
        <v>44201Product1</v>
      </c>
      <c r="B763" s="5">
        <f>COUNTIF($A$1:A763,Loads[[#This Row],[Load]])</f>
        <v>18</v>
      </c>
      <c r="C763" s="3" t="str">
        <f>Loads[[#This Row],[Load]]&amp;Loads[[#This Row],[Count]]</f>
        <v>44201Product118</v>
      </c>
      <c r="D763" s="90">
        <v>44201</v>
      </c>
      <c r="E763" s="143">
        <v>0.96805555555555556</v>
      </c>
      <c r="F763" s="1" t="s">
        <v>9</v>
      </c>
      <c r="G763" s="2" t="s">
        <v>12</v>
      </c>
      <c r="H763" s="2" t="s">
        <v>42</v>
      </c>
      <c r="I763" s="1" t="s">
        <v>10</v>
      </c>
      <c r="J763" s="1">
        <v>795</v>
      </c>
      <c r="K763" s="89">
        <v>31880</v>
      </c>
      <c r="L763" s="3">
        <v>8.5399999999999991</v>
      </c>
      <c r="M763" s="3">
        <v>21.03</v>
      </c>
      <c r="N763" s="3" t="s">
        <v>8</v>
      </c>
      <c r="O763" s="3" t="s">
        <v>8</v>
      </c>
    </row>
    <row r="764" spans="1:15" x14ac:dyDescent="0.35">
      <c r="A764" s="5" t="str">
        <f>Loads[[#This Row],[Date]]&amp;Loads[[#This Row],[Product]]</f>
        <v>44202Product1</v>
      </c>
      <c r="B764" s="5">
        <f>COUNTIF($A$1:A764,Loads[[#This Row],[Load]])</f>
        <v>1</v>
      </c>
      <c r="C764" s="3" t="str">
        <f>Loads[[#This Row],[Load]]&amp;Loads[[#This Row],[Count]]</f>
        <v>44202Product11</v>
      </c>
      <c r="D764" s="90">
        <v>44202</v>
      </c>
      <c r="E764" s="143">
        <v>0.92361111111111116</v>
      </c>
      <c r="F764" s="1" t="s">
        <v>9</v>
      </c>
      <c r="G764" s="2" t="s">
        <v>12</v>
      </c>
      <c r="H764" s="2" t="s">
        <v>42</v>
      </c>
      <c r="I764" s="1" t="s">
        <v>11</v>
      </c>
      <c r="J764" s="1" t="s">
        <v>8</v>
      </c>
      <c r="K764" s="89">
        <v>13500</v>
      </c>
      <c r="L764" s="3">
        <v>8.6999999999999993</v>
      </c>
      <c r="M764" s="3">
        <v>20.86</v>
      </c>
      <c r="N764" s="3" t="s">
        <v>8</v>
      </c>
      <c r="O764" s="3" t="s">
        <v>8</v>
      </c>
    </row>
    <row r="765" spans="1:15" x14ac:dyDescent="0.35">
      <c r="A765" s="5" t="str">
        <f>Loads[[#This Row],[Date]]&amp;Loads[[#This Row],[Product]]</f>
        <v>44202Product1</v>
      </c>
      <c r="B765" s="5">
        <f>COUNTIF($A$1:A765,Loads[[#This Row],[Load]])</f>
        <v>2</v>
      </c>
      <c r="C765" s="3" t="str">
        <f>Loads[[#This Row],[Load]]&amp;Loads[[#This Row],[Count]]</f>
        <v>44202Product12</v>
      </c>
      <c r="D765" s="90">
        <v>44202</v>
      </c>
      <c r="E765" s="143">
        <v>4.1666666666666664E-2</v>
      </c>
      <c r="F765" s="1" t="s">
        <v>9</v>
      </c>
      <c r="G765" s="2" t="s">
        <v>12</v>
      </c>
      <c r="H765" s="2" t="s">
        <v>42</v>
      </c>
      <c r="I765" s="1" t="s">
        <v>10</v>
      </c>
      <c r="J765" s="1">
        <v>790</v>
      </c>
      <c r="K765" s="89">
        <v>31620</v>
      </c>
      <c r="L765" s="3">
        <v>10.79</v>
      </c>
      <c r="M765" s="3">
        <v>21.43</v>
      </c>
      <c r="N765" s="3" t="s">
        <v>8</v>
      </c>
      <c r="O765" s="3" t="s">
        <v>8</v>
      </c>
    </row>
    <row r="766" spans="1:15" x14ac:dyDescent="0.35">
      <c r="A766" s="5" t="str">
        <f>Loads[[#This Row],[Date]]&amp;Loads[[#This Row],[Product]]</f>
        <v>44202Product1</v>
      </c>
      <c r="B766" s="5">
        <f>COUNTIF($A$1:A766,Loads[[#This Row],[Load]])</f>
        <v>3</v>
      </c>
      <c r="C766" s="3" t="str">
        <f>Loads[[#This Row],[Load]]&amp;Loads[[#This Row],[Count]]</f>
        <v>44202Product13</v>
      </c>
      <c r="D766" s="90">
        <v>44202</v>
      </c>
      <c r="E766" s="143">
        <v>7.2916666666666671E-2</v>
      </c>
      <c r="F766" s="1" t="s">
        <v>9</v>
      </c>
      <c r="G766" s="2" t="s">
        <v>12</v>
      </c>
      <c r="H766" s="2" t="s">
        <v>42</v>
      </c>
      <c r="I766" s="1" t="s">
        <v>11</v>
      </c>
      <c r="J766" s="1" t="s">
        <v>8</v>
      </c>
      <c r="K766" s="89">
        <v>26340</v>
      </c>
      <c r="L766" s="3">
        <v>10.59</v>
      </c>
      <c r="M766" s="3">
        <v>21.06</v>
      </c>
      <c r="N766" s="3" t="s">
        <v>8</v>
      </c>
      <c r="O766" s="3" t="s">
        <v>8</v>
      </c>
    </row>
    <row r="767" spans="1:15" x14ac:dyDescent="0.35">
      <c r="A767" s="5" t="str">
        <f>Loads[[#This Row],[Date]]&amp;Loads[[#This Row],[Product]]</f>
        <v>44202Product1</v>
      </c>
      <c r="B767" s="5">
        <f>COUNTIF($A$1:A767,Loads[[#This Row],[Load]])</f>
        <v>4</v>
      </c>
      <c r="C767" s="3" t="str">
        <f>Loads[[#This Row],[Load]]&amp;Loads[[#This Row],[Count]]</f>
        <v>44202Product14</v>
      </c>
      <c r="D767" s="90">
        <v>44202</v>
      </c>
      <c r="E767" s="143">
        <v>0.125</v>
      </c>
      <c r="F767" s="1" t="s">
        <v>9</v>
      </c>
      <c r="G767" s="2" t="s">
        <v>12</v>
      </c>
      <c r="H767" s="2" t="s">
        <v>42</v>
      </c>
      <c r="I767" s="1" t="s">
        <v>11</v>
      </c>
      <c r="J767" s="1" t="s">
        <v>8</v>
      </c>
      <c r="K767" s="89">
        <v>30360</v>
      </c>
      <c r="L767" s="3">
        <v>10.52</v>
      </c>
      <c r="M767" s="3">
        <v>21.59</v>
      </c>
      <c r="N767" s="3" t="s">
        <v>8</v>
      </c>
      <c r="O767" s="3" t="s">
        <v>8</v>
      </c>
    </row>
    <row r="768" spans="1:15" x14ac:dyDescent="0.35">
      <c r="A768" s="5" t="str">
        <f>Loads[[#This Row],[Date]]&amp;Loads[[#This Row],[Product]]</f>
        <v>44202Product1</v>
      </c>
      <c r="B768" s="5">
        <f>COUNTIF($A$1:A768,Loads[[#This Row],[Load]])</f>
        <v>5</v>
      </c>
      <c r="C768" s="3" t="str">
        <f>Loads[[#This Row],[Load]]&amp;Loads[[#This Row],[Count]]</f>
        <v>44202Product15</v>
      </c>
      <c r="D768" s="90">
        <v>44202</v>
      </c>
      <c r="E768" s="143">
        <v>0.90694444444444444</v>
      </c>
      <c r="F768" s="1" t="s">
        <v>9</v>
      </c>
      <c r="G768" s="2" t="s">
        <v>12</v>
      </c>
      <c r="H768" s="2" t="s">
        <v>42</v>
      </c>
      <c r="I768" s="1" t="s">
        <v>10</v>
      </c>
      <c r="J768" s="1">
        <v>150</v>
      </c>
      <c r="K768" s="89">
        <v>5940</v>
      </c>
      <c r="L768" s="3">
        <v>7.62</v>
      </c>
      <c r="M768" s="3">
        <v>22.52</v>
      </c>
      <c r="N768" s="3" t="s">
        <v>8</v>
      </c>
      <c r="O768" s="3" t="s">
        <v>8</v>
      </c>
    </row>
    <row r="769" spans="1:15" x14ac:dyDescent="0.35">
      <c r="A769" s="5" t="str">
        <f>Loads[[#This Row],[Date]]&amp;Loads[[#This Row],[Product]]</f>
        <v>44202Product1</v>
      </c>
      <c r="B769" s="5">
        <f>COUNTIF($A$1:A769,Loads[[#This Row],[Load]])</f>
        <v>6</v>
      </c>
      <c r="C769" s="3" t="str">
        <f>Loads[[#This Row],[Load]]&amp;Loads[[#This Row],[Count]]</f>
        <v>44202Product16</v>
      </c>
      <c r="D769" s="90">
        <v>44202</v>
      </c>
      <c r="E769" s="143">
        <v>0.90763888888888899</v>
      </c>
      <c r="F769" s="1" t="s">
        <v>9</v>
      </c>
      <c r="G769" s="2" t="s">
        <v>12</v>
      </c>
      <c r="H769" s="2" t="s">
        <v>42</v>
      </c>
      <c r="I769" s="1" t="s">
        <v>11</v>
      </c>
      <c r="J769" s="1" t="s">
        <v>8</v>
      </c>
      <c r="K769" s="89">
        <v>20080</v>
      </c>
      <c r="L769" s="3">
        <v>7.56</v>
      </c>
      <c r="M769" s="3">
        <v>21.59</v>
      </c>
      <c r="N769" s="3" t="s">
        <v>8</v>
      </c>
      <c r="O769" s="3" t="s">
        <v>8</v>
      </c>
    </row>
    <row r="770" spans="1:15" x14ac:dyDescent="0.35">
      <c r="A770" s="5" t="str">
        <f>Loads[[#This Row],[Date]]&amp;Loads[[#This Row],[Product]]</f>
        <v>44202Product1</v>
      </c>
      <c r="B770" s="5">
        <f>COUNTIF($A$1:A770,Loads[[#This Row],[Load]])</f>
        <v>7</v>
      </c>
      <c r="C770" s="3" t="str">
        <f>Loads[[#This Row],[Load]]&amp;Loads[[#This Row],[Count]]</f>
        <v>44202Product17</v>
      </c>
      <c r="D770" s="90">
        <v>44202</v>
      </c>
      <c r="E770" s="143">
        <v>0.90833333333333333</v>
      </c>
      <c r="F770" s="1" t="s">
        <v>9</v>
      </c>
      <c r="G770" s="2" t="s">
        <v>12</v>
      </c>
      <c r="H770" s="2" t="s">
        <v>42</v>
      </c>
      <c r="I770" s="1" t="s">
        <v>11</v>
      </c>
      <c r="J770" s="1" t="s">
        <v>8</v>
      </c>
      <c r="K770" s="89">
        <v>24640</v>
      </c>
      <c r="L770" s="3">
        <v>6.9</v>
      </c>
      <c r="M770" s="3">
        <v>21.89</v>
      </c>
      <c r="N770" s="3" t="s">
        <v>8</v>
      </c>
      <c r="O770" s="3" t="s">
        <v>8</v>
      </c>
    </row>
    <row r="771" spans="1:15" x14ac:dyDescent="0.35">
      <c r="A771" s="5" t="str">
        <f>Loads[[#This Row],[Date]]&amp;Loads[[#This Row],[Product]]</f>
        <v>44202Product1</v>
      </c>
      <c r="B771" s="5">
        <f>COUNTIF($A$1:A771,Loads[[#This Row],[Load]])</f>
        <v>8</v>
      </c>
      <c r="C771" s="3" t="str">
        <f>Loads[[#This Row],[Load]]&amp;Loads[[#This Row],[Count]]</f>
        <v>44202Product18</v>
      </c>
      <c r="D771" s="90">
        <v>44202</v>
      </c>
      <c r="E771" s="143">
        <v>0.91111111111111109</v>
      </c>
      <c r="F771" s="1" t="s">
        <v>9</v>
      </c>
      <c r="G771" s="2" t="s">
        <v>12</v>
      </c>
      <c r="H771" s="2" t="s">
        <v>42</v>
      </c>
      <c r="I771" s="1" t="s">
        <v>11</v>
      </c>
      <c r="J771" s="1" t="s">
        <v>8</v>
      </c>
      <c r="K771" s="89">
        <v>19400</v>
      </c>
      <c r="L771" s="3">
        <v>9.09</v>
      </c>
      <c r="M771" s="3">
        <v>20.84</v>
      </c>
      <c r="N771" s="3" t="s">
        <v>8</v>
      </c>
      <c r="O771" s="3" t="s">
        <v>8</v>
      </c>
    </row>
    <row r="772" spans="1:15" x14ac:dyDescent="0.35">
      <c r="A772" s="5" t="str">
        <f>Loads[[#This Row],[Date]]&amp;Loads[[#This Row],[Product]]</f>
        <v>44202Product1</v>
      </c>
      <c r="B772" s="5">
        <f>COUNTIF($A$1:A772,Loads[[#This Row],[Load]])</f>
        <v>9</v>
      </c>
      <c r="C772" s="3" t="str">
        <f>Loads[[#This Row],[Load]]&amp;Loads[[#This Row],[Count]]</f>
        <v>44202Product19</v>
      </c>
      <c r="D772" s="90">
        <v>44202</v>
      </c>
      <c r="E772" s="143">
        <v>0.91180555555555554</v>
      </c>
      <c r="F772" s="1" t="s">
        <v>9</v>
      </c>
      <c r="G772" s="2" t="s">
        <v>12</v>
      </c>
      <c r="H772" s="2" t="s">
        <v>42</v>
      </c>
      <c r="I772" s="1" t="s">
        <v>11</v>
      </c>
      <c r="J772" s="1" t="s">
        <v>8</v>
      </c>
      <c r="K772" s="89">
        <v>32880</v>
      </c>
      <c r="L772" s="3">
        <v>9.08</v>
      </c>
      <c r="M772" s="3">
        <v>21.08</v>
      </c>
      <c r="N772" s="3" t="s">
        <v>8</v>
      </c>
      <c r="O772" s="3" t="s">
        <v>8</v>
      </c>
    </row>
    <row r="773" spans="1:15" x14ac:dyDescent="0.35">
      <c r="A773" s="5" t="str">
        <f>Loads[[#This Row],[Date]]&amp;Loads[[#This Row],[Product]]</f>
        <v>44202Product1</v>
      </c>
      <c r="B773" s="5">
        <f>COUNTIF($A$1:A773,Loads[[#This Row],[Load]])</f>
        <v>10</v>
      </c>
      <c r="C773" s="3" t="str">
        <f>Loads[[#This Row],[Load]]&amp;Loads[[#This Row],[Count]]</f>
        <v>44202Product110</v>
      </c>
      <c r="D773" s="90">
        <v>44202</v>
      </c>
      <c r="E773" s="143">
        <v>0.91249999999999998</v>
      </c>
      <c r="F773" s="1" t="s">
        <v>9</v>
      </c>
      <c r="G773" s="2" t="s">
        <v>12</v>
      </c>
      <c r="H773" s="2" t="s">
        <v>42</v>
      </c>
      <c r="I773" s="1" t="s">
        <v>11</v>
      </c>
      <c r="J773" s="1" t="s">
        <v>8</v>
      </c>
      <c r="K773" s="89">
        <v>20960</v>
      </c>
      <c r="L773" s="3">
        <v>9.3800000000000008</v>
      </c>
      <c r="M773" s="3">
        <v>20.96</v>
      </c>
      <c r="N773" s="3" t="s">
        <v>8</v>
      </c>
      <c r="O773" s="3" t="s">
        <v>8</v>
      </c>
    </row>
    <row r="774" spans="1:15" x14ac:dyDescent="0.35">
      <c r="A774" s="5" t="str">
        <f>Loads[[#This Row],[Date]]&amp;Loads[[#This Row],[Product]]</f>
        <v>44202Product1</v>
      </c>
      <c r="B774" s="5">
        <f>COUNTIF($A$1:A774,Loads[[#This Row],[Load]])</f>
        <v>11</v>
      </c>
      <c r="C774" s="3" t="str">
        <f>Loads[[#This Row],[Load]]&amp;Loads[[#This Row],[Count]]</f>
        <v>44202Product111</v>
      </c>
      <c r="D774" s="90">
        <v>44202</v>
      </c>
      <c r="E774" s="143">
        <v>0.9159722222222223</v>
      </c>
      <c r="F774" s="1" t="s">
        <v>9</v>
      </c>
      <c r="G774" s="2" t="s">
        <v>12</v>
      </c>
      <c r="H774" s="2" t="s">
        <v>42</v>
      </c>
      <c r="I774" s="1" t="s">
        <v>11</v>
      </c>
      <c r="J774" s="1" t="s">
        <v>8</v>
      </c>
      <c r="K774" s="89">
        <v>19900</v>
      </c>
      <c r="L774" s="3">
        <v>9.1199999999999992</v>
      </c>
      <c r="M774" s="3">
        <v>20.82</v>
      </c>
      <c r="N774" s="3" t="s">
        <v>8</v>
      </c>
      <c r="O774" s="3" t="s">
        <v>8</v>
      </c>
    </row>
    <row r="775" spans="1:15" x14ac:dyDescent="0.35">
      <c r="A775" s="5" t="str">
        <f>Loads[[#This Row],[Date]]&amp;Loads[[#This Row],[Product]]</f>
        <v>44202Product1</v>
      </c>
      <c r="B775" s="5">
        <f>COUNTIF($A$1:A775,Loads[[#This Row],[Load]])</f>
        <v>12</v>
      </c>
      <c r="C775" s="3" t="str">
        <f>Loads[[#This Row],[Load]]&amp;Loads[[#This Row],[Count]]</f>
        <v>44202Product112</v>
      </c>
      <c r="D775" s="90">
        <v>44202</v>
      </c>
      <c r="E775" s="143">
        <v>0.96111111111111114</v>
      </c>
      <c r="F775" s="1" t="s">
        <v>9</v>
      </c>
      <c r="G775" s="2" t="s">
        <v>12</v>
      </c>
      <c r="H775" s="2" t="s">
        <v>42</v>
      </c>
      <c r="I775" s="1" t="s">
        <v>11</v>
      </c>
      <c r="J775" s="1" t="s">
        <v>8</v>
      </c>
      <c r="K775" s="89">
        <v>32420</v>
      </c>
      <c r="L775" s="3">
        <v>7.45</v>
      </c>
      <c r="M775" s="3">
        <v>22.06</v>
      </c>
      <c r="N775" s="3" t="s">
        <v>8</v>
      </c>
      <c r="O775" s="3" t="s">
        <v>8</v>
      </c>
    </row>
    <row r="776" spans="1:15" x14ac:dyDescent="0.35">
      <c r="A776" s="5" t="str">
        <f>Loads[[#This Row],[Date]]&amp;Loads[[#This Row],[Product]]</f>
        <v>44202Product1</v>
      </c>
      <c r="B776" s="5">
        <f>COUNTIF($A$1:A776,Loads[[#This Row],[Load]])</f>
        <v>13</v>
      </c>
      <c r="C776" s="3" t="str">
        <f>Loads[[#This Row],[Load]]&amp;Loads[[#This Row],[Count]]</f>
        <v>44202Product113</v>
      </c>
      <c r="D776" s="90">
        <v>44202</v>
      </c>
      <c r="E776" s="143">
        <v>0.96180555555555547</v>
      </c>
      <c r="F776" s="1" t="s">
        <v>9</v>
      </c>
      <c r="G776" s="2" t="s">
        <v>12</v>
      </c>
      <c r="H776" s="2" t="s">
        <v>42</v>
      </c>
      <c r="I776" s="1" t="s">
        <v>11</v>
      </c>
      <c r="J776" s="1" t="s">
        <v>8</v>
      </c>
      <c r="K776" s="89">
        <v>26260</v>
      </c>
      <c r="L776" s="3">
        <v>7.57</v>
      </c>
      <c r="M776" s="3">
        <v>21.67</v>
      </c>
      <c r="N776" s="3" t="s">
        <v>8</v>
      </c>
      <c r="O776" s="3" t="s">
        <v>8</v>
      </c>
    </row>
    <row r="777" spans="1:15" x14ac:dyDescent="0.35">
      <c r="A777" s="5" t="str">
        <f>Loads[[#This Row],[Date]]&amp;Loads[[#This Row],[Product]]</f>
        <v>44203Product1</v>
      </c>
      <c r="B777" s="5">
        <f>COUNTIF($A$1:A777,Loads[[#This Row],[Load]])</f>
        <v>1</v>
      </c>
      <c r="C777" s="3" t="str">
        <f>Loads[[#This Row],[Load]]&amp;Loads[[#This Row],[Count]]</f>
        <v>44203Product11</v>
      </c>
      <c r="D777" s="90">
        <v>44203</v>
      </c>
      <c r="E777" s="143">
        <v>0.1388888888888889</v>
      </c>
      <c r="F777" s="1" t="s">
        <v>9</v>
      </c>
      <c r="G777" s="2" t="s">
        <v>12</v>
      </c>
      <c r="H777" s="2" t="s">
        <v>42</v>
      </c>
      <c r="I777" s="1" t="s">
        <v>11</v>
      </c>
      <c r="J777" s="1" t="s">
        <v>8</v>
      </c>
      <c r="K777" s="89">
        <v>25140</v>
      </c>
      <c r="L777" s="3">
        <v>9.36</v>
      </c>
      <c r="M777" s="3">
        <v>21.21</v>
      </c>
      <c r="N777" s="3" t="s">
        <v>8</v>
      </c>
      <c r="O777" s="3" t="s">
        <v>8</v>
      </c>
    </row>
    <row r="778" spans="1:15" x14ac:dyDescent="0.35">
      <c r="A778" s="5" t="str">
        <f>Loads[[#This Row],[Date]]&amp;Loads[[#This Row],[Product]]</f>
        <v>44203Product1</v>
      </c>
      <c r="B778" s="5">
        <f>COUNTIF($A$1:A778,Loads[[#This Row],[Load]])</f>
        <v>2</v>
      </c>
      <c r="C778" s="3" t="str">
        <f>Loads[[#This Row],[Load]]&amp;Loads[[#This Row],[Count]]</f>
        <v>44203Product12</v>
      </c>
      <c r="D778" s="90">
        <v>44203</v>
      </c>
      <c r="E778" s="143">
        <v>0.81736111111111109</v>
      </c>
      <c r="F778" s="1" t="s">
        <v>9</v>
      </c>
      <c r="G778" s="2" t="s">
        <v>12</v>
      </c>
      <c r="H778" s="2" t="s">
        <v>42</v>
      </c>
      <c r="I778" s="1" t="s">
        <v>11</v>
      </c>
      <c r="J778" s="1" t="s">
        <v>8</v>
      </c>
      <c r="K778" s="89">
        <v>22800</v>
      </c>
      <c r="L778" s="3">
        <v>8.69</v>
      </c>
      <c r="M778" s="3">
        <v>21.39</v>
      </c>
      <c r="N778" s="3" t="s">
        <v>8</v>
      </c>
      <c r="O778" s="3" t="s">
        <v>8</v>
      </c>
    </row>
    <row r="779" spans="1:15" x14ac:dyDescent="0.35">
      <c r="A779" s="5" t="str">
        <f>Loads[[#This Row],[Date]]&amp;Loads[[#This Row],[Product]]</f>
        <v>44203Product1</v>
      </c>
      <c r="B779" s="5">
        <f>COUNTIF($A$1:A779,Loads[[#This Row],[Load]])</f>
        <v>3</v>
      </c>
      <c r="C779" s="3" t="str">
        <f>Loads[[#This Row],[Load]]&amp;Loads[[#This Row],[Count]]</f>
        <v>44203Product13</v>
      </c>
      <c r="D779" s="90">
        <v>44203</v>
      </c>
      <c r="E779" s="143">
        <v>0.81805555555555554</v>
      </c>
      <c r="F779" s="1" t="s">
        <v>9</v>
      </c>
      <c r="G779" s="2" t="s">
        <v>12</v>
      </c>
      <c r="H779" s="2" t="s">
        <v>42</v>
      </c>
      <c r="I779" s="1" t="s">
        <v>11</v>
      </c>
      <c r="J779" s="1" t="s">
        <v>8</v>
      </c>
      <c r="K779" s="89">
        <v>20000</v>
      </c>
      <c r="L779" s="3">
        <v>8.4499999999999993</v>
      </c>
      <c r="M779" s="3">
        <v>21.41</v>
      </c>
      <c r="N779" s="3" t="s">
        <v>8</v>
      </c>
      <c r="O779" s="3" t="s">
        <v>8</v>
      </c>
    </row>
    <row r="780" spans="1:15" x14ac:dyDescent="0.35">
      <c r="A780" s="5" t="str">
        <f>Loads[[#This Row],[Date]]&amp;Loads[[#This Row],[Product]]</f>
        <v>44203Product1</v>
      </c>
      <c r="B780" s="5">
        <f>COUNTIF($A$1:A780,Loads[[#This Row],[Load]])</f>
        <v>4</v>
      </c>
      <c r="C780" s="3" t="str">
        <f>Loads[[#This Row],[Load]]&amp;Loads[[#This Row],[Count]]</f>
        <v>44203Product14</v>
      </c>
      <c r="D780" s="90">
        <v>44203</v>
      </c>
      <c r="E780" s="143">
        <v>0.81805555555555554</v>
      </c>
      <c r="F780" s="1" t="s">
        <v>9</v>
      </c>
      <c r="G780" s="2" t="s">
        <v>12</v>
      </c>
      <c r="H780" s="2" t="s">
        <v>42</v>
      </c>
      <c r="I780" s="1" t="s">
        <v>11</v>
      </c>
      <c r="J780" s="1" t="s">
        <v>8</v>
      </c>
      <c r="K780" s="89">
        <v>27620</v>
      </c>
      <c r="L780" s="3">
        <v>8.82</v>
      </c>
      <c r="M780" s="3">
        <v>21.14</v>
      </c>
      <c r="N780" s="3" t="s">
        <v>8</v>
      </c>
      <c r="O780" s="3" t="s">
        <v>8</v>
      </c>
    </row>
    <row r="781" spans="1:15" x14ac:dyDescent="0.35">
      <c r="A781" s="5" t="str">
        <f>Loads[[#This Row],[Date]]&amp;Loads[[#This Row],[Product]]</f>
        <v>44203Product1</v>
      </c>
      <c r="B781" s="5">
        <f>COUNTIF($A$1:A781,Loads[[#This Row],[Load]])</f>
        <v>5</v>
      </c>
      <c r="C781" s="3" t="str">
        <f>Loads[[#This Row],[Load]]&amp;Loads[[#This Row],[Count]]</f>
        <v>44203Product15</v>
      </c>
      <c r="D781" s="90">
        <v>44203</v>
      </c>
      <c r="E781" s="143">
        <v>0.81874999999999998</v>
      </c>
      <c r="F781" s="1" t="s">
        <v>9</v>
      </c>
      <c r="G781" s="2" t="s">
        <v>12</v>
      </c>
      <c r="H781" s="2" t="s">
        <v>42</v>
      </c>
      <c r="I781" s="1" t="s">
        <v>11</v>
      </c>
      <c r="J781" s="1" t="s">
        <v>8</v>
      </c>
      <c r="K781" s="89">
        <v>24120</v>
      </c>
      <c r="L781" s="3">
        <v>8.6199999999999992</v>
      </c>
      <c r="M781" s="3">
        <v>21.81</v>
      </c>
      <c r="N781" s="3" t="s">
        <v>8</v>
      </c>
      <c r="O781" s="3" t="s">
        <v>8</v>
      </c>
    </row>
    <row r="782" spans="1:15" x14ac:dyDescent="0.35">
      <c r="A782" s="5" t="str">
        <f>Loads[[#This Row],[Date]]&amp;Loads[[#This Row],[Product]]</f>
        <v>44203Product1</v>
      </c>
      <c r="B782" s="5">
        <f>COUNTIF($A$1:A782,Loads[[#This Row],[Load]])</f>
        <v>6</v>
      </c>
      <c r="C782" s="3" t="str">
        <f>Loads[[#This Row],[Load]]&amp;Loads[[#This Row],[Count]]</f>
        <v>44203Product16</v>
      </c>
      <c r="D782" s="90">
        <v>44203</v>
      </c>
      <c r="E782" s="143">
        <v>0.81944444444444453</v>
      </c>
      <c r="F782" s="1" t="s">
        <v>9</v>
      </c>
      <c r="G782" s="2" t="s">
        <v>12</v>
      </c>
      <c r="H782" s="2" t="s">
        <v>42</v>
      </c>
      <c r="I782" s="1" t="s">
        <v>11</v>
      </c>
      <c r="J782" s="1" t="s">
        <v>8</v>
      </c>
      <c r="K782" s="89">
        <v>18400</v>
      </c>
      <c r="L782" s="3">
        <v>9.1199999999999992</v>
      </c>
      <c r="M782" s="3">
        <v>21.64</v>
      </c>
      <c r="N782" s="3" t="s">
        <v>8</v>
      </c>
      <c r="O782" s="3" t="s">
        <v>8</v>
      </c>
    </row>
    <row r="783" spans="1:15" x14ac:dyDescent="0.35">
      <c r="A783" s="5" t="str">
        <f>Loads[[#This Row],[Date]]&amp;Loads[[#This Row],[Product]]</f>
        <v>44203Product1</v>
      </c>
      <c r="B783" s="5">
        <f>COUNTIF($A$1:A783,Loads[[#This Row],[Load]])</f>
        <v>7</v>
      </c>
      <c r="C783" s="3" t="str">
        <f>Loads[[#This Row],[Load]]&amp;Loads[[#This Row],[Count]]</f>
        <v>44203Product17</v>
      </c>
      <c r="D783" s="90">
        <v>44203</v>
      </c>
      <c r="E783" s="143">
        <v>0.81944444444444453</v>
      </c>
      <c r="F783" s="1" t="s">
        <v>9</v>
      </c>
      <c r="G783" s="2" t="s">
        <v>12</v>
      </c>
      <c r="H783" s="2" t="s">
        <v>42</v>
      </c>
      <c r="I783" s="1" t="s">
        <v>11</v>
      </c>
      <c r="J783" s="1" t="s">
        <v>8</v>
      </c>
      <c r="K783" s="89">
        <v>26520</v>
      </c>
      <c r="L783" s="3">
        <v>9.15</v>
      </c>
      <c r="M783" s="3">
        <v>22.22</v>
      </c>
      <c r="N783" s="3" t="s">
        <v>8</v>
      </c>
      <c r="O783" s="3" t="s">
        <v>8</v>
      </c>
    </row>
    <row r="784" spans="1:15" x14ac:dyDescent="0.35">
      <c r="A784" s="5" t="str">
        <f>Loads[[#This Row],[Date]]&amp;Loads[[#This Row],[Product]]</f>
        <v>44203Product1</v>
      </c>
      <c r="B784" s="5">
        <f>COUNTIF($A$1:A784,Loads[[#This Row],[Load]])</f>
        <v>8</v>
      </c>
      <c r="C784" s="3" t="str">
        <f>Loads[[#This Row],[Load]]&amp;Loads[[#This Row],[Count]]</f>
        <v>44203Product18</v>
      </c>
      <c r="D784" s="90">
        <v>44203</v>
      </c>
      <c r="E784" s="143">
        <v>0.81944444444444453</v>
      </c>
      <c r="F784" s="1" t="s">
        <v>9</v>
      </c>
      <c r="G784" s="2" t="s">
        <v>12</v>
      </c>
      <c r="H784" s="2" t="s">
        <v>42</v>
      </c>
      <c r="I784" s="1" t="s">
        <v>11</v>
      </c>
      <c r="J784" s="1" t="s">
        <v>8</v>
      </c>
      <c r="K784" s="89">
        <v>21440</v>
      </c>
      <c r="L784" s="3">
        <v>8.9600000000000009</v>
      </c>
      <c r="M784" s="3">
        <v>21.77</v>
      </c>
      <c r="N784" s="3" t="s">
        <v>8</v>
      </c>
      <c r="O784" s="3" t="s">
        <v>8</v>
      </c>
    </row>
    <row r="785" spans="1:15" x14ac:dyDescent="0.35">
      <c r="A785" s="5" t="str">
        <f>Loads[[#This Row],[Date]]&amp;Loads[[#This Row],[Product]]</f>
        <v>44203Product1</v>
      </c>
      <c r="B785" s="5">
        <f>COUNTIF($A$1:A785,Loads[[#This Row],[Load]])</f>
        <v>9</v>
      </c>
      <c r="C785" s="3" t="str">
        <f>Loads[[#This Row],[Load]]&amp;Loads[[#This Row],[Count]]</f>
        <v>44203Product19</v>
      </c>
      <c r="D785" s="90">
        <v>44203</v>
      </c>
      <c r="E785" s="143">
        <v>0.82013888888888886</v>
      </c>
      <c r="F785" s="1" t="s">
        <v>9</v>
      </c>
      <c r="G785" s="2" t="s">
        <v>12</v>
      </c>
      <c r="H785" s="2" t="s">
        <v>42</v>
      </c>
      <c r="I785" s="1" t="s">
        <v>11</v>
      </c>
      <c r="J785" s="1" t="s">
        <v>8</v>
      </c>
      <c r="K785" s="89">
        <v>27900</v>
      </c>
      <c r="L785" s="3">
        <v>8.74</v>
      </c>
      <c r="M785" s="3">
        <v>21.51</v>
      </c>
      <c r="N785" s="3" t="s">
        <v>8</v>
      </c>
      <c r="O785" s="3" t="s">
        <v>8</v>
      </c>
    </row>
    <row r="786" spans="1:15" x14ac:dyDescent="0.35">
      <c r="A786" s="5" t="str">
        <f>Loads[[#This Row],[Date]]&amp;Loads[[#This Row],[Product]]</f>
        <v>44203Product1</v>
      </c>
      <c r="B786" s="5">
        <f>COUNTIF($A$1:A786,Loads[[#This Row],[Load]])</f>
        <v>10</v>
      </c>
      <c r="C786" s="3" t="str">
        <f>Loads[[#This Row],[Load]]&amp;Loads[[#This Row],[Count]]</f>
        <v>44203Product110</v>
      </c>
      <c r="D786" s="90">
        <v>44203</v>
      </c>
      <c r="E786" s="143">
        <v>0.8208333333333333</v>
      </c>
      <c r="F786" s="1" t="s">
        <v>9</v>
      </c>
      <c r="G786" s="2" t="s">
        <v>12</v>
      </c>
      <c r="H786" s="2" t="s">
        <v>42</v>
      </c>
      <c r="I786" s="1" t="s">
        <v>10</v>
      </c>
      <c r="J786" s="1">
        <v>350</v>
      </c>
      <c r="K786" s="89">
        <v>13920</v>
      </c>
      <c r="L786" s="3">
        <v>10.44</v>
      </c>
      <c r="M786" s="3">
        <v>21.51</v>
      </c>
      <c r="N786" s="3" t="s">
        <v>8</v>
      </c>
      <c r="O786" s="3" t="s">
        <v>8</v>
      </c>
    </row>
    <row r="787" spans="1:15" x14ac:dyDescent="0.35">
      <c r="A787" s="5" t="str">
        <f>Loads[[#This Row],[Date]]&amp;Loads[[#This Row],[Product]]</f>
        <v>44203Product1</v>
      </c>
      <c r="B787" s="5">
        <f>COUNTIF($A$1:A787,Loads[[#This Row],[Load]])</f>
        <v>11</v>
      </c>
      <c r="C787" s="3" t="str">
        <f>Loads[[#This Row],[Load]]&amp;Loads[[#This Row],[Count]]</f>
        <v>44203Product111</v>
      </c>
      <c r="D787" s="90">
        <v>44203</v>
      </c>
      <c r="E787" s="143">
        <v>0.93472222222222223</v>
      </c>
      <c r="F787" s="1" t="s">
        <v>9</v>
      </c>
      <c r="G787" s="2" t="s">
        <v>12</v>
      </c>
      <c r="H787" s="2" t="s">
        <v>42</v>
      </c>
      <c r="I787" s="1" t="s">
        <v>10</v>
      </c>
      <c r="J787" s="1">
        <v>350</v>
      </c>
      <c r="K787" s="89">
        <v>13920</v>
      </c>
      <c r="L787" s="3">
        <v>9.77</v>
      </c>
      <c r="M787" s="3">
        <v>20.88</v>
      </c>
      <c r="N787" s="3" t="s">
        <v>8</v>
      </c>
      <c r="O787" s="3" t="s">
        <v>8</v>
      </c>
    </row>
    <row r="788" spans="1:15" x14ac:dyDescent="0.35">
      <c r="A788" s="5" t="str">
        <f>Loads[[#This Row],[Date]]&amp;Loads[[#This Row],[Product]]</f>
        <v>44204Product1</v>
      </c>
      <c r="B788" s="5">
        <f>COUNTIF($A$1:A788,Loads[[#This Row],[Load]])</f>
        <v>1</v>
      </c>
      <c r="C788" s="3" t="str">
        <f>Loads[[#This Row],[Load]]&amp;Loads[[#This Row],[Count]]</f>
        <v>44204Product11</v>
      </c>
      <c r="D788" s="90">
        <v>44204</v>
      </c>
      <c r="E788" s="143">
        <v>0.96875</v>
      </c>
      <c r="F788" s="1" t="s">
        <v>9</v>
      </c>
      <c r="G788" s="2" t="s">
        <v>12</v>
      </c>
      <c r="H788" s="2" t="s">
        <v>42</v>
      </c>
      <c r="I788" s="1" t="s">
        <v>11</v>
      </c>
      <c r="J788" s="1" t="s">
        <v>8</v>
      </c>
      <c r="K788" s="89">
        <v>22120</v>
      </c>
      <c r="L788" s="3">
        <v>8.61</v>
      </c>
      <c r="M788" s="3">
        <v>20.100000000000001</v>
      </c>
      <c r="N788" s="3" t="s">
        <v>8</v>
      </c>
      <c r="O788" s="3" t="s">
        <v>8</v>
      </c>
    </row>
    <row r="789" spans="1:15" x14ac:dyDescent="0.35">
      <c r="A789" s="5" t="str">
        <f>Loads[[#This Row],[Date]]&amp;Loads[[#This Row],[Product]]</f>
        <v>44204Product1</v>
      </c>
      <c r="B789" s="5">
        <f>COUNTIF($A$1:A789,Loads[[#This Row],[Load]])</f>
        <v>2</v>
      </c>
      <c r="C789" s="3" t="str">
        <f>Loads[[#This Row],[Load]]&amp;Loads[[#This Row],[Count]]</f>
        <v>44204Product12</v>
      </c>
      <c r="D789" s="90">
        <v>44204</v>
      </c>
      <c r="E789" s="143">
        <v>3.7499999999999999E-2</v>
      </c>
      <c r="F789" s="1" t="s">
        <v>9</v>
      </c>
      <c r="G789" s="2" t="s">
        <v>12</v>
      </c>
      <c r="H789" s="2" t="s">
        <v>42</v>
      </c>
      <c r="I789" s="1" t="s">
        <v>11</v>
      </c>
      <c r="J789" s="1" t="s">
        <v>8</v>
      </c>
      <c r="K789" s="89">
        <v>18260</v>
      </c>
      <c r="L789" s="3">
        <v>9.56</v>
      </c>
      <c r="M789" s="3">
        <v>21.28</v>
      </c>
      <c r="N789" s="3" t="s">
        <v>8</v>
      </c>
      <c r="O789" s="3" t="s">
        <v>8</v>
      </c>
    </row>
    <row r="790" spans="1:15" x14ac:dyDescent="0.35">
      <c r="A790" s="5" t="str">
        <f>Loads[[#This Row],[Date]]&amp;Loads[[#This Row],[Product]]</f>
        <v>44204Product1</v>
      </c>
      <c r="B790" s="5">
        <f>COUNTIF($A$1:A790,Loads[[#This Row],[Load]])</f>
        <v>3</v>
      </c>
      <c r="C790" s="3" t="str">
        <f>Loads[[#This Row],[Load]]&amp;Loads[[#This Row],[Count]]</f>
        <v>44204Product13</v>
      </c>
      <c r="D790" s="90">
        <v>44204</v>
      </c>
      <c r="E790" s="143">
        <v>0</v>
      </c>
      <c r="F790" s="1" t="s">
        <v>9</v>
      </c>
      <c r="G790" s="2" t="s">
        <v>12</v>
      </c>
      <c r="H790" s="2" t="s">
        <v>42</v>
      </c>
      <c r="I790" s="1" t="s">
        <v>11</v>
      </c>
      <c r="J790" s="1" t="s">
        <v>8</v>
      </c>
      <c r="K790" s="89">
        <v>21380</v>
      </c>
      <c r="L790" s="3">
        <v>9.02</v>
      </c>
      <c r="M790" s="3">
        <v>20.49</v>
      </c>
      <c r="N790" s="3" t="s">
        <v>8</v>
      </c>
      <c r="O790" s="3" t="s">
        <v>8</v>
      </c>
    </row>
    <row r="791" spans="1:15" x14ac:dyDescent="0.35">
      <c r="A791" s="5" t="str">
        <f>Loads[[#This Row],[Date]]&amp;Loads[[#This Row],[Product]]</f>
        <v>44204Product1</v>
      </c>
      <c r="B791" s="5">
        <f>COUNTIF($A$1:A791,Loads[[#This Row],[Load]])</f>
        <v>4</v>
      </c>
      <c r="C791" s="3" t="str">
        <f>Loads[[#This Row],[Load]]&amp;Loads[[#This Row],[Count]]</f>
        <v>44204Product14</v>
      </c>
      <c r="D791" s="90">
        <v>44204</v>
      </c>
      <c r="E791" s="143">
        <v>0.25</v>
      </c>
      <c r="F791" s="1" t="s">
        <v>9</v>
      </c>
      <c r="G791" s="2" t="s">
        <v>12</v>
      </c>
      <c r="H791" s="2" t="s">
        <v>42</v>
      </c>
      <c r="I791" s="1" t="s">
        <v>11</v>
      </c>
      <c r="J791" s="1" t="s">
        <v>8</v>
      </c>
      <c r="K791" s="89">
        <v>33000</v>
      </c>
      <c r="L791" s="3">
        <v>10.39</v>
      </c>
      <c r="M791" s="3">
        <v>21.59</v>
      </c>
      <c r="N791" s="3" t="s">
        <v>8</v>
      </c>
      <c r="O791" s="3" t="s">
        <v>8</v>
      </c>
    </row>
    <row r="792" spans="1:15" x14ac:dyDescent="0.35">
      <c r="A792" s="5" t="str">
        <f>Loads[[#This Row],[Date]]&amp;Loads[[#This Row],[Product]]</f>
        <v>44204Product1</v>
      </c>
      <c r="B792" s="5">
        <f>COUNTIF($A$1:A792,Loads[[#This Row],[Load]])</f>
        <v>5</v>
      </c>
      <c r="C792" s="3" t="str">
        <f>Loads[[#This Row],[Load]]&amp;Loads[[#This Row],[Count]]</f>
        <v>44204Product15</v>
      </c>
      <c r="D792" s="90">
        <v>44204</v>
      </c>
      <c r="E792" s="143">
        <v>0.6972222222222223</v>
      </c>
      <c r="F792" s="1" t="s">
        <v>9</v>
      </c>
      <c r="G792" s="2" t="s">
        <v>12</v>
      </c>
      <c r="H792" s="2" t="s">
        <v>42</v>
      </c>
      <c r="I792" s="1" t="s">
        <v>11</v>
      </c>
      <c r="J792" s="1" t="s">
        <v>8</v>
      </c>
      <c r="K792" s="89">
        <v>27960</v>
      </c>
      <c r="L792" s="3">
        <v>6.51</v>
      </c>
      <c r="M792" s="3">
        <v>21.06</v>
      </c>
      <c r="N792" s="3" t="s">
        <v>8</v>
      </c>
      <c r="O792" s="3" t="s">
        <v>8</v>
      </c>
    </row>
    <row r="793" spans="1:15" x14ac:dyDescent="0.35">
      <c r="A793" s="5" t="str">
        <f>Loads[[#This Row],[Date]]&amp;Loads[[#This Row],[Product]]</f>
        <v>44204Product1</v>
      </c>
      <c r="B793" s="5">
        <f>COUNTIF($A$1:A793,Loads[[#This Row],[Load]])</f>
        <v>6</v>
      </c>
      <c r="C793" s="3" t="str">
        <f>Loads[[#This Row],[Load]]&amp;Loads[[#This Row],[Count]]</f>
        <v>44204Product16</v>
      </c>
      <c r="D793" s="90">
        <v>44204</v>
      </c>
      <c r="E793" s="143">
        <v>0.6972222222222223</v>
      </c>
      <c r="F793" s="1" t="s">
        <v>9</v>
      </c>
      <c r="G793" s="2" t="s">
        <v>12</v>
      </c>
      <c r="H793" s="2" t="s">
        <v>42</v>
      </c>
      <c r="I793" s="1" t="s">
        <v>11</v>
      </c>
      <c r="J793" s="1" t="s">
        <v>8</v>
      </c>
      <c r="K793" s="89">
        <v>31600</v>
      </c>
      <c r="L793" s="3">
        <v>6.51</v>
      </c>
      <c r="M793" s="3">
        <v>21.25</v>
      </c>
      <c r="N793" s="3" t="s">
        <v>8</v>
      </c>
      <c r="O793" s="3" t="s">
        <v>8</v>
      </c>
    </row>
    <row r="794" spans="1:15" x14ac:dyDescent="0.35">
      <c r="A794" s="5" t="str">
        <f>Loads[[#This Row],[Date]]&amp;Loads[[#This Row],[Product]]</f>
        <v>44204Product1</v>
      </c>
      <c r="B794" s="5">
        <f>COUNTIF($A$1:A794,Loads[[#This Row],[Load]])</f>
        <v>7</v>
      </c>
      <c r="C794" s="3" t="str">
        <f>Loads[[#This Row],[Load]]&amp;Loads[[#This Row],[Count]]</f>
        <v>44204Product17</v>
      </c>
      <c r="D794" s="90">
        <v>44204</v>
      </c>
      <c r="E794" s="143">
        <v>0.69791666666666663</v>
      </c>
      <c r="F794" s="1" t="s">
        <v>9</v>
      </c>
      <c r="G794" s="2" t="s">
        <v>12</v>
      </c>
      <c r="H794" s="2" t="s">
        <v>42</v>
      </c>
      <c r="I794" s="1" t="s">
        <v>11</v>
      </c>
      <c r="J794" s="1" t="s">
        <v>8</v>
      </c>
      <c r="K794" s="89">
        <v>13420</v>
      </c>
      <c r="L794" s="3">
        <v>7.08</v>
      </c>
      <c r="M794" s="3">
        <v>20.87</v>
      </c>
      <c r="N794" s="3" t="s">
        <v>8</v>
      </c>
      <c r="O794" s="3" t="s">
        <v>8</v>
      </c>
    </row>
    <row r="795" spans="1:15" x14ac:dyDescent="0.35">
      <c r="A795" s="5" t="str">
        <f>Loads[[#This Row],[Date]]&amp;Loads[[#This Row],[Product]]</f>
        <v>44204Product1</v>
      </c>
      <c r="B795" s="5">
        <f>COUNTIF($A$1:A795,Loads[[#This Row],[Load]])</f>
        <v>8</v>
      </c>
      <c r="C795" s="3" t="str">
        <f>Loads[[#This Row],[Load]]&amp;Loads[[#This Row],[Count]]</f>
        <v>44204Product18</v>
      </c>
      <c r="D795" s="90">
        <v>44204</v>
      </c>
      <c r="E795" s="143">
        <v>0.84305555555555556</v>
      </c>
      <c r="F795" s="1" t="s">
        <v>9</v>
      </c>
      <c r="G795" s="2" t="s">
        <v>12</v>
      </c>
      <c r="H795" s="2" t="s">
        <v>42</v>
      </c>
      <c r="I795" s="1" t="s">
        <v>11</v>
      </c>
      <c r="J795" s="1" t="s">
        <v>8</v>
      </c>
      <c r="K795" s="89">
        <v>19700</v>
      </c>
      <c r="L795" s="3">
        <v>9.67</v>
      </c>
      <c r="M795" s="3">
        <v>19.07</v>
      </c>
      <c r="N795" s="3" t="s">
        <v>8</v>
      </c>
      <c r="O795" s="3" t="s">
        <v>8</v>
      </c>
    </row>
    <row r="796" spans="1:15" x14ac:dyDescent="0.35">
      <c r="A796" s="5" t="str">
        <f>Loads[[#This Row],[Date]]&amp;Loads[[#This Row],[Product]]</f>
        <v>44204Product1</v>
      </c>
      <c r="B796" s="5">
        <f>COUNTIF($A$1:A796,Loads[[#This Row],[Load]])</f>
        <v>9</v>
      </c>
      <c r="C796" s="3" t="str">
        <f>Loads[[#This Row],[Load]]&amp;Loads[[#This Row],[Count]]</f>
        <v>44204Product19</v>
      </c>
      <c r="D796" s="90">
        <v>44204</v>
      </c>
      <c r="E796" s="143">
        <v>0.84375</v>
      </c>
      <c r="F796" s="1" t="s">
        <v>9</v>
      </c>
      <c r="G796" s="2" t="s">
        <v>12</v>
      </c>
      <c r="H796" s="2" t="s">
        <v>42</v>
      </c>
      <c r="I796" s="1" t="s">
        <v>11</v>
      </c>
      <c r="J796" s="1" t="s">
        <v>8</v>
      </c>
      <c r="K796" s="89">
        <v>30380</v>
      </c>
      <c r="L796" s="3">
        <v>9.66</v>
      </c>
      <c r="M796" s="3">
        <v>19.13</v>
      </c>
      <c r="N796" s="3" t="s">
        <v>8</v>
      </c>
      <c r="O796" s="3" t="s">
        <v>8</v>
      </c>
    </row>
    <row r="797" spans="1:15" x14ac:dyDescent="0.35">
      <c r="A797" s="5" t="str">
        <f>Loads[[#This Row],[Date]]&amp;Loads[[#This Row],[Product]]</f>
        <v>44205Product1</v>
      </c>
      <c r="B797" s="5">
        <f>COUNTIF($A$1:A797,Loads[[#This Row],[Load]])</f>
        <v>1</v>
      </c>
      <c r="C797" s="3" t="str">
        <f>Loads[[#This Row],[Load]]&amp;Loads[[#This Row],[Count]]</f>
        <v>44205Product11</v>
      </c>
      <c r="D797" s="90">
        <v>44205</v>
      </c>
      <c r="E797" s="143">
        <v>5.9027777777777783E-2</v>
      </c>
      <c r="F797" s="1" t="s">
        <v>9</v>
      </c>
      <c r="G797" s="2" t="s">
        <v>12</v>
      </c>
      <c r="H797" s="2" t="s">
        <v>42</v>
      </c>
      <c r="I797" s="1" t="s">
        <v>11</v>
      </c>
      <c r="J797" s="1">
        <v>125</v>
      </c>
      <c r="K797" s="89">
        <v>5080</v>
      </c>
      <c r="L797" s="3">
        <v>8.6300000000000008</v>
      </c>
      <c r="M797" s="3">
        <v>19.809999999999999</v>
      </c>
      <c r="N797" s="3" t="s">
        <v>8</v>
      </c>
      <c r="O797" s="3" t="s">
        <v>8</v>
      </c>
    </row>
    <row r="798" spans="1:15" x14ac:dyDescent="0.35">
      <c r="A798" s="5" t="str">
        <f>Loads[[#This Row],[Date]]&amp;Loads[[#This Row],[Product]]</f>
        <v>44205Product1</v>
      </c>
      <c r="B798" s="5">
        <f>COUNTIF($A$1:A798,Loads[[#This Row],[Load]])</f>
        <v>2</v>
      </c>
      <c r="C798" s="3" t="str">
        <f>Loads[[#This Row],[Load]]&amp;Loads[[#This Row],[Count]]</f>
        <v>44205Product12</v>
      </c>
      <c r="D798" s="90">
        <v>44205</v>
      </c>
      <c r="E798" s="143">
        <v>0.73749999999999993</v>
      </c>
      <c r="F798" s="1" t="s">
        <v>9</v>
      </c>
      <c r="G798" s="2" t="s">
        <v>12</v>
      </c>
      <c r="H798" s="2" t="s">
        <v>42</v>
      </c>
      <c r="I798" s="1" t="s">
        <v>11</v>
      </c>
      <c r="J798" s="1" t="s">
        <v>8</v>
      </c>
      <c r="K798" s="89">
        <v>18620</v>
      </c>
      <c r="L798" s="3">
        <v>8.23</v>
      </c>
      <c r="M798" s="3">
        <v>19.739999999999998</v>
      </c>
      <c r="N798" s="3" t="s">
        <v>8</v>
      </c>
      <c r="O798" s="3" t="s">
        <v>8</v>
      </c>
    </row>
    <row r="799" spans="1:15" x14ac:dyDescent="0.35">
      <c r="A799" s="5" t="str">
        <f>Loads[[#This Row],[Date]]&amp;Loads[[#This Row],[Product]]</f>
        <v>44205Product1</v>
      </c>
      <c r="B799" s="5">
        <f>COUNTIF($A$1:A799,Loads[[#This Row],[Load]])</f>
        <v>3</v>
      </c>
      <c r="C799" s="3" t="str">
        <f>Loads[[#This Row],[Load]]&amp;Loads[[#This Row],[Count]]</f>
        <v>44205Product13</v>
      </c>
      <c r="D799" s="90">
        <v>44205</v>
      </c>
      <c r="E799" s="143">
        <v>0.73749999999999993</v>
      </c>
      <c r="F799" s="1" t="s">
        <v>9</v>
      </c>
      <c r="G799" s="2" t="s">
        <v>12</v>
      </c>
      <c r="H799" s="2" t="s">
        <v>42</v>
      </c>
      <c r="I799" s="1" t="s">
        <v>11</v>
      </c>
      <c r="J799" s="1" t="s">
        <v>8</v>
      </c>
      <c r="K799" s="89">
        <v>18040</v>
      </c>
      <c r="L799" s="3">
        <v>6.04</v>
      </c>
      <c r="M799" s="3">
        <v>20.55</v>
      </c>
      <c r="N799" s="3" t="s">
        <v>8</v>
      </c>
      <c r="O799" s="3" t="s">
        <v>8</v>
      </c>
    </row>
    <row r="800" spans="1:15" x14ac:dyDescent="0.35">
      <c r="A800" s="5" t="str">
        <f>Loads[[#This Row],[Date]]&amp;Loads[[#This Row],[Product]]</f>
        <v>44205Product1</v>
      </c>
      <c r="B800" s="5">
        <f>COUNTIF($A$1:A800,Loads[[#This Row],[Load]])</f>
        <v>4</v>
      </c>
      <c r="C800" s="3" t="str">
        <f>Loads[[#This Row],[Load]]&amp;Loads[[#This Row],[Count]]</f>
        <v>44205Product14</v>
      </c>
      <c r="D800" s="90">
        <v>44205</v>
      </c>
      <c r="E800" s="143">
        <v>0.73819444444444438</v>
      </c>
      <c r="F800" s="1" t="s">
        <v>9</v>
      </c>
      <c r="G800" s="2" t="s">
        <v>12</v>
      </c>
      <c r="H800" s="2" t="s">
        <v>42</v>
      </c>
      <c r="I800" s="1" t="s">
        <v>11</v>
      </c>
      <c r="J800" s="1" t="s">
        <v>8</v>
      </c>
      <c r="K800" s="89">
        <v>19840</v>
      </c>
      <c r="L800" s="3">
        <v>8.3699999999999992</v>
      </c>
      <c r="M800" s="3">
        <v>19.43</v>
      </c>
      <c r="N800" s="3" t="s">
        <v>8</v>
      </c>
      <c r="O800" s="3" t="s">
        <v>8</v>
      </c>
    </row>
    <row r="801" spans="1:15" x14ac:dyDescent="0.35">
      <c r="A801" s="5" t="str">
        <f>Loads[[#This Row],[Date]]&amp;Loads[[#This Row],[Product]]</f>
        <v>44205Product1</v>
      </c>
      <c r="B801" s="5">
        <f>COUNTIF($A$1:A801,Loads[[#This Row],[Load]])</f>
        <v>5</v>
      </c>
      <c r="C801" s="3" t="str">
        <f>Loads[[#This Row],[Load]]&amp;Loads[[#This Row],[Count]]</f>
        <v>44205Product15</v>
      </c>
      <c r="D801" s="90">
        <v>44205</v>
      </c>
      <c r="E801" s="143">
        <v>0.73888888888888893</v>
      </c>
      <c r="F801" s="1" t="s">
        <v>9</v>
      </c>
      <c r="G801" s="2" t="s">
        <v>12</v>
      </c>
      <c r="H801" s="2" t="s">
        <v>42</v>
      </c>
      <c r="I801" s="1" t="s">
        <v>11</v>
      </c>
      <c r="J801" s="1" t="s">
        <v>8</v>
      </c>
      <c r="K801" s="89">
        <v>19000</v>
      </c>
      <c r="L801" s="3">
        <v>9.1999999999999993</v>
      </c>
      <c r="M801" s="3">
        <v>19.399999999999999</v>
      </c>
      <c r="N801" s="3" t="s">
        <v>8</v>
      </c>
      <c r="O801" s="3" t="s">
        <v>8</v>
      </c>
    </row>
    <row r="802" spans="1:15" x14ac:dyDescent="0.35">
      <c r="A802" s="5" t="str">
        <f>Loads[[#This Row],[Date]]&amp;Loads[[#This Row],[Product]]</f>
        <v>44205Product1</v>
      </c>
      <c r="B802" s="5">
        <f>COUNTIF($A$1:A802,Loads[[#This Row],[Load]])</f>
        <v>6</v>
      </c>
      <c r="C802" s="3" t="str">
        <f>Loads[[#This Row],[Load]]&amp;Loads[[#This Row],[Count]]</f>
        <v>44205Product16</v>
      </c>
      <c r="D802" s="90">
        <v>44205</v>
      </c>
      <c r="E802" s="143">
        <v>0.73888888888888893</v>
      </c>
      <c r="F802" s="1" t="s">
        <v>9</v>
      </c>
      <c r="G802" s="2" t="s">
        <v>12</v>
      </c>
      <c r="H802" s="2" t="s">
        <v>42</v>
      </c>
      <c r="I802" s="1" t="s">
        <v>11</v>
      </c>
      <c r="J802" s="1" t="s">
        <v>8</v>
      </c>
      <c r="K802" s="89">
        <v>22000</v>
      </c>
      <c r="L802" s="3">
        <v>6.04</v>
      </c>
      <c r="M802" s="3">
        <v>20.89</v>
      </c>
      <c r="N802" s="3" t="s">
        <v>8</v>
      </c>
      <c r="O802" s="3" t="s">
        <v>8</v>
      </c>
    </row>
    <row r="803" spans="1:15" x14ac:dyDescent="0.35">
      <c r="A803" s="5" t="str">
        <f>Loads[[#This Row],[Date]]&amp;Loads[[#This Row],[Product]]</f>
        <v>44205Product1</v>
      </c>
      <c r="B803" s="5">
        <f>COUNTIF($A$1:A803,Loads[[#This Row],[Load]])</f>
        <v>7</v>
      </c>
      <c r="C803" s="3" t="str">
        <f>Loads[[#This Row],[Load]]&amp;Loads[[#This Row],[Count]]</f>
        <v>44205Product17</v>
      </c>
      <c r="D803" s="90">
        <v>44205</v>
      </c>
      <c r="E803" s="143">
        <v>0.9375</v>
      </c>
      <c r="F803" s="1" t="s">
        <v>9</v>
      </c>
      <c r="G803" s="2" t="s">
        <v>12</v>
      </c>
      <c r="H803" s="2" t="s">
        <v>42</v>
      </c>
      <c r="I803" s="1" t="s">
        <v>11</v>
      </c>
      <c r="J803" s="1" t="s">
        <v>8</v>
      </c>
      <c r="K803" s="89">
        <v>18780</v>
      </c>
      <c r="L803" s="3">
        <v>6.39</v>
      </c>
      <c r="M803" s="3">
        <v>19.98</v>
      </c>
      <c r="N803" s="3" t="s">
        <v>8</v>
      </c>
      <c r="O803" s="3" t="s">
        <v>8</v>
      </c>
    </row>
    <row r="804" spans="1:15" x14ac:dyDescent="0.35">
      <c r="A804" s="5" t="str">
        <f>Loads[[#This Row],[Date]]&amp;Loads[[#This Row],[Product]]</f>
        <v>44205Product1</v>
      </c>
      <c r="B804" s="5">
        <f>COUNTIF($A$1:A804,Loads[[#This Row],[Load]])</f>
        <v>8</v>
      </c>
      <c r="C804" s="3" t="str">
        <f>Loads[[#This Row],[Load]]&amp;Loads[[#This Row],[Count]]</f>
        <v>44205Product18</v>
      </c>
      <c r="D804" s="90">
        <v>44205</v>
      </c>
      <c r="E804" s="143">
        <v>0.93819444444444444</v>
      </c>
      <c r="F804" s="1" t="s">
        <v>9</v>
      </c>
      <c r="G804" s="2" t="s">
        <v>12</v>
      </c>
      <c r="H804" s="2" t="s">
        <v>42</v>
      </c>
      <c r="I804" s="1" t="s">
        <v>11</v>
      </c>
      <c r="J804" s="1" t="s">
        <v>8</v>
      </c>
      <c r="K804" s="89">
        <v>24280</v>
      </c>
      <c r="L804" s="3">
        <v>8.77</v>
      </c>
      <c r="M804" s="3">
        <v>20.61</v>
      </c>
      <c r="N804" s="3" t="s">
        <v>8</v>
      </c>
      <c r="O804" s="3" t="s">
        <v>8</v>
      </c>
    </row>
    <row r="805" spans="1:15" x14ac:dyDescent="0.35">
      <c r="A805" s="5" t="str">
        <f>Loads[[#This Row],[Date]]&amp;Loads[[#This Row],[Product]]</f>
        <v>44206Product1</v>
      </c>
      <c r="B805" s="5">
        <f>COUNTIF($A$1:A805,Loads[[#This Row],[Load]])</f>
        <v>1</v>
      </c>
      <c r="C805" s="3" t="str">
        <f>Loads[[#This Row],[Load]]&amp;Loads[[#This Row],[Count]]</f>
        <v>44206Product11</v>
      </c>
      <c r="D805" s="90">
        <v>44206</v>
      </c>
      <c r="E805" s="143">
        <v>0.68472222222222223</v>
      </c>
      <c r="F805" s="1" t="s">
        <v>9</v>
      </c>
      <c r="G805" s="2" t="s">
        <v>12</v>
      </c>
      <c r="H805" s="2" t="s">
        <v>42</v>
      </c>
      <c r="I805" s="1" t="s">
        <v>11</v>
      </c>
      <c r="J805" s="1" t="s">
        <v>8</v>
      </c>
      <c r="K805" s="89">
        <v>17660</v>
      </c>
      <c r="L805" s="3">
        <v>9.07</v>
      </c>
      <c r="M805" s="3">
        <v>20.21</v>
      </c>
      <c r="N805" s="3" t="s">
        <v>8</v>
      </c>
      <c r="O805" s="3" t="s">
        <v>8</v>
      </c>
    </row>
    <row r="806" spans="1:15" x14ac:dyDescent="0.35">
      <c r="A806" s="5" t="str">
        <f>Loads[[#This Row],[Date]]&amp;Loads[[#This Row],[Product]]</f>
        <v>44206Product1</v>
      </c>
      <c r="B806" s="5">
        <f>COUNTIF($A$1:A806,Loads[[#This Row],[Load]])</f>
        <v>2</v>
      </c>
      <c r="C806" s="3" t="str">
        <f>Loads[[#This Row],[Load]]&amp;Loads[[#This Row],[Count]]</f>
        <v>44206Product12</v>
      </c>
      <c r="D806" s="90">
        <v>44206</v>
      </c>
      <c r="E806" s="143">
        <v>0.68541666666666667</v>
      </c>
      <c r="F806" s="1" t="s">
        <v>9</v>
      </c>
      <c r="G806" s="2" t="s">
        <v>12</v>
      </c>
      <c r="H806" s="2" t="s">
        <v>42</v>
      </c>
      <c r="I806" s="1" t="s">
        <v>11</v>
      </c>
      <c r="J806" s="1" t="s">
        <v>8</v>
      </c>
      <c r="K806" s="89">
        <v>24300</v>
      </c>
      <c r="L806" s="3">
        <v>9.2799999999999994</v>
      </c>
      <c r="M806" s="3">
        <v>20.32</v>
      </c>
      <c r="N806" s="3" t="s">
        <v>8</v>
      </c>
      <c r="O806" s="3" t="s">
        <v>8</v>
      </c>
    </row>
    <row r="807" spans="1:15" x14ac:dyDescent="0.35">
      <c r="A807" s="5" t="str">
        <f>Loads[[#This Row],[Date]]&amp;Loads[[#This Row],[Product]]</f>
        <v>44206Product1</v>
      </c>
      <c r="B807" s="5">
        <f>COUNTIF($A$1:A807,Loads[[#This Row],[Load]])</f>
        <v>3</v>
      </c>
      <c r="C807" s="3" t="str">
        <f>Loads[[#This Row],[Load]]&amp;Loads[[#This Row],[Count]]</f>
        <v>44206Product13</v>
      </c>
      <c r="D807" s="90">
        <v>44206</v>
      </c>
      <c r="E807" s="143">
        <v>0.68541666666666667</v>
      </c>
      <c r="F807" s="1" t="s">
        <v>9</v>
      </c>
      <c r="G807" s="2" t="s">
        <v>12</v>
      </c>
      <c r="H807" s="2" t="s">
        <v>42</v>
      </c>
      <c r="I807" s="1" t="s">
        <v>11</v>
      </c>
      <c r="J807" s="1" t="s">
        <v>8</v>
      </c>
      <c r="K807" s="89">
        <v>25340</v>
      </c>
      <c r="L807" s="3">
        <v>9.06</v>
      </c>
      <c r="M807" s="3">
        <v>20.61</v>
      </c>
      <c r="N807" s="3" t="s">
        <v>8</v>
      </c>
      <c r="O807" s="3" t="s">
        <v>8</v>
      </c>
    </row>
    <row r="808" spans="1:15" x14ac:dyDescent="0.35">
      <c r="A808" s="5" t="str">
        <f>Loads[[#This Row],[Date]]&amp;Loads[[#This Row],[Product]]</f>
        <v>44206Product1</v>
      </c>
      <c r="B808" s="5">
        <f>COUNTIF($A$1:A808,Loads[[#This Row],[Load]])</f>
        <v>4</v>
      </c>
      <c r="C808" s="3" t="str">
        <f>Loads[[#This Row],[Load]]&amp;Loads[[#This Row],[Count]]</f>
        <v>44206Product14</v>
      </c>
      <c r="D808" s="90">
        <v>44206</v>
      </c>
      <c r="E808" s="143">
        <v>0.68611111111111101</v>
      </c>
      <c r="F808" s="1" t="s">
        <v>9</v>
      </c>
      <c r="G808" s="2" t="s">
        <v>12</v>
      </c>
      <c r="H808" s="2" t="s">
        <v>42</v>
      </c>
      <c r="I808" s="1" t="s">
        <v>10</v>
      </c>
      <c r="J808" s="1">
        <v>785</v>
      </c>
      <c r="K808" s="89">
        <v>31480</v>
      </c>
      <c r="L808" s="3">
        <v>9.2899999999999991</v>
      </c>
      <c r="M808" s="3">
        <v>20.59</v>
      </c>
      <c r="N808" s="3" t="s">
        <v>8</v>
      </c>
      <c r="O808" s="3" t="s">
        <v>8</v>
      </c>
    </row>
    <row r="809" spans="1:15" x14ac:dyDescent="0.35">
      <c r="A809" s="5" t="str">
        <f>Loads[[#This Row],[Date]]&amp;Loads[[#This Row],[Product]]</f>
        <v>44206Product1</v>
      </c>
      <c r="B809" s="5">
        <f>COUNTIF($A$1:A809,Loads[[#This Row],[Load]])</f>
        <v>5</v>
      </c>
      <c r="C809" s="3" t="str">
        <f>Loads[[#This Row],[Load]]&amp;Loads[[#This Row],[Count]]</f>
        <v>44206Product15</v>
      </c>
      <c r="D809" s="90">
        <v>44206</v>
      </c>
      <c r="E809" s="143">
        <v>0.68611111111111101</v>
      </c>
      <c r="F809" s="1" t="s">
        <v>9</v>
      </c>
      <c r="G809" s="2" t="s">
        <v>12</v>
      </c>
      <c r="H809" s="2" t="s">
        <v>42</v>
      </c>
      <c r="I809" s="1" t="s">
        <v>11</v>
      </c>
      <c r="J809" s="1" t="s">
        <v>8</v>
      </c>
      <c r="K809" s="89">
        <v>20740</v>
      </c>
      <c r="L809" s="3">
        <v>9.8000000000000007</v>
      </c>
      <c r="M809" s="3">
        <v>21.24</v>
      </c>
      <c r="N809" s="3" t="s">
        <v>8</v>
      </c>
      <c r="O809" s="3" t="s">
        <v>8</v>
      </c>
    </row>
    <row r="810" spans="1:15" x14ac:dyDescent="0.35">
      <c r="A810" s="5" t="str">
        <f>Loads[[#This Row],[Date]]&amp;Loads[[#This Row],[Product]]</f>
        <v>44206Product1</v>
      </c>
      <c r="B810" s="5">
        <f>COUNTIF($A$1:A810,Loads[[#This Row],[Load]])</f>
        <v>6</v>
      </c>
      <c r="C810" s="3" t="str">
        <f>Loads[[#This Row],[Load]]&amp;Loads[[#This Row],[Count]]</f>
        <v>44206Product16</v>
      </c>
      <c r="D810" s="90">
        <v>44206</v>
      </c>
      <c r="E810" s="143">
        <v>0.68680555555555556</v>
      </c>
      <c r="F810" s="1" t="s">
        <v>9</v>
      </c>
      <c r="G810" s="2" t="s">
        <v>12</v>
      </c>
      <c r="H810" s="2" t="s">
        <v>42</v>
      </c>
      <c r="I810" s="1" t="s">
        <v>11</v>
      </c>
      <c r="J810" s="1" t="s">
        <v>8</v>
      </c>
      <c r="K810" s="89">
        <v>24560</v>
      </c>
      <c r="L810" s="3">
        <v>9.2100000000000009</v>
      </c>
      <c r="M810" s="3">
        <v>20.11</v>
      </c>
      <c r="N810" s="3" t="s">
        <v>8</v>
      </c>
      <c r="O810" s="3" t="s">
        <v>8</v>
      </c>
    </row>
    <row r="811" spans="1:15" x14ac:dyDescent="0.35">
      <c r="A811" s="5" t="str">
        <f>Loads[[#This Row],[Date]]&amp;Loads[[#This Row],[Product]]</f>
        <v>44206Product1</v>
      </c>
      <c r="B811" s="5">
        <f>COUNTIF($A$1:A811,Loads[[#This Row],[Load]])</f>
        <v>7</v>
      </c>
      <c r="C811" s="3" t="str">
        <f>Loads[[#This Row],[Load]]&amp;Loads[[#This Row],[Count]]</f>
        <v>44206Product17</v>
      </c>
      <c r="D811" s="90">
        <v>44206</v>
      </c>
      <c r="E811" s="143">
        <v>0.6875</v>
      </c>
      <c r="F811" s="1" t="s">
        <v>9</v>
      </c>
      <c r="G811" s="2" t="s">
        <v>12</v>
      </c>
      <c r="H811" s="2" t="s">
        <v>42</v>
      </c>
      <c r="I811" s="1" t="s">
        <v>11</v>
      </c>
      <c r="J811" s="1" t="s">
        <v>8</v>
      </c>
      <c r="K811" s="89">
        <v>19980</v>
      </c>
      <c r="L811" s="3">
        <v>8.56</v>
      </c>
      <c r="M811" s="3">
        <v>20.079999999999998</v>
      </c>
      <c r="N811" s="3" t="s">
        <v>8</v>
      </c>
      <c r="O811" s="3" t="s">
        <v>8</v>
      </c>
    </row>
    <row r="812" spans="1:15" x14ac:dyDescent="0.35">
      <c r="A812" s="5" t="str">
        <f>Loads[[#This Row],[Date]]&amp;Loads[[#This Row],[Product]]</f>
        <v>44206Product1</v>
      </c>
      <c r="B812" s="5">
        <f>COUNTIF($A$1:A812,Loads[[#This Row],[Load]])</f>
        <v>8</v>
      </c>
      <c r="C812" s="3" t="str">
        <f>Loads[[#This Row],[Load]]&amp;Loads[[#This Row],[Count]]</f>
        <v>44206Product18</v>
      </c>
      <c r="D812" s="90">
        <v>44206</v>
      </c>
      <c r="E812" s="143">
        <v>0.68819444444444444</v>
      </c>
      <c r="F812" s="1" t="s">
        <v>9</v>
      </c>
      <c r="G812" s="2" t="s">
        <v>12</v>
      </c>
      <c r="H812" s="2" t="s">
        <v>42</v>
      </c>
      <c r="I812" s="1" t="s">
        <v>11</v>
      </c>
      <c r="J812" s="1" t="s">
        <v>8</v>
      </c>
      <c r="K812" s="89">
        <v>31000</v>
      </c>
      <c r="L812" s="3">
        <v>9.25</v>
      </c>
      <c r="M812" s="3">
        <v>21.41</v>
      </c>
      <c r="N812" s="3" t="s">
        <v>8</v>
      </c>
      <c r="O812" s="3" t="s">
        <v>8</v>
      </c>
    </row>
    <row r="813" spans="1:15" x14ac:dyDescent="0.35">
      <c r="A813" s="5" t="str">
        <f>Loads[[#This Row],[Date]]&amp;Loads[[#This Row],[Product]]</f>
        <v>44206Product1</v>
      </c>
      <c r="B813" s="5">
        <f>COUNTIF($A$1:A813,Loads[[#This Row],[Load]])</f>
        <v>9</v>
      </c>
      <c r="C813" s="3" t="str">
        <f>Loads[[#This Row],[Load]]&amp;Loads[[#This Row],[Count]]</f>
        <v>44206Product19</v>
      </c>
      <c r="D813" s="90">
        <v>44206</v>
      </c>
      <c r="E813" s="143">
        <v>0.68819444444444444</v>
      </c>
      <c r="F813" s="1" t="s">
        <v>9</v>
      </c>
      <c r="G813" s="2" t="s">
        <v>12</v>
      </c>
      <c r="H813" s="2" t="s">
        <v>42</v>
      </c>
      <c r="I813" s="1" t="s">
        <v>11</v>
      </c>
      <c r="J813" s="1" t="s">
        <v>8</v>
      </c>
      <c r="K813" s="89">
        <v>11700</v>
      </c>
      <c r="L813" s="3">
        <v>8.9</v>
      </c>
      <c r="M813" s="3">
        <v>21.34</v>
      </c>
      <c r="N813" s="3" t="s">
        <v>8</v>
      </c>
      <c r="O813" s="3" t="s">
        <v>8</v>
      </c>
    </row>
    <row r="814" spans="1:15" x14ac:dyDescent="0.35">
      <c r="A814" s="5" t="str">
        <f>Loads[[#This Row],[Date]]&amp;Loads[[#This Row],[Product]]</f>
        <v>44206Product1</v>
      </c>
      <c r="B814" s="5">
        <f>COUNTIF($A$1:A814,Loads[[#This Row],[Load]])</f>
        <v>10</v>
      </c>
      <c r="C814" s="3" t="str">
        <f>Loads[[#This Row],[Load]]&amp;Loads[[#This Row],[Count]]</f>
        <v>44206Product110</v>
      </c>
      <c r="D814" s="90">
        <v>44206</v>
      </c>
      <c r="E814" s="143">
        <v>0.68888888888888899</v>
      </c>
      <c r="F814" s="1" t="s">
        <v>9</v>
      </c>
      <c r="G814" s="2" t="s">
        <v>12</v>
      </c>
      <c r="H814" s="2" t="s">
        <v>42</v>
      </c>
      <c r="I814" s="1" t="s">
        <v>11</v>
      </c>
      <c r="J814" s="1" t="s">
        <v>8</v>
      </c>
      <c r="K814" s="89">
        <v>18480</v>
      </c>
      <c r="L814" s="3">
        <v>8.57</v>
      </c>
      <c r="M814" s="3">
        <v>19.88</v>
      </c>
      <c r="N814" s="3" t="s">
        <v>8</v>
      </c>
      <c r="O814" s="3" t="s">
        <v>8</v>
      </c>
    </row>
    <row r="815" spans="1:15" x14ac:dyDescent="0.35">
      <c r="A815" s="5" t="str">
        <f>Loads[[#This Row],[Date]]&amp;Loads[[#This Row],[Product]]</f>
        <v>44206Product1</v>
      </c>
      <c r="B815" s="5">
        <f>COUNTIF($A$1:A815,Loads[[#This Row],[Load]])</f>
        <v>11</v>
      </c>
      <c r="C815" s="3" t="str">
        <f>Loads[[#This Row],[Load]]&amp;Loads[[#This Row],[Count]]</f>
        <v>44206Product111</v>
      </c>
      <c r="D815" s="90">
        <v>44206</v>
      </c>
      <c r="E815" s="143">
        <v>0.68888888888888899</v>
      </c>
      <c r="F815" s="1" t="s">
        <v>9</v>
      </c>
      <c r="G815" s="2" t="s">
        <v>12</v>
      </c>
      <c r="H815" s="2" t="s">
        <v>42</v>
      </c>
      <c r="I815" s="1" t="s">
        <v>11</v>
      </c>
      <c r="J815" s="1" t="s">
        <v>8</v>
      </c>
      <c r="K815" s="89">
        <v>26020</v>
      </c>
      <c r="L815" s="3">
        <v>8.77</v>
      </c>
      <c r="M815" s="3">
        <v>21.37</v>
      </c>
      <c r="N815" s="3" t="s">
        <v>8</v>
      </c>
      <c r="O815" s="3" t="s">
        <v>8</v>
      </c>
    </row>
    <row r="816" spans="1:15" x14ac:dyDescent="0.35">
      <c r="A816" s="5" t="str">
        <f>Loads[[#This Row],[Date]]&amp;Loads[[#This Row],[Product]]</f>
        <v>44206Product1</v>
      </c>
      <c r="B816" s="5">
        <f>COUNTIF($A$1:A816,Loads[[#This Row],[Load]])</f>
        <v>12</v>
      </c>
      <c r="C816" s="3" t="str">
        <f>Loads[[#This Row],[Load]]&amp;Loads[[#This Row],[Count]]</f>
        <v>44206Product112</v>
      </c>
      <c r="D816" s="90">
        <v>44206</v>
      </c>
      <c r="E816" s="143">
        <v>0.68958333333333333</v>
      </c>
      <c r="F816" s="1" t="s">
        <v>9</v>
      </c>
      <c r="G816" s="2" t="s">
        <v>12</v>
      </c>
      <c r="H816" s="2" t="s">
        <v>42</v>
      </c>
      <c r="I816" s="1" t="s">
        <v>11</v>
      </c>
      <c r="J816" s="1" t="s">
        <v>8</v>
      </c>
      <c r="K816" s="89">
        <v>31080</v>
      </c>
      <c r="L816" s="3">
        <v>9.7899999999999991</v>
      </c>
      <c r="M816" s="3">
        <v>21.33</v>
      </c>
      <c r="N816" s="3" t="s">
        <v>8</v>
      </c>
      <c r="O816" s="3" t="s">
        <v>8</v>
      </c>
    </row>
    <row r="817" spans="1:15" x14ac:dyDescent="0.35">
      <c r="A817" s="5" t="str">
        <f>Loads[[#This Row],[Date]]&amp;Loads[[#This Row],[Product]]</f>
        <v>44206Product1</v>
      </c>
      <c r="B817" s="5">
        <f>COUNTIF($A$1:A817,Loads[[#This Row],[Load]])</f>
        <v>13</v>
      </c>
      <c r="C817" s="3" t="str">
        <f>Loads[[#This Row],[Load]]&amp;Loads[[#This Row],[Count]]</f>
        <v>44206Product113</v>
      </c>
      <c r="D817" s="90">
        <v>44206</v>
      </c>
      <c r="E817" s="143">
        <v>0.68958333333333333</v>
      </c>
      <c r="F817" s="1" t="s">
        <v>9</v>
      </c>
      <c r="G817" s="2" t="s">
        <v>12</v>
      </c>
      <c r="H817" s="2" t="s">
        <v>42</v>
      </c>
      <c r="I817" s="1" t="s">
        <v>11</v>
      </c>
      <c r="J817" s="1" t="s">
        <v>8</v>
      </c>
      <c r="K817" s="89">
        <v>19080</v>
      </c>
      <c r="L817" s="3">
        <v>9.36</v>
      </c>
      <c r="M817" s="3">
        <v>20</v>
      </c>
      <c r="N817" s="3" t="s">
        <v>8</v>
      </c>
      <c r="O817" s="3" t="s">
        <v>8</v>
      </c>
    </row>
    <row r="818" spans="1:15" x14ac:dyDescent="0.35">
      <c r="A818" s="5" t="str">
        <f>Loads[[#This Row],[Date]]&amp;Loads[[#This Row],[Product]]</f>
        <v>44206Product1</v>
      </c>
      <c r="B818" s="5">
        <f>COUNTIF($A$1:A818,Loads[[#This Row],[Load]])</f>
        <v>14</v>
      </c>
      <c r="C818" s="3" t="str">
        <f>Loads[[#This Row],[Load]]&amp;Loads[[#This Row],[Count]]</f>
        <v>44206Product114</v>
      </c>
      <c r="D818" s="90">
        <v>44206</v>
      </c>
      <c r="E818" s="143">
        <v>0.69027777777777777</v>
      </c>
      <c r="F818" s="1" t="s">
        <v>9</v>
      </c>
      <c r="G818" s="2" t="s">
        <v>12</v>
      </c>
      <c r="H818" s="2" t="s">
        <v>42</v>
      </c>
      <c r="I818" s="1" t="s">
        <v>11</v>
      </c>
      <c r="J818" s="1" t="s">
        <v>8</v>
      </c>
      <c r="K818" s="89">
        <v>27480</v>
      </c>
      <c r="L818" s="3">
        <v>8.9700000000000006</v>
      </c>
      <c r="M818" s="3">
        <v>20.78</v>
      </c>
      <c r="N818" s="3" t="s">
        <v>8</v>
      </c>
      <c r="O818" s="3" t="s">
        <v>8</v>
      </c>
    </row>
    <row r="819" spans="1:15" x14ac:dyDescent="0.35">
      <c r="A819" s="5" t="str">
        <f>Loads[[#This Row],[Date]]&amp;Loads[[#This Row],[Product]]</f>
        <v>44206Product1</v>
      </c>
      <c r="B819" s="5">
        <f>COUNTIF($A$1:A819,Loads[[#This Row],[Load]])</f>
        <v>15</v>
      </c>
      <c r="C819" s="3" t="str">
        <f>Loads[[#This Row],[Load]]&amp;Loads[[#This Row],[Count]]</f>
        <v>44206Product115</v>
      </c>
      <c r="D819" s="90">
        <v>44206</v>
      </c>
      <c r="E819" s="143">
        <v>0.92847222222222225</v>
      </c>
      <c r="F819" s="1" t="s">
        <v>9</v>
      </c>
      <c r="G819" s="2" t="s">
        <v>12</v>
      </c>
      <c r="H819" s="2" t="s">
        <v>42</v>
      </c>
      <c r="I819" s="1" t="s">
        <v>11</v>
      </c>
      <c r="J819" s="1" t="s">
        <v>8</v>
      </c>
      <c r="K819" s="89">
        <v>32100</v>
      </c>
      <c r="L819" s="3">
        <v>7.58</v>
      </c>
      <c r="M819" s="3">
        <v>21.24</v>
      </c>
      <c r="N819" s="3" t="s">
        <v>8</v>
      </c>
      <c r="O819" s="3" t="s">
        <v>8</v>
      </c>
    </row>
    <row r="820" spans="1:15" x14ac:dyDescent="0.35">
      <c r="A820" s="5" t="str">
        <f>Loads[[#This Row],[Date]]&amp;Loads[[#This Row],[Product]]</f>
        <v>44207Product1</v>
      </c>
      <c r="B820" s="5">
        <f>COUNTIF($A$1:A820,Loads[[#This Row],[Load]])</f>
        <v>1</v>
      </c>
      <c r="C820" s="3" t="str">
        <f>Loads[[#This Row],[Load]]&amp;Loads[[#This Row],[Count]]</f>
        <v>44207Product11</v>
      </c>
      <c r="D820" s="90">
        <v>44207</v>
      </c>
      <c r="E820" s="143">
        <v>0.70277777777777783</v>
      </c>
      <c r="F820" s="1" t="s">
        <v>9</v>
      </c>
      <c r="G820" s="2" t="s">
        <v>12</v>
      </c>
      <c r="H820" s="2" t="s">
        <v>42</v>
      </c>
      <c r="I820" s="1" t="s">
        <v>11</v>
      </c>
      <c r="J820" s="1" t="s">
        <v>8</v>
      </c>
      <c r="K820" s="89">
        <v>25760</v>
      </c>
      <c r="L820" s="3">
        <v>8.9499999999999993</v>
      </c>
      <c r="M820" s="3">
        <v>21</v>
      </c>
      <c r="N820" s="3" t="s">
        <v>8</v>
      </c>
      <c r="O820" s="3" t="s">
        <v>8</v>
      </c>
    </row>
    <row r="821" spans="1:15" x14ac:dyDescent="0.35">
      <c r="A821" s="5" t="str">
        <f>Loads[[#This Row],[Date]]&amp;Loads[[#This Row],[Product]]</f>
        <v>44207Product1</v>
      </c>
      <c r="B821" s="5">
        <f>COUNTIF($A$1:A821,Loads[[#This Row],[Load]])</f>
        <v>2</v>
      </c>
      <c r="C821" s="3" t="str">
        <f>Loads[[#This Row],[Load]]&amp;Loads[[#This Row],[Count]]</f>
        <v>44207Product12</v>
      </c>
      <c r="D821" s="90">
        <v>44207</v>
      </c>
      <c r="E821" s="143">
        <v>0.70277777777777783</v>
      </c>
      <c r="F821" s="1" t="s">
        <v>9</v>
      </c>
      <c r="G821" s="2" t="s">
        <v>12</v>
      </c>
      <c r="H821" s="2" t="s">
        <v>42</v>
      </c>
      <c r="I821" s="1" t="s">
        <v>11</v>
      </c>
      <c r="J821" s="1" t="s">
        <v>8</v>
      </c>
      <c r="K821" s="89">
        <v>24220</v>
      </c>
      <c r="L821" s="3">
        <v>9.33</v>
      </c>
      <c r="M821" s="3">
        <v>22.97</v>
      </c>
      <c r="N821" s="3" t="s">
        <v>8</v>
      </c>
      <c r="O821" s="3" t="s">
        <v>8</v>
      </c>
    </row>
    <row r="822" spans="1:15" x14ac:dyDescent="0.35">
      <c r="A822" s="5" t="str">
        <f>Loads[[#This Row],[Date]]&amp;Loads[[#This Row],[Product]]</f>
        <v>44207Product1</v>
      </c>
      <c r="B822" s="5">
        <f>COUNTIF($A$1:A822,Loads[[#This Row],[Load]])</f>
        <v>3</v>
      </c>
      <c r="C822" s="3" t="str">
        <f>Loads[[#This Row],[Load]]&amp;Loads[[#This Row],[Count]]</f>
        <v>44207Product13</v>
      </c>
      <c r="D822" s="90">
        <v>44207</v>
      </c>
      <c r="E822" s="143">
        <v>0.96250000000000002</v>
      </c>
      <c r="F822" s="1" t="s">
        <v>9</v>
      </c>
      <c r="G822" s="2" t="s">
        <v>12</v>
      </c>
      <c r="H822" s="2" t="s">
        <v>42</v>
      </c>
      <c r="I822" s="1" t="s">
        <v>11</v>
      </c>
      <c r="J822" s="1" t="s">
        <v>8</v>
      </c>
      <c r="K822" s="89">
        <v>28420</v>
      </c>
      <c r="L822" s="3">
        <v>9.36</v>
      </c>
      <c r="M822" s="3">
        <v>22.25</v>
      </c>
      <c r="N822" s="3" t="s">
        <v>8</v>
      </c>
      <c r="O822" s="3" t="s">
        <v>8</v>
      </c>
    </row>
    <row r="823" spans="1:15" x14ac:dyDescent="0.35">
      <c r="A823" s="5" t="str">
        <f>Loads[[#This Row],[Date]]&amp;Loads[[#This Row],[Product]]</f>
        <v>44207Product1</v>
      </c>
      <c r="B823" s="5">
        <f>COUNTIF($A$1:A823,Loads[[#This Row],[Load]])</f>
        <v>4</v>
      </c>
      <c r="C823" s="3" t="str">
        <f>Loads[[#This Row],[Load]]&amp;Loads[[#This Row],[Count]]</f>
        <v>44207Product14</v>
      </c>
      <c r="D823" s="90">
        <v>44207</v>
      </c>
      <c r="E823" s="143">
        <v>0.96319444444444446</v>
      </c>
      <c r="F823" s="1" t="s">
        <v>9</v>
      </c>
      <c r="G823" s="2" t="s">
        <v>12</v>
      </c>
      <c r="H823" s="2" t="s">
        <v>42</v>
      </c>
      <c r="I823" s="1" t="s">
        <v>11</v>
      </c>
      <c r="J823" s="1" t="s">
        <v>8</v>
      </c>
      <c r="K823" s="89">
        <v>23040</v>
      </c>
      <c r="L823" s="3">
        <v>9.35</v>
      </c>
      <c r="M823" s="3">
        <v>22.67</v>
      </c>
      <c r="N823" s="3" t="s">
        <v>8</v>
      </c>
      <c r="O823" s="3" t="s">
        <v>8</v>
      </c>
    </row>
    <row r="824" spans="1:15" x14ac:dyDescent="0.35">
      <c r="A824" s="5" t="str">
        <f>Loads[[#This Row],[Date]]&amp;Loads[[#This Row],[Product]]</f>
        <v>44207Product1</v>
      </c>
      <c r="B824" s="5">
        <f>COUNTIF($A$1:A824,Loads[[#This Row],[Load]])</f>
        <v>5</v>
      </c>
      <c r="C824" s="3" t="str">
        <f>Loads[[#This Row],[Load]]&amp;Loads[[#This Row],[Count]]</f>
        <v>44207Product15</v>
      </c>
      <c r="D824" s="90">
        <v>44207</v>
      </c>
      <c r="E824" s="143">
        <v>0.96319444444444446</v>
      </c>
      <c r="F824" s="1" t="s">
        <v>9</v>
      </c>
      <c r="G824" s="2" t="s">
        <v>12</v>
      </c>
      <c r="H824" s="2" t="s">
        <v>42</v>
      </c>
      <c r="I824" s="1" t="s">
        <v>11</v>
      </c>
      <c r="J824" s="1" t="s">
        <v>8</v>
      </c>
      <c r="K824" s="89">
        <v>25440</v>
      </c>
      <c r="L824" s="3">
        <v>9.74</v>
      </c>
      <c r="M824" s="3">
        <v>23.07</v>
      </c>
      <c r="N824" s="3" t="s">
        <v>8</v>
      </c>
      <c r="O824" s="3" t="s">
        <v>8</v>
      </c>
    </row>
    <row r="825" spans="1:15" x14ac:dyDescent="0.35">
      <c r="A825" s="5" t="str">
        <f>Loads[[#This Row],[Date]]&amp;Loads[[#This Row],[Product]]</f>
        <v>44207Product1</v>
      </c>
      <c r="B825" s="5">
        <f>COUNTIF($A$1:A825,Loads[[#This Row],[Load]])</f>
        <v>6</v>
      </c>
      <c r="C825" s="3" t="str">
        <f>Loads[[#This Row],[Load]]&amp;Loads[[#This Row],[Count]]</f>
        <v>44207Product16</v>
      </c>
      <c r="D825" s="90">
        <v>44207</v>
      </c>
      <c r="E825" s="143">
        <v>0.96388888888888891</v>
      </c>
      <c r="F825" s="1" t="s">
        <v>9</v>
      </c>
      <c r="G825" s="2" t="s">
        <v>12</v>
      </c>
      <c r="H825" s="2" t="s">
        <v>42</v>
      </c>
      <c r="I825" s="1" t="s">
        <v>10</v>
      </c>
      <c r="J825" s="1">
        <v>300</v>
      </c>
      <c r="K825" s="89">
        <v>11460</v>
      </c>
      <c r="L825" s="3">
        <v>9.74</v>
      </c>
      <c r="M825" s="3">
        <v>23.07</v>
      </c>
      <c r="N825" s="3" t="s">
        <v>8</v>
      </c>
      <c r="O825" s="3" t="s">
        <v>8</v>
      </c>
    </row>
    <row r="826" spans="1:15" x14ac:dyDescent="0.35">
      <c r="A826" s="5" t="str">
        <f>Loads[[#This Row],[Date]]&amp;Loads[[#This Row],[Product]]</f>
        <v>44208Product1</v>
      </c>
      <c r="B826" s="5">
        <f>COUNTIF($A$1:A826,Loads[[#This Row],[Load]])</f>
        <v>1</v>
      </c>
      <c r="C826" s="3" t="str">
        <f>Loads[[#This Row],[Load]]&amp;Loads[[#This Row],[Count]]</f>
        <v>44208Product11</v>
      </c>
      <c r="D826" s="90">
        <v>44208</v>
      </c>
      <c r="E826" s="143">
        <v>0.27083333333333331</v>
      </c>
      <c r="F826" s="1" t="s">
        <v>9</v>
      </c>
      <c r="G826" s="2" t="s">
        <v>12</v>
      </c>
      <c r="H826" s="2" t="s">
        <v>42</v>
      </c>
      <c r="I826" s="1" t="s">
        <v>11</v>
      </c>
      <c r="J826" s="1" t="s">
        <v>8</v>
      </c>
      <c r="K826" s="89">
        <v>25180</v>
      </c>
      <c r="L826" s="3">
        <v>8.9499999999999993</v>
      </c>
      <c r="M826" s="3">
        <v>22.12</v>
      </c>
      <c r="N826" s="3" t="s">
        <v>8</v>
      </c>
      <c r="O826" s="3" t="s">
        <v>8</v>
      </c>
    </row>
    <row r="827" spans="1:15" x14ac:dyDescent="0.35">
      <c r="A827" s="5" t="str">
        <f>Loads[[#This Row],[Date]]&amp;Loads[[#This Row],[Product]]</f>
        <v>44208Product1</v>
      </c>
      <c r="B827" s="5">
        <f>COUNTIF($A$1:A827,Loads[[#This Row],[Load]])</f>
        <v>2</v>
      </c>
      <c r="C827" s="3" t="str">
        <f>Loads[[#This Row],[Load]]&amp;Loads[[#This Row],[Count]]</f>
        <v>44208Product12</v>
      </c>
      <c r="D827" s="90">
        <v>44208</v>
      </c>
      <c r="E827" s="143">
        <v>0.96736111111111101</v>
      </c>
      <c r="F827" s="1" t="s">
        <v>9</v>
      </c>
      <c r="G827" s="2" t="s">
        <v>12</v>
      </c>
      <c r="H827" s="2" t="s">
        <v>42</v>
      </c>
      <c r="I827" s="1" t="s">
        <v>11</v>
      </c>
      <c r="J827" s="1" t="s">
        <v>8</v>
      </c>
      <c r="K827" s="89">
        <v>29940</v>
      </c>
      <c r="L827" s="3">
        <v>8.66</v>
      </c>
      <c r="M827" s="3">
        <v>22.48</v>
      </c>
      <c r="N827" s="3" t="s">
        <v>8</v>
      </c>
      <c r="O827" s="3" t="s">
        <v>8</v>
      </c>
    </row>
    <row r="828" spans="1:15" x14ac:dyDescent="0.35">
      <c r="A828" s="5" t="str">
        <f>Loads[[#This Row],[Date]]&amp;Loads[[#This Row],[Product]]</f>
        <v>44208Product1</v>
      </c>
      <c r="B828" s="5">
        <f>COUNTIF($A$1:A828,Loads[[#This Row],[Load]])</f>
        <v>3</v>
      </c>
      <c r="C828" s="3" t="str">
        <f>Loads[[#This Row],[Load]]&amp;Loads[[#This Row],[Count]]</f>
        <v>44208Product13</v>
      </c>
      <c r="D828" s="90">
        <v>44208</v>
      </c>
      <c r="E828" s="143">
        <v>2.0833333333333332E-2</v>
      </c>
      <c r="F828" s="1" t="s">
        <v>9</v>
      </c>
      <c r="G828" s="2" t="s">
        <v>12</v>
      </c>
      <c r="H828" s="2" t="s">
        <v>42</v>
      </c>
      <c r="I828" s="1" t="s">
        <v>11</v>
      </c>
      <c r="J828" s="1" t="s">
        <v>8</v>
      </c>
      <c r="K828" s="89">
        <v>29620</v>
      </c>
      <c r="L828" s="3">
        <v>8</v>
      </c>
      <c r="M828" s="3">
        <v>23.4</v>
      </c>
      <c r="N828" s="3" t="s">
        <v>8</v>
      </c>
      <c r="O828" s="3" t="s">
        <v>8</v>
      </c>
    </row>
    <row r="829" spans="1:15" x14ac:dyDescent="0.35">
      <c r="A829" s="5" t="str">
        <f>Loads[[#This Row],[Date]]&amp;Loads[[#This Row],[Product]]</f>
        <v>44208Product1</v>
      </c>
      <c r="B829" s="5">
        <f>COUNTIF($A$1:A829,Loads[[#This Row],[Load]])</f>
        <v>4</v>
      </c>
      <c r="C829" s="3" t="str">
        <f>Loads[[#This Row],[Load]]&amp;Loads[[#This Row],[Count]]</f>
        <v>44208Product14</v>
      </c>
      <c r="D829" s="90">
        <v>44208</v>
      </c>
      <c r="E829" s="143">
        <v>0.125</v>
      </c>
      <c r="F829" s="1" t="s">
        <v>9</v>
      </c>
      <c r="G829" s="2" t="s">
        <v>12</v>
      </c>
      <c r="H829" s="2" t="s">
        <v>42</v>
      </c>
      <c r="I829" s="1" t="s">
        <v>11</v>
      </c>
      <c r="J829" s="1" t="s">
        <v>8</v>
      </c>
      <c r="K829" s="89">
        <v>18520</v>
      </c>
      <c r="L829" s="3">
        <v>7.58</v>
      </c>
      <c r="M829" s="3">
        <v>23.39</v>
      </c>
      <c r="N829" s="3" t="s">
        <v>8</v>
      </c>
      <c r="O829" s="3" t="s">
        <v>8</v>
      </c>
    </row>
    <row r="830" spans="1:15" x14ac:dyDescent="0.35">
      <c r="A830" s="5" t="str">
        <f>Loads[[#This Row],[Date]]&amp;Loads[[#This Row],[Product]]</f>
        <v>44208Product1</v>
      </c>
      <c r="B830" s="5">
        <f>COUNTIF($A$1:A830,Loads[[#This Row],[Load]])</f>
        <v>5</v>
      </c>
      <c r="C830" s="3" t="str">
        <f>Loads[[#This Row],[Load]]&amp;Loads[[#This Row],[Count]]</f>
        <v>44208Product15</v>
      </c>
      <c r="D830" s="90">
        <v>44208</v>
      </c>
      <c r="E830" s="143">
        <v>0.25</v>
      </c>
      <c r="F830" s="1" t="s">
        <v>9</v>
      </c>
      <c r="G830" s="2" t="s">
        <v>12</v>
      </c>
      <c r="H830" s="2" t="s">
        <v>42</v>
      </c>
      <c r="I830" s="1" t="s">
        <v>11</v>
      </c>
      <c r="J830" s="1" t="s">
        <v>8</v>
      </c>
      <c r="K830" s="89">
        <v>20120</v>
      </c>
      <c r="L830" s="3">
        <v>8.27</v>
      </c>
      <c r="M830" s="3">
        <v>22.65</v>
      </c>
      <c r="N830" s="3" t="s">
        <v>8</v>
      </c>
      <c r="O830" s="3" t="s">
        <v>8</v>
      </c>
    </row>
    <row r="831" spans="1:15" x14ac:dyDescent="0.35">
      <c r="A831" s="5" t="str">
        <f>Loads[[#This Row],[Date]]&amp;Loads[[#This Row],[Product]]</f>
        <v>44208Product1</v>
      </c>
      <c r="B831" s="5">
        <f>COUNTIF($A$1:A831,Loads[[#This Row],[Load]])</f>
        <v>6</v>
      </c>
      <c r="C831" s="3" t="str">
        <f>Loads[[#This Row],[Load]]&amp;Loads[[#This Row],[Count]]</f>
        <v>44208Product16</v>
      </c>
      <c r="D831" s="90">
        <v>44208</v>
      </c>
      <c r="E831" s="143">
        <v>0.34027777777777773</v>
      </c>
      <c r="F831" s="1" t="s">
        <v>9</v>
      </c>
      <c r="G831" s="2" t="s">
        <v>12</v>
      </c>
      <c r="H831" s="2" t="s">
        <v>42</v>
      </c>
      <c r="I831" s="1" t="s">
        <v>11</v>
      </c>
      <c r="J831" s="1" t="s">
        <v>8</v>
      </c>
      <c r="K831" s="89">
        <v>19920</v>
      </c>
      <c r="L831" s="3">
        <v>8.92</v>
      </c>
      <c r="M831" s="3">
        <v>21.95</v>
      </c>
      <c r="N831" s="3" t="s">
        <v>8</v>
      </c>
      <c r="O831" s="3" t="s">
        <v>8</v>
      </c>
    </row>
    <row r="832" spans="1:15" x14ac:dyDescent="0.35">
      <c r="A832" s="5" t="str">
        <f>Loads[[#This Row],[Date]]&amp;Loads[[#This Row],[Product]]</f>
        <v>44208Product1</v>
      </c>
      <c r="B832" s="5">
        <f>COUNTIF($A$1:A832,Loads[[#This Row],[Load]])</f>
        <v>7</v>
      </c>
      <c r="C832" s="3" t="str">
        <f>Loads[[#This Row],[Load]]&amp;Loads[[#This Row],[Count]]</f>
        <v>44208Product17</v>
      </c>
      <c r="D832" s="90">
        <v>44208</v>
      </c>
      <c r="E832" s="143">
        <v>0.46875</v>
      </c>
      <c r="F832" s="1" t="s">
        <v>9</v>
      </c>
      <c r="G832" s="2" t="s">
        <v>12</v>
      </c>
      <c r="H832" s="2" t="s">
        <v>42</v>
      </c>
      <c r="I832" s="1" t="s">
        <v>11</v>
      </c>
      <c r="J832" s="1" t="s">
        <v>8</v>
      </c>
      <c r="K832" s="89">
        <v>21260</v>
      </c>
      <c r="L832" s="3">
        <v>8.75</v>
      </c>
      <c r="M832" s="3">
        <v>22.09</v>
      </c>
      <c r="N832" s="3" t="s">
        <v>8</v>
      </c>
      <c r="O832" s="3" t="s">
        <v>8</v>
      </c>
    </row>
    <row r="833" spans="1:15" x14ac:dyDescent="0.35">
      <c r="A833" s="5" t="str">
        <f>Loads[[#This Row],[Date]]&amp;Loads[[#This Row],[Product]]</f>
        <v>44208Product1</v>
      </c>
      <c r="B833" s="5">
        <f>COUNTIF($A$1:A833,Loads[[#This Row],[Load]])</f>
        <v>8</v>
      </c>
      <c r="C833" s="3" t="str">
        <f>Loads[[#This Row],[Load]]&amp;Loads[[#This Row],[Count]]</f>
        <v>44208Product18</v>
      </c>
      <c r="D833" s="90">
        <v>44208</v>
      </c>
      <c r="E833" s="143">
        <v>0.9291666666666667</v>
      </c>
      <c r="F833" s="1" t="s">
        <v>9</v>
      </c>
      <c r="G833" s="2" t="s">
        <v>12</v>
      </c>
      <c r="H833" s="2" t="s">
        <v>42</v>
      </c>
      <c r="I833" s="1" t="s">
        <v>11</v>
      </c>
      <c r="J833" s="1" t="s">
        <v>8</v>
      </c>
      <c r="K833" s="89">
        <v>26780</v>
      </c>
      <c r="L833" s="3">
        <v>8.7200000000000006</v>
      </c>
      <c r="M833" s="3">
        <v>22</v>
      </c>
      <c r="N833" s="3" t="s">
        <v>8</v>
      </c>
      <c r="O833" s="3" t="s">
        <v>8</v>
      </c>
    </row>
    <row r="834" spans="1:15" x14ac:dyDescent="0.35">
      <c r="A834" s="5" t="str">
        <f>Loads[[#This Row],[Date]]&amp;Loads[[#This Row],[Product]]</f>
        <v>44208Product1</v>
      </c>
      <c r="B834" s="5">
        <f>COUNTIF($A$1:A834,Loads[[#This Row],[Load]])</f>
        <v>9</v>
      </c>
      <c r="C834" s="3" t="str">
        <f>Loads[[#This Row],[Load]]&amp;Loads[[#This Row],[Count]]</f>
        <v>44208Product19</v>
      </c>
      <c r="D834" s="90">
        <v>44208</v>
      </c>
      <c r="E834" s="143">
        <v>0.92986111111111114</v>
      </c>
      <c r="F834" s="1" t="s">
        <v>9</v>
      </c>
      <c r="G834" s="2" t="s">
        <v>12</v>
      </c>
      <c r="H834" s="2" t="s">
        <v>42</v>
      </c>
      <c r="I834" s="1" t="s">
        <v>11</v>
      </c>
      <c r="J834" s="1" t="s">
        <v>8</v>
      </c>
      <c r="K834" s="89">
        <v>31360</v>
      </c>
      <c r="L834" s="3">
        <v>9.01</v>
      </c>
      <c r="M834" s="3">
        <v>21.23</v>
      </c>
      <c r="N834" s="3" t="s">
        <v>8</v>
      </c>
      <c r="O834" s="3" t="s">
        <v>8</v>
      </c>
    </row>
    <row r="835" spans="1:15" x14ac:dyDescent="0.35">
      <c r="A835" s="5" t="str">
        <f>Loads[[#This Row],[Date]]&amp;Loads[[#This Row],[Product]]</f>
        <v>44208Product1</v>
      </c>
      <c r="B835" s="5">
        <f>COUNTIF($A$1:A835,Loads[[#This Row],[Load]])</f>
        <v>10</v>
      </c>
      <c r="C835" s="3" t="str">
        <f>Loads[[#This Row],[Load]]&amp;Loads[[#This Row],[Count]]</f>
        <v>44208Product110</v>
      </c>
      <c r="D835" s="90">
        <v>44208</v>
      </c>
      <c r="E835" s="143">
        <v>0.93055555555555547</v>
      </c>
      <c r="F835" s="1" t="s">
        <v>9</v>
      </c>
      <c r="G835" s="2" t="s">
        <v>12</v>
      </c>
      <c r="H835" s="2" t="s">
        <v>42</v>
      </c>
      <c r="I835" s="1" t="s">
        <v>11</v>
      </c>
      <c r="J835" s="1" t="s">
        <v>8</v>
      </c>
      <c r="K835" s="89">
        <v>31360</v>
      </c>
      <c r="L835" s="3">
        <v>8.6300000000000008</v>
      </c>
      <c r="M835" s="3">
        <v>22.75</v>
      </c>
      <c r="N835" s="3" t="s">
        <v>8</v>
      </c>
      <c r="O835" s="3" t="s">
        <v>8</v>
      </c>
    </row>
    <row r="836" spans="1:15" x14ac:dyDescent="0.35">
      <c r="A836" s="5" t="str">
        <f>Loads[[#This Row],[Date]]&amp;Loads[[#This Row],[Product]]</f>
        <v>44208Product1</v>
      </c>
      <c r="B836" s="5">
        <f>COUNTIF($A$1:A836,Loads[[#This Row],[Load]])</f>
        <v>11</v>
      </c>
      <c r="C836" s="3" t="str">
        <f>Loads[[#This Row],[Load]]&amp;Loads[[#This Row],[Count]]</f>
        <v>44208Product111</v>
      </c>
      <c r="D836" s="90">
        <v>44208</v>
      </c>
      <c r="E836" s="143">
        <v>0.93055555555555547</v>
      </c>
      <c r="F836" s="1" t="s">
        <v>9</v>
      </c>
      <c r="G836" s="2" t="s">
        <v>12</v>
      </c>
      <c r="H836" s="2" t="s">
        <v>42</v>
      </c>
      <c r="I836" s="1" t="s">
        <v>11</v>
      </c>
      <c r="J836" s="1" t="s">
        <v>8</v>
      </c>
      <c r="K836" s="89">
        <v>28920</v>
      </c>
      <c r="L836" s="3">
        <v>9.0500000000000007</v>
      </c>
      <c r="M836" s="3">
        <v>22.03</v>
      </c>
      <c r="N836" s="3" t="s">
        <v>8</v>
      </c>
      <c r="O836" s="3" t="s">
        <v>8</v>
      </c>
    </row>
    <row r="837" spans="1:15" x14ac:dyDescent="0.35">
      <c r="A837" s="5" t="str">
        <f>Loads[[#This Row],[Date]]&amp;Loads[[#This Row],[Product]]</f>
        <v>44208Product1</v>
      </c>
      <c r="B837" s="5">
        <f>COUNTIF($A$1:A837,Loads[[#This Row],[Load]])</f>
        <v>12</v>
      </c>
      <c r="C837" s="3" t="str">
        <f>Loads[[#This Row],[Load]]&amp;Loads[[#This Row],[Count]]</f>
        <v>44208Product112</v>
      </c>
      <c r="D837" s="90">
        <v>44208</v>
      </c>
      <c r="E837" s="143">
        <v>0.93055555555555547</v>
      </c>
      <c r="F837" s="1" t="s">
        <v>9</v>
      </c>
      <c r="G837" s="2" t="s">
        <v>12</v>
      </c>
      <c r="H837" s="2" t="s">
        <v>42</v>
      </c>
      <c r="I837" s="1" t="s">
        <v>11</v>
      </c>
      <c r="J837" s="1" t="s">
        <v>8</v>
      </c>
      <c r="K837" s="89">
        <v>21700</v>
      </c>
      <c r="L837" s="3">
        <v>9.94</v>
      </c>
      <c r="M837" s="3">
        <v>21.57</v>
      </c>
      <c r="N837" s="3" t="s">
        <v>8</v>
      </c>
      <c r="O837" s="3" t="s">
        <v>8</v>
      </c>
    </row>
    <row r="838" spans="1:15" x14ac:dyDescent="0.35">
      <c r="A838" s="5" t="str">
        <f>Loads[[#This Row],[Date]]&amp;Loads[[#This Row],[Product]]</f>
        <v>44209Product1</v>
      </c>
      <c r="B838" s="5">
        <f>COUNTIF($A$1:A838,Loads[[#This Row],[Load]])</f>
        <v>1</v>
      </c>
      <c r="C838" s="3" t="str">
        <f>Loads[[#This Row],[Load]]&amp;Loads[[#This Row],[Count]]</f>
        <v>44209Product11</v>
      </c>
      <c r="D838" s="90">
        <v>44209</v>
      </c>
      <c r="E838" s="143">
        <v>0.28541666666666665</v>
      </c>
      <c r="F838" s="1" t="s">
        <v>9</v>
      </c>
      <c r="G838" s="2" t="s">
        <v>12</v>
      </c>
      <c r="H838" s="2" t="s">
        <v>42</v>
      </c>
      <c r="I838" s="1" t="s">
        <v>11</v>
      </c>
      <c r="J838" s="1" t="s">
        <v>8</v>
      </c>
      <c r="K838" s="89">
        <v>18700</v>
      </c>
      <c r="L838" s="3">
        <v>9.6</v>
      </c>
      <c r="M838" s="3">
        <v>21.67</v>
      </c>
      <c r="N838" s="3" t="s">
        <v>8</v>
      </c>
      <c r="O838" s="3" t="s">
        <v>8</v>
      </c>
    </row>
    <row r="839" spans="1:15" x14ac:dyDescent="0.35">
      <c r="A839" s="5" t="str">
        <f>Loads[[#This Row],[Date]]&amp;Loads[[#This Row],[Product]]</f>
        <v>44209Product1</v>
      </c>
      <c r="B839" s="5">
        <f>COUNTIF($A$1:A839,Loads[[#This Row],[Load]])</f>
        <v>2</v>
      </c>
      <c r="C839" s="3" t="str">
        <f>Loads[[#This Row],[Load]]&amp;Loads[[#This Row],[Count]]</f>
        <v>44209Product12</v>
      </c>
      <c r="D839" s="90">
        <v>44209</v>
      </c>
      <c r="E839" s="143">
        <v>0.28611111111111115</v>
      </c>
      <c r="F839" s="1" t="s">
        <v>9</v>
      </c>
      <c r="G839" s="2" t="s">
        <v>12</v>
      </c>
      <c r="H839" s="2" t="s">
        <v>42</v>
      </c>
      <c r="I839" s="1" t="s">
        <v>11</v>
      </c>
      <c r="J839" s="1" t="s">
        <v>8</v>
      </c>
      <c r="K839" s="89">
        <v>20840</v>
      </c>
      <c r="L839" s="3">
        <v>9.06</v>
      </c>
      <c r="M839" s="3">
        <v>21.82</v>
      </c>
      <c r="N839" s="3" t="s">
        <v>8</v>
      </c>
      <c r="O839" s="3" t="s">
        <v>8</v>
      </c>
    </row>
    <row r="840" spans="1:15" x14ac:dyDescent="0.35">
      <c r="A840" s="5" t="str">
        <f>Loads[[#This Row],[Date]]&amp;Loads[[#This Row],[Product]]</f>
        <v>44209Product1</v>
      </c>
      <c r="B840" s="5">
        <f>COUNTIF($A$1:A840,Loads[[#This Row],[Load]])</f>
        <v>3</v>
      </c>
      <c r="C840" s="3" t="str">
        <f>Loads[[#This Row],[Load]]&amp;Loads[[#This Row],[Count]]</f>
        <v>44209Product13</v>
      </c>
      <c r="D840" s="90">
        <v>44209</v>
      </c>
      <c r="E840" s="143">
        <v>0.39583333333333331</v>
      </c>
      <c r="F840" s="1" t="s">
        <v>9</v>
      </c>
      <c r="G840" s="2" t="s">
        <v>12</v>
      </c>
      <c r="H840" s="2" t="s">
        <v>42</v>
      </c>
      <c r="I840" s="1" t="s">
        <v>11</v>
      </c>
      <c r="J840" s="1" t="s">
        <v>8</v>
      </c>
      <c r="K840" s="89">
        <v>25620</v>
      </c>
      <c r="L840" s="3">
        <v>7.75</v>
      </c>
      <c r="M840" s="3">
        <v>19.62</v>
      </c>
      <c r="N840" s="3" t="s">
        <v>8</v>
      </c>
      <c r="O840" s="3" t="s">
        <v>8</v>
      </c>
    </row>
    <row r="841" spans="1:15" x14ac:dyDescent="0.35">
      <c r="A841" s="5" t="str">
        <f>Loads[[#This Row],[Date]]&amp;Loads[[#This Row],[Product]]</f>
        <v>44209Product1</v>
      </c>
      <c r="B841" s="5">
        <f>COUNTIF($A$1:A841,Loads[[#This Row],[Load]])</f>
        <v>4</v>
      </c>
      <c r="C841" s="3" t="str">
        <f>Loads[[#This Row],[Load]]&amp;Loads[[#This Row],[Count]]</f>
        <v>44209Product14</v>
      </c>
      <c r="D841" s="90">
        <v>44209</v>
      </c>
      <c r="E841" s="143">
        <v>0.4236111111111111</v>
      </c>
      <c r="F841" s="1" t="s">
        <v>9</v>
      </c>
      <c r="G841" s="2" t="s">
        <v>12</v>
      </c>
      <c r="H841" s="2" t="s">
        <v>42</v>
      </c>
      <c r="I841" s="1" t="s">
        <v>11</v>
      </c>
      <c r="J841" s="1" t="s">
        <v>8</v>
      </c>
      <c r="K841" s="89">
        <v>34280</v>
      </c>
      <c r="L841" s="3">
        <v>7.52</v>
      </c>
      <c r="M841" s="3">
        <v>20.09</v>
      </c>
      <c r="N841" s="3" t="s">
        <v>8</v>
      </c>
      <c r="O841" s="3" t="s">
        <v>8</v>
      </c>
    </row>
    <row r="842" spans="1:15" x14ac:dyDescent="0.35">
      <c r="A842" s="5" t="str">
        <f>Loads[[#This Row],[Date]]&amp;Loads[[#This Row],[Product]]</f>
        <v>44209Product1</v>
      </c>
      <c r="B842" s="5">
        <f>COUNTIF($A$1:A842,Loads[[#This Row],[Load]])</f>
        <v>5</v>
      </c>
      <c r="C842" s="3" t="str">
        <f>Loads[[#This Row],[Load]]&amp;Loads[[#This Row],[Count]]</f>
        <v>44209Product15</v>
      </c>
      <c r="D842" s="90">
        <v>44209</v>
      </c>
      <c r="E842" s="143">
        <v>0.4548611111111111</v>
      </c>
      <c r="F842" s="1" t="s">
        <v>9</v>
      </c>
      <c r="G842" s="2" t="s">
        <v>12</v>
      </c>
      <c r="H842" s="2" t="s">
        <v>42</v>
      </c>
      <c r="I842" s="1" t="s">
        <v>11</v>
      </c>
      <c r="J842" s="1" t="s">
        <v>8</v>
      </c>
      <c r="K842" s="89">
        <v>24060</v>
      </c>
      <c r="L842" s="3">
        <v>7.63</v>
      </c>
      <c r="M842" s="3">
        <v>20.18</v>
      </c>
      <c r="N842" s="3" t="s">
        <v>8</v>
      </c>
      <c r="O842" s="3" t="s">
        <v>8</v>
      </c>
    </row>
    <row r="843" spans="1:15" x14ac:dyDescent="0.35">
      <c r="A843" s="5" t="str">
        <f>Loads[[#This Row],[Date]]&amp;Loads[[#This Row],[Product]]</f>
        <v>44209Product1</v>
      </c>
      <c r="B843" s="5">
        <f>COUNTIF($A$1:A843,Loads[[#This Row],[Load]])</f>
        <v>6</v>
      </c>
      <c r="C843" s="3" t="str">
        <f>Loads[[#This Row],[Load]]&amp;Loads[[#This Row],[Count]]</f>
        <v>44209Product16</v>
      </c>
      <c r="D843" s="90">
        <v>44209</v>
      </c>
      <c r="E843" s="143">
        <v>0.55555555555555558</v>
      </c>
      <c r="F843" s="1" t="s">
        <v>9</v>
      </c>
      <c r="G843" s="2" t="s">
        <v>12</v>
      </c>
      <c r="H843" s="2" t="s">
        <v>42</v>
      </c>
      <c r="I843" s="1" t="s">
        <v>11</v>
      </c>
      <c r="J843" s="1" t="s">
        <v>8</v>
      </c>
      <c r="K843" s="89">
        <v>27020</v>
      </c>
      <c r="L843" s="3">
        <v>8</v>
      </c>
      <c r="M843" s="3">
        <v>20.09</v>
      </c>
      <c r="N843" s="3" t="s">
        <v>8</v>
      </c>
      <c r="O843" s="3" t="s">
        <v>8</v>
      </c>
    </row>
    <row r="844" spans="1:15" x14ac:dyDescent="0.35">
      <c r="A844" s="5" t="str">
        <f>Loads[[#This Row],[Date]]&amp;Loads[[#This Row],[Product]]</f>
        <v>44209Product1</v>
      </c>
      <c r="B844" s="5">
        <f>COUNTIF($A$1:A844,Loads[[#This Row],[Load]])</f>
        <v>7</v>
      </c>
      <c r="C844" s="3" t="str">
        <f>Loads[[#This Row],[Load]]&amp;Loads[[#This Row],[Count]]</f>
        <v>44209Product17</v>
      </c>
      <c r="D844" s="90">
        <v>44209</v>
      </c>
      <c r="E844" s="143">
        <v>4.7916666666666663E-2</v>
      </c>
      <c r="F844" s="1" t="s">
        <v>9</v>
      </c>
      <c r="G844" s="2" t="s">
        <v>12</v>
      </c>
      <c r="H844" s="2" t="s">
        <v>42</v>
      </c>
      <c r="I844" s="1" t="s">
        <v>10</v>
      </c>
      <c r="J844" s="1">
        <v>780</v>
      </c>
      <c r="K844" s="89">
        <v>31200</v>
      </c>
      <c r="L844" s="3">
        <v>5.91</v>
      </c>
      <c r="M844" s="3">
        <v>21.21</v>
      </c>
      <c r="N844" s="3" t="s">
        <v>8</v>
      </c>
      <c r="O844" s="3" t="s">
        <v>8</v>
      </c>
    </row>
    <row r="845" spans="1:15" x14ac:dyDescent="0.35">
      <c r="A845" s="5" t="str">
        <f>Loads[[#This Row],[Date]]&amp;Loads[[#This Row],[Product]]</f>
        <v>44209Product1</v>
      </c>
      <c r="B845" s="5">
        <f>COUNTIF($A$1:A845,Loads[[#This Row],[Load]])</f>
        <v>8</v>
      </c>
      <c r="C845" s="3" t="str">
        <f>Loads[[#This Row],[Load]]&amp;Loads[[#This Row],[Count]]</f>
        <v>44209Product18</v>
      </c>
      <c r="D845" s="90">
        <v>44209</v>
      </c>
      <c r="E845" s="143">
        <v>4.9999999999999996E-2</v>
      </c>
      <c r="F845" s="1" t="s">
        <v>9</v>
      </c>
      <c r="G845" s="2" t="s">
        <v>12</v>
      </c>
      <c r="H845" s="2" t="s">
        <v>42</v>
      </c>
      <c r="I845" s="1" t="s">
        <v>11</v>
      </c>
      <c r="J845" s="1" t="s">
        <v>8</v>
      </c>
      <c r="K845" s="89">
        <v>29440</v>
      </c>
      <c r="L845" s="3">
        <v>5.44</v>
      </c>
      <c r="M845" s="3">
        <v>19.61</v>
      </c>
      <c r="N845" s="3" t="s">
        <v>8</v>
      </c>
      <c r="O845" s="3" t="s">
        <v>8</v>
      </c>
    </row>
    <row r="846" spans="1:15" x14ac:dyDescent="0.35">
      <c r="A846" s="5" t="str">
        <f>Loads[[#This Row],[Date]]&amp;Loads[[#This Row],[Product]]</f>
        <v>44209Product1</v>
      </c>
      <c r="B846" s="5">
        <f>COUNTIF($A$1:A846,Loads[[#This Row],[Load]])</f>
        <v>9</v>
      </c>
      <c r="C846" s="3" t="str">
        <f>Loads[[#This Row],[Load]]&amp;Loads[[#This Row],[Count]]</f>
        <v>44209Product19</v>
      </c>
      <c r="D846" s="90">
        <v>44209</v>
      </c>
      <c r="E846" s="143">
        <v>5.0694444444444452E-2</v>
      </c>
      <c r="F846" s="1" t="s">
        <v>9</v>
      </c>
      <c r="G846" s="2" t="s">
        <v>12</v>
      </c>
      <c r="H846" s="2" t="s">
        <v>42</v>
      </c>
      <c r="I846" s="1" t="s">
        <v>11</v>
      </c>
      <c r="J846" s="1" t="s">
        <v>8</v>
      </c>
      <c r="K846" s="89">
        <v>22540</v>
      </c>
      <c r="L846" s="3">
        <v>7.98</v>
      </c>
      <c r="M846" s="3">
        <v>19.86</v>
      </c>
      <c r="N846" s="3" t="s">
        <v>8</v>
      </c>
      <c r="O846" s="3" t="s">
        <v>8</v>
      </c>
    </row>
    <row r="847" spans="1:15" x14ac:dyDescent="0.35">
      <c r="A847" s="5" t="str">
        <f>Loads[[#This Row],[Date]]&amp;Loads[[#This Row],[Product]]</f>
        <v>44210Product1</v>
      </c>
      <c r="B847" s="5">
        <f>COUNTIF($A$1:A847,Loads[[#This Row],[Load]])</f>
        <v>1</v>
      </c>
      <c r="C847" s="3" t="str">
        <f>Loads[[#This Row],[Load]]&amp;Loads[[#This Row],[Count]]</f>
        <v>44210Product11</v>
      </c>
      <c r="D847" s="90">
        <v>44210</v>
      </c>
      <c r="E847" s="143">
        <v>0.30138888888888887</v>
      </c>
      <c r="F847" s="1" t="s">
        <v>9</v>
      </c>
      <c r="G847" s="2" t="s">
        <v>12</v>
      </c>
      <c r="H847" s="2" t="s">
        <v>42</v>
      </c>
      <c r="I847" s="1" t="s">
        <v>10</v>
      </c>
      <c r="J847" s="1">
        <v>500</v>
      </c>
      <c r="K847" s="89">
        <v>19880</v>
      </c>
      <c r="L847" s="3">
        <v>6.11</v>
      </c>
      <c r="M847" s="3">
        <v>21.2</v>
      </c>
      <c r="N847" s="3" t="s">
        <v>8</v>
      </c>
      <c r="O847" s="3" t="s">
        <v>8</v>
      </c>
    </row>
    <row r="848" spans="1:15" x14ac:dyDescent="0.35">
      <c r="A848" s="5" t="str">
        <f>Loads[[#This Row],[Date]]&amp;Loads[[#This Row],[Product]]</f>
        <v>44210Product1</v>
      </c>
      <c r="B848" s="5">
        <f>COUNTIF($A$1:A848,Loads[[#This Row],[Load]])</f>
        <v>2</v>
      </c>
      <c r="C848" s="3" t="str">
        <f>Loads[[#This Row],[Load]]&amp;Loads[[#This Row],[Count]]</f>
        <v>44210Product12</v>
      </c>
      <c r="D848" s="90">
        <v>44210</v>
      </c>
      <c r="E848" s="143">
        <v>0.30208333333333331</v>
      </c>
      <c r="F848" s="1" t="s">
        <v>9</v>
      </c>
      <c r="G848" s="2" t="s">
        <v>12</v>
      </c>
      <c r="H848" s="2" t="s">
        <v>42</v>
      </c>
      <c r="I848" s="1" t="s">
        <v>11</v>
      </c>
      <c r="J848" s="1" t="s">
        <v>8</v>
      </c>
      <c r="K848" s="89">
        <v>28120</v>
      </c>
      <c r="L848" s="3">
        <v>5.55</v>
      </c>
      <c r="M848" s="3">
        <v>21.58</v>
      </c>
      <c r="N848" s="3" t="s">
        <v>8</v>
      </c>
      <c r="O848" s="3" t="s">
        <v>8</v>
      </c>
    </row>
    <row r="849" spans="1:15" x14ac:dyDescent="0.35">
      <c r="A849" s="5" t="str">
        <f>Loads[[#This Row],[Date]]&amp;Loads[[#This Row],[Product]]</f>
        <v>44210Product1</v>
      </c>
      <c r="B849" s="5">
        <f>COUNTIF($A$1:A849,Loads[[#This Row],[Load]])</f>
        <v>3</v>
      </c>
      <c r="C849" s="3" t="str">
        <f>Loads[[#This Row],[Load]]&amp;Loads[[#This Row],[Count]]</f>
        <v>44210Product13</v>
      </c>
      <c r="D849" s="90">
        <v>44210</v>
      </c>
      <c r="E849" s="143">
        <v>0.30277777777777776</v>
      </c>
      <c r="F849" s="1" t="s">
        <v>9</v>
      </c>
      <c r="G849" s="2" t="s">
        <v>12</v>
      </c>
      <c r="H849" s="2" t="s">
        <v>42</v>
      </c>
      <c r="I849" s="1" t="s">
        <v>10</v>
      </c>
      <c r="J849" s="1">
        <v>800</v>
      </c>
      <c r="K849" s="89">
        <v>31960</v>
      </c>
      <c r="L849" s="3">
        <v>7.9</v>
      </c>
      <c r="M849" s="3">
        <v>21.83</v>
      </c>
      <c r="N849" s="3" t="s">
        <v>8</v>
      </c>
      <c r="O849" s="3" t="s">
        <v>8</v>
      </c>
    </row>
    <row r="850" spans="1:15" x14ac:dyDescent="0.35">
      <c r="A850" s="5" t="str">
        <f>Loads[[#This Row],[Date]]&amp;Loads[[#This Row],[Product]]</f>
        <v>44210Product1</v>
      </c>
      <c r="B850" s="5">
        <f>COUNTIF($A$1:A850,Loads[[#This Row],[Load]])</f>
        <v>4</v>
      </c>
      <c r="C850" s="3" t="str">
        <f>Loads[[#This Row],[Load]]&amp;Loads[[#This Row],[Count]]</f>
        <v>44210Product14</v>
      </c>
      <c r="D850" s="90">
        <v>44210</v>
      </c>
      <c r="E850" s="143">
        <v>0.7895833333333333</v>
      </c>
      <c r="F850" s="1" t="s">
        <v>9</v>
      </c>
      <c r="G850" s="2" t="s">
        <v>12</v>
      </c>
      <c r="H850" s="2" t="s">
        <v>42</v>
      </c>
      <c r="I850" s="1" t="s">
        <v>11</v>
      </c>
      <c r="J850" s="1" t="s">
        <v>8</v>
      </c>
      <c r="K850" s="89">
        <v>13240</v>
      </c>
      <c r="L850" s="3">
        <v>6.88</v>
      </c>
      <c r="M850" s="3">
        <v>23.8</v>
      </c>
      <c r="N850" s="3" t="s">
        <v>8</v>
      </c>
      <c r="O850" s="3" t="s">
        <v>8</v>
      </c>
    </row>
    <row r="851" spans="1:15" x14ac:dyDescent="0.35">
      <c r="A851" s="5" t="str">
        <f>Loads[[#This Row],[Date]]&amp;Loads[[#This Row],[Product]]</f>
        <v>44210Product1</v>
      </c>
      <c r="B851" s="5">
        <f>COUNTIF($A$1:A851,Loads[[#This Row],[Load]])</f>
        <v>5</v>
      </c>
      <c r="C851" s="3" t="str">
        <f>Loads[[#This Row],[Load]]&amp;Loads[[#This Row],[Count]]</f>
        <v>44210Product15</v>
      </c>
      <c r="D851" s="90">
        <v>44210</v>
      </c>
      <c r="E851" s="143">
        <v>0.79027777777777775</v>
      </c>
      <c r="F851" s="1" t="s">
        <v>9</v>
      </c>
      <c r="G851" s="2" t="s">
        <v>12</v>
      </c>
      <c r="H851" s="2" t="s">
        <v>42</v>
      </c>
      <c r="I851" s="1" t="s">
        <v>11</v>
      </c>
      <c r="J851" s="1" t="s">
        <v>8</v>
      </c>
      <c r="K851" s="89">
        <v>23100</v>
      </c>
      <c r="L851" s="3">
        <v>8.64</v>
      </c>
      <c r="M851" s="3">
        <v>20.92</v>
      </c>
      <c r="N851" s="3" t="s">
        <v>8</v>
      </c>
      <c r="O851" s="3" t="s">
        <v>8</v>
      </c>
    </row>
    <row r="852" spans="1:15" x14ac:dyDescent="0.35">
      <c r="A852" s="5" t="str">
        <f>Loads[[#This Row],[Date]]&amp;Loads[[#This Row],[Product]]</f>
        <v>44210Product1</v>
      </c>
      <c r="B852" s="5">
        <f>COUNTIF($A$1:A852,Loads[[#This Row],[Load]])</f>
        <v>6</v>
      </c>
      <c r="C852" s="3" t="str">
        <f>Loads[[#This Row],[Load]]&amp;Loads[[#This Row],[Count]]</f>
        <v>44210Product16</v>
      </c>
      <c r="D852" s="90">
        <v>44210</v>
      </c>
      <c r="E852" s="143">
        <v>0.7909722222222223</v>
      </c>
      <c r="F852" s="1" t="s">
        <v>9</v>
      </c>
      <c r="G852" s="2" t="s">
        <v>12</v>
      </c>
      <c r="H852" s="2" t="s">
        <v>42</v>
      </c>
      <c r="I852" s="1" t="s">
        <v>11</v>
      </c>
      <c r="J852" s="1" t="s">
        <v>8</v>
      </c>
      <c r="K852" s="89">
        <v>13900</v>
      </c>
      <c r="L852" s="3">
        <v>8.4600000000000009</v>
      </c>
      <c r="M852" s="3">
        <v>20.2</v>
      </c>
      <c r="N852" s="3" t="s">
        <v>8</v>
      </c>
      <c r="O852" s="3" t="s">
        <v>8</v>
      </c>
    </row>
    <row r="853" spans="1:15" x14ac:dyDescent="0.35">
      <c r="A853" s="5" t="str">
        <f>Loads[[#This Row],[Date]]&amp;Loads[[#This Row],[Product]]</f>
        <v>44210Product1</v>
      </c>
      <c r="B853" s="5">
        <f>COUNTIF($A$1:A853,Loads[[#This Row],[Load]])</f>
        <v>7</v>
      </c>
      <c r="C853" s="3" t="str">
        <f>Loads[[#This Row],[Load]]&amp;Loads[[#This Row],[Count]]</f>
        <v>44210Product17</v>
      </c>
      <c r="D853" s="90">
        <v>44210</v>
      </c>
      <c r="E853" s="143">
        <v>9.2361111111111116E-2</v>
      </c>
      <c r="F853" s="1" t="s">
        <v>9</v>
      </c>
      <c r="G853" s="2" t="s">
        <v>12</v>
      </c>
      <c r="H853" s="2" t="s">
        <v>42</v>
      </c>
      <c r="I853" s="1" t="s">
        <v>11</v>
      </c>
      <c r="J853" s="1" t="s">
        <v>8</v>
      </c>
      <c r="K853" s="89">
        <v>13160</v>
      </c>
      <c r="L853" s="3">
        <v>6.25</v>
      </c>
      <c r="M853" s="3">
        <v>20.260000000000002</v>
      </c>
      <c r="N853" s="3" t="s">
        <v>8</v>
      </c>
      <c r="O853" s="3" t="s">
        <v>8</v>
      </c>
    </row>
    <row r="854" spans="1:15" x14ac:dyDescent="0.35">
      <c r="A854" s="5" t="str">
        <f>Loads[[#This Row],[Date]]&amp;Loads[[#This Row],[Product]]</f>
        <v>44210Product1</v>
      </c>
      <c r="B854" s="5">
        <f>COUNTIF($A$1:A854,Loads[[#This Row],[Load]])</f>
        <v>8</v>
      </c>
      <c r="C854" s="3" t="str">
        <f>Loads[[#This Row],[Load]]&amp;Loads[[#This Row],[Count]]</f>
        <v>44210Product18</v>
      </c>
      <c r="D854" s="90">
        <v>44210</v>
      </c>
      <c r="E854" s="143">
        <v>9.3055555555555558E-2</v>
      </c>
      <c r="F854" s="1" t="s">
        <v>9</v>
      </c>
      <c r="G854" s="2" t="s">
        <v>12</v>
      </c>
      <c r="H854" s="2" t="s">
        <v>42</v>
      </c>
      <c r="I854" s="1" t="s">
        <v>10</v>
      </c>
      <c r="J854" s="1">
        <v>203</v>
      </c>
      <c r="K854" s="89">
        <v>7960</v>
      </c>
      <c r="L854" s="3">
        <v>8.58</v>
      </c>
      <c r="M854" s="3">
        <v>20.64</v>
      </c>
      <c r="N854" s="3" t="s">
        <v>8</v>
      </c>
      <c r="O854" s="3" t="s">
        <v>8</v>
      </c>
    </row>
    <row r="855" spans="1:15" x14ac:dyDescent="0.35">
      <c r="A855" s="5" t="str">
        <f>Loads[[#This Row],[Date]]&amp;Loads[[#This Row],[Product]]</f>
        <v>44210Product1</v>
      </c>
      <c r="B855" s="5">
        <f>COUNTIF($A$1:A855,Loads[[#This Row],[Load]])</f>
        <v>9</v>
      </c>
      <c r="C855" s="3" t="str">
        <f>Loads[[#This Row],[Load]]&amp;Loads[[#This Row],[Count]]</f>
        <v>44210Product19</v>
      </c>
      <c r="D855" s="90">
        <v>44210</v>
      </c>
      <c r="E855" s="143">
        <v>9.5138888888888884E-2</v>
      </c>
      <c r="F855" s="1" t="s">
        <v>9</v>
      </c>
      <c r="G855" s="2" t="s">
        <v>12</v>
      </c>
      <c r="H855" s="2" t="s">
        <v>42</v>
      </c>
      <c r="I855" s="1" t="s">
        <v>10</v>
      </c>
      <c r="J855" s="1">
        <v>650</v>
      </c>
      <c r="K855" s="89">
        <v>25740</v>
      </c>
      <c r="L855" s="3">
        <v>7.94</v>
      </c>
      <c r="M855" s="3">
        <v>20.94</v>
      </c>
      <c r="N855" s="3" t="s">
        <v>8</v>
      </c>
      <c r="O855" s="3" t="s">
        <v>8</v>
      </c>
    </row>
    <row r="856" spans="1:15" x14ac:dyDescent="0.35">
      <c r="A856" s="5" t="str">
        <f>Loads[[#This Row],[Date]]&amp;Loads[[#This Row],[Product]]</f>
        <v>44211Product1</v>
      </c>
      <c r="B856" s="5">
        <f>COUNTIF($A$1:A856,Loads[[#This Row],[Load]])</f>
        <v>1</v>
      </c>
      <c r="C856" s="3" t="str">
        <f>Loads[[#This Row],[Load]]&amp;Loads[[#This Row],[Count]]</f>
        <v>44211Product11</v>
      </c>
      <c r="D856" s="90">
        <v>44211</v>
      </c>
      <c r="E856" s="143">
        <v>0.28194444444444444</v>
      </c>
      <c r="F856" s="1" t="s">
        <v>9</v>
      </c>
      <c r="G856" s="2" t="s">
        <v>12</v>
      </c>
      <c r="H856" s="2" t="s">
        <v>42</v>
      </c>
      <c r="I856" s="1" t="s">
        <v>10</v>
      </c>
      <c r="J856" s="1">
        <v>500</v>
      </c>
      <c r="K856" s="89">
        <v>20080</v>
      </c>
      <c r="L856" s="3">
        <v>6.11</v>
      </c>
      <c r="M856" s="3">
        <v>21.86</v>
      </c>
      <c r="N856" s="3" t="s">
        <v>8</v>
      </c>
      <c r="O856" s="3" t="s">
        <v>8</v>
      </c>
    </row>
    <row r="857" spans="1:15" x14ac:dyDescent="0.35">
      <c r="A857" s="5" t="str">
        <f>Loads[[#This Row],[Date]]&amp;Loads[[#This Row],[Product]]</f>
        <v>44211Product1</v>
      </c>
      <c r="B857" s="5">
        <f>COUNTIF($A$1:A857,Loads[[#This Row],[Load]])</f>
        <v>2</v>
      </c>
      <c r="C857" s="3" t="str">
        <f>Loads[[#This Row],[Load]]&amp;Loads[[#This Row],[Count]]</f>
        <v>44211Product12</v>
      </c>
      <c r="D857" s="90">
        <v>44211</v>
      </c>
      <c r="E857" s="143">
        <v>0.28263888888888888</v>
      </c>
      <c r="F857" s="1" t="s">
        <v>9</v>
      </c>
      <c r="G857" s="2" t="s">
        <v>12</v>
      </c>
      <c r="H857" s="2" t="s">
        <v>42</v>
      </c>
      <c r="I857" s="1" t="s">
        <v>11</v>
      </c>
      <c r="J857" s="1" t="s">
        <v>8</v>
      </c>
      <c r="K857" s="89">
        <v>20180</v>
      </c>
      <c r="L857" s="3">
        <v>4.38</v>
      </c>
      <c r="M857" s="3">
        <v>22.12</v>
      </c>
      <c r="N857" s="3" t="s">
        <v>8</v>
      </c>
      <c r="O857" s="3" t="s">
        <v>8</v>
      </c>
    </row>
    <row r="858" spans="1:15" x14ac:dyDescent="0.35">
      <c r="A858" s="5" t="str">
        <f>Loads[[#This Row],[Date]]&amp;Loads[[#This Row],[Product]]</f>
        <v>44211Product1</v>
      </c>
      <c r="B858" s="5">
        <f>COUNTIF($A$1:A858,Loads[[#This Row],[Load]])</f>
        <v>3</v>
      </c>
      <c r="C858" s="3" t="str">
        <f>Loads[[#This Row],[Load]]&amp;Loads[[#This Row],[Count]]</f>
        <v>44211Product13</v>
      </c>
      <c r="D858" s="90">
        <v>44211</v>
      </c>
      <c r="E858" s="143">
        <v>0.28333333333333333</v>
      </c>
      <c r="F858" s="1" t="s">
        <v>9</v>
      </c>
      <c r="G858" s="2" t="s">
        <v>12</v>
      </c>
      <c r="H858" s="2" t="s">
        <v>42</v>
      </c>
      <c r="I858" s="1" t="s">
        <v>11</v>
      </c>
      <c r="J858" s="1" t="s">
        <v>8</v>
      </c>
      <c r="K858" s="89">
        <v>22200</v>
      </c>
      <c r="L858" s="3">
        <v>4.13</v>
      </c>
      <c r="M858" s="3">
        <v>21.8</v>
      </c>
      <c r="N858" s="3" t="s">
        <v>8</v>
      </c>
      <c r="O858" s="3" t="s">
        <v>8</v>
      </c>
    </row>
    <row r="859" spans="1:15" x14ac:dyDescent="0.35">
      <c r="A859" s="5" t="str">
        <f>Loads[[#This Row],[Date]]&amp;Loads[[#This Row],[Product]]</f>
        <v>44211Product1</v>
      </c>
      <c r="B859" s="5">
        <f>COUNTIF($A$1:A859,Loads[[#This Row],[Load]])</f>
        <v>4</v>
      </c>
      <c r="C859" s="3" t="str">
        <f>Loads[[#This Row],[Load]]&amp;Loads[[#This Row],[Count]]</f>
        <v>44211Product14</v>
      </c>
      <c r="D859" s="90">
        <v>44211</v>
      </c>
      <c r="E859" s="143">
        <v>0.28402777777777777</v>
      </c>
      <c r="F859" s="1" t="s">
        <v>9</v>
      </c>
      <c r="G859" s="2" t="s">
        <v>12</v>
      </c>
      <c r="H859" s="2" t="s">
        <v>42</v>
      </c>
      <c r="I859" s="1" t="s">
        <v>11</v>
      </c>
      <c r="J859" s="1" t="s">
        <v>8</v>
      </c>
      <c r="K859" s="89">
        <v>16860</v>
      </c>
      <c r="L859" s="3">
        <v>4.09</v>
      </c>
      <c r="M859" s="3">
        <v>21.84</v>
      </c>
      <c r="N859" s="3" t="s">
        <v>8</v>
      </c>
      <c r="O859" s="3" t="s">
        <v>8</v>
      </c>
    </row>
    <row r="860" spans="1:15" x14ac:dyDescent="0.35">
      <c r="A860" s="5" t="str">
        <f>Loads[[#This Row],[Date]]&amp;Loads[[#This Row],[Product]]</f>
        <v>44211Product1</v>
      </c>
      <c r="B860" s="5">
        <f>COUNTIF($A$1:A860,Loads[[#This Row],[Load]])</f>
        <v>5</v>
      </c>
      <c r="C860" s="3" t="str">
        <f>Loads[[#This Row],[Load]]&amp;Loads[[#This Row],[Count]]</f>
        <v>44211Product15</v>
      </c>
      <c r="D860" s="90">
        <v>44211</v>
      </c>
      <c r="E860" s="143">
        <v>0.28472222222222221</v>
      </c>
      <c r="F860" s="1" t="s">
        <v>9</v>
      </c>
      <c r="G860" s="2" t="s">
        <v>12</v>
      </c>
      <c r="H860" s="2" t="s">
        <v>42</v>
      </c>
      <c r="I860" s="1" t="s">
        <v>10</v>
      </c>
      <c r="J860" s="1">
        <v>938</v>
      </c>
      <c r="K860" s="89">
        <v>37560</v>
      </c>
      <c r="L860" s="3">
        <v>6.26</v>
      </c>
      <c r="M860" s="3">
        <v>20.329999999999998</v>
      </c>
      <c r="N860" s="3" t="s">
        <v>8</v>
      </c>
      <c r="O860" s="3" t="s">
        <v>8</v>
      </c>
    </row>
    <row r="861" spans="1:15" x14ac:dyDescent="0.35">
      <c r="A861" s="5" t="str">
        <f>Loads[[#This Row],[Date]]&amp;Loads[[#This Row],[Product]]</f>
        <v>44211Product1</v>
      </c>
      <c r="B861" s="5">
        <f>COUNTIF($A$1:A861,Loads[[#This Row],[Load]])</f>
        <v>6</v>
      </c>
      <c r="C861" s="3" t="str">
        <f>Loads[[#This Row],[Load]]&amp;Loads[[#This Row],[Count]]</f>
        <v>44211Product16</v>
      </c>
      <c r="D861" s="90">
        <v>44211</v>
      </c>
      <c r="E861" s="143">
        <v>0.30555555555555552</v>
      </c>
      <c r="F861" s="1" t="s">
        <v>9</v>
      </c>
      <c r="G861" s="2" t="s">
        <v>12</v>
      </c>
      <c r="H861" s="2" t="s">
        <v>42</v>
      </c>
      <c r="I861" s="1" t="s">
        <v>11</v>
      </c>
      <c r="J861" s="1" t="s">
        <v>8</v>
      </c>
      <c r="K861" s="89">
        <v>26100</v>
      </c>
      <c r="L861" s="3">
        <v>7.62</v>
      </c>
      <c r="M861" s="3">
        <v>21.77</v>
      </c>
      <c r="N861" s="3" t="s">
        <v>8</v>
      </c>
      <c r="O861" s="3" t="s">
        <v>8</v>
      </c>
    </row>
    <row r="862" spans="1:15" x14ac:dyDescent="0.35">
      <c r="A862" s="5" t="str">
        <f>Loads[[#This Row],[Date]]&amp;Loads[[#This Row],[Product]]</f>
        <v>44211Product1</v>
      </c>
      <c r="B862" s="5">
        <f>COUNTIF($A$1:A862,Loads[[#This Row],[Load]])</f>
        <v>7</v>
      </c>
      <c r="C862" s="3" t="str">
        <f>Loads[[#This Row],[Load]]&amp;Loads[[#This Row],[Count]]</f>
        <v>44211Product17</v>
      </c>
      <c r="D862" s="90">
        <v>44211</v>
      </c>
      <c r="E862" s="143">
        <v>0.375</v>
      </c>
      <c r="F862" s="1" t="s">
        <v>9</v>
      </c>
      <c r="G862" s="2" t="s">
        <v>12</v>
      </c>
      <c r="H862" s="2" t="s">
        <v>42</v>
      </c>
      <c r="I862" s="1" t="s">
        <v>10</v>
      </c>
      <c r="J862" s="1">
        <v>655</v>
      </c>
      <c r="K862" s="89">
        <v>26200</v>
      </c>
      <c r="L862" s="3">
        <v>8.17</v>
      </c>
      <c r="M862" s="3">
        <v>22.14</v>
      </c>
      <c r="N862" s="3" t="s">
        <v>8</v>
      </c>
      <c r="O862" s="3" t="s">
        <v>8</v>
      </c>
    </row>
    <row r="863" spans="1:15" x14ac:dyDescent="0.35">
      <c r="A863" s="5" t="str">
        <f>Loads[[#This Row],[Date]]&amp;Loads[[#This Row],[Product]]</f>
        <v>44211Product1</v>
      </c>
      <c r="B863" s="5">
        <f>COUNTIF($A$1:A863,Loads[[#This Row],[Load]])</f>
        <v>8</v>
      </c>
      <c r="C863" s="3" t="str">
        <f>Loads[[#This Row],[Load]]&amp;Loads[[#This Row],[Count]]</f>
        <v>44211Product18</v>
      </c>
      <c r="D863" s="90">
        <v>44211</v>
      </c>
      <c r="E863" s="143">
        <v>0.52777777777777779</v>
      </c>
      <c r="F863" s="1" t="s">
        <v>9</v>
      </c>
      <c r="G863" s="2" t="s">
        <v>12</v>
      </c>
      <c r="H863" s="2" t="s">
        <v>42</v>
      </c>
      <c r="I863" s="1" t="s">
        <v>11</v>
      </c>
      <c r="J863" s="1" t="s">
        <v>8</v>
      </c>
      <c r="K863" s="89">
        <v>21620</v>
      </c>
      <c r="L863" s="3">
        <v>8.5</v>
      </c>
      <c r="M863" s="3">
        <v>23.62</v>
      </c>
      <c r="N863" s="3" t="s">
        <v>8</v>
      </c>
      <c r="O863" s="3" t="s">
        <v>8</v>
      </c>
    </row>
    <row r="864" spans="1:15" x14ac:dyDescent="0.35">
      <c r="A864" s="5" t="str">
        <f>Loads[[#This Row],[Date]]&amp;Loads[[#This Row],[Product]]</f>
        <v>44211Product1</v>
      </c>
      <c r="B864" s="5">
        <f>COUNTIF($A$1:A864,Loads[[#This Row],[Load]])</f>
        <v>9</v>
      </c>
      <c r="C864" s="3" t="str">
        <f>Loads[[#This Row],[Load]]&amp;Loads[[#This Row],[Count]]</f>
        <v>44211Product19</v>
      </c>
      <c r="D864" s="90">
        <v>44211</v>
      </c>
      <c r="E864" s="143">
        <v>0.62152777777777779</v>
      </c>
      <c r="F864" s="1" t="s">
        <v>9</v>
      </c>
      <c r="G864" s="2" t="s">
        <v>12</v>
      </c>
      <c r="H864" s="2" t="s">
        <v>42</v>
      </c>
      <c r="I864" s="1" t="s">
        <v>11</v>
      </c>
      <c r="J864" s="1" t="s">
        <v>8</v>
      </c>
      <c r="K864" s="89">
        <v>9180</v>
      </c>
      <c r="L864" s="3">
        <v>8.76</v>
      </c>
      <c r="M864" s="3">
        <v>23.22</v>
      </c>
      <c r="N864" s="3" t="s">
        <v>8</v>
      </c>
      <c r="O864" s="3" t="s">
        <v>8</v>
      </c>
    </row>
    <row r="865" spans="1:15" x14ac:dyDescent="0.35">
      <c r="A865" s="5" t="str">
        <f>Loads[[#This Row],[Date]]&amp;Loads[[#This Row],[Product]]</f>
        <v>44211Product1</v>
      </c>
      <c r="B865" s="5">
        <f>COUNTIF($A$1:A865,Loads[[#This Row],[Load]])</f>
        <v>10</v>
      </c>
      <c r="C865" s="3" t="str">
        <f>Loads[[#This Row],[Load]]&amp;Loads[[#This Row],[Count]]</f>
        <v>44211Product110</v>
      </c>
      <c r="D865" s="90">
        <v>44211</v>
      </c>
      <c r="E865" s="143">
        <v>0.96527777777777779</v>
      </c>
      <c r="F865" s="1" t="s">
        <v>9</v>
      </c>
      <c r="G865" s="2" t="s">
        <v>12</v>
      </c>
      <c r="H865" s="2" t="s">
        <v>42</v>
      </c>
      <c r="I865" s="1" t="s">
        <v>10</v>
      </c>
      <c r="J865" s="1">
        <v>675</v>
      </c>
      <c r="K865" s="89">
        <v>26840</v>
      </c>
      <c r="L865" s="3">
        <v>10.23</v>
      </c>
      <c r="M865" s="3">
        <v>23.47</v>
      </c>
      <c r="N865" s="3" t="s">
        <v>8</v>
      </c>
      <c r="O865" s="3" t="s">
        <v>8</v>
      </c>
    </row>
    <row r="866" spans="1:15" x14ac:dyDescent="0.35">
      <c r="A866" s="5" t="str">
        <f>Loads[[#This Row],[Date]]&amp;Loads[[#This Row],[Product]]</f>
        <v>44211Product1</v>
      </c>
      <c r="B866" s="5">
        <f>COUNTIF($A$1:A866,Loads[[#This Row],[Load]])</f>
        <v>11</v>
      </c>
      <c r="C866" s="3" t="str">
        <f>Loads[[#This Row],[Load]]&amp;Loads[[#This Row],[Count]]</f>
        <v>44211Product111</v>
      </c>
      <c r="D866" s="90">
        <v>44211</v>
      </c>
      <c r="E866" s="143">
        <v>0.96597222222222223</v>
      </c>
      <c r="F866" s="1" t="s">
        <v>9</v>
      </c>
      <c r="G866" s="2" t="s">
        <v>12</v>
      </c>
      <c r="H866" s="2" t="s">
        <v>42</v>
      </c>
      <c r="I866" s="1" t="s">
        <v>11</v>
      </c>
      <c r="J866" s="1" t="s">
        <v>8</v>
      </c>
      <c r="K866" s="89">
        <v>27260</v>
      </c>
      <c r="L866" s="3">
        <v>9</v>
      </c>
      <c r="M866" s="3">
        <v>22.14</v>
      </c>
      <c r="N866" s="3" t="s">
        <v>8</v>
      </c>
      <c r="O866" s="3" t="s">
        <v>8</v>
      </c>
    </row>
    <row r="867" spans="1:15" x14ac:dyDescent="0.35">
      <c r="A867" s="5" t="str">
        <f>Loads[[#This Row],[Date]]&amp;Loads[[#This Row],[Product]]</f>
        <v>44211Product1</v>
      </c>
      <c r="B867" s="5">
        <f>COUNTIF($A$1:A867,Loads[[#This Row],[Load]])</f>
        <v>12</v>
      </c>
      <c r="C867" s="3" t="str">
        <f>Loads[[#This Row],[Load]]&amp;Loads[[#This Row],[Count]]</f>
        <v>44211Product112</v>
      </c>
      <c r="D867" s="90">
        <v>44211</v>
      </c>
      <c r="E867" s="143">
        <v>0.96666666666666667</v>
      </c>
      <c r="F867" s="1" t="s">
        <v>9</v>
      </c>
      <c r="G867" s="2" t="s">
        <v>12</v>
      </c>
      <c r="H867" s="2" t="s">
        <v>42</v>
      </c>
      <c r="I867" s="1" t="s">
        <v>10</v>
      </c>
      <c r="J867" s="1">
        <v>450</v>
      </c>
      <c r="K867" s="89">
        <v>18040</v>
      </c>
      <c r="L867" s="3">
        <v>8.33</v>
      </c>
      <c r="M867" s="3">
        <v>21.97</v>
      </c>
      <c r="N867" s="3" t="s">
        <v>8</v>
      </c>
      <c r="O867" s="3" t="s">
        <v>8</v>
      </c>
    </row>
    <row r="868" spans="1:15" x14ac:dyDescent="0.35">
      <c r="A868" s="5" t="str">
        <f>Loads[[#This Row],[Date]]&amp;Loads[[#This Row],[Product]]</f>
        <v>44211Product1</v>
      </c>
      <c r="B868" s="5">
        <f>COUNTIF($A$1:A868,Loads[[#This Row],[Load]])</f>
        <v>13</v>
      </c>
      <c r="C868" s="3" t="str">
        <f>Loads[[#This Row],[Load]]&amp;Loads[[#This Row],[Count]]</f>
        <v>44211Product113</v>
      </c>
      <c r="D868" s="90">
        <v>44211</v>
      </c>
      <c r="E868" s="143">
        <v>7.013888888888889E-2</v>
      </c>
      <c r="F868" s="1" t="s">
        <v>9</v>
      </c>
      <c r="G868" s="2" t="s">
        <v>12</v>
      </c>
      <c r="H868" s="2" t="s">
        <v>42</v>
      </c>
      <c r="I868" s="1" t="s">
        <v>11</v>
      </c>
      <c r="J868" s="1" t="s">
        <v>8</v>
      </c>
      <c r="K868" s="89">
        <v>26640</v>
      </c>
      <c r="L868" s="3">
        <v>10.5</v>
      </c>
      <c r="M868" s="3">
        <v>23.5</v>
      </c>
      <c r="N868" s="3" t="s">
        <v>8</v>
      </c>
      <c r="O868" s="3" t="s">
        <v>8</v>
      </c>
    </row>
    <row r="869" spans="1:15" x14ac:dyDescent="0.35">
      <c r="A869" s="5" t="str">
        <f>Loads[[#This Row],[Date]]&amp;Loads[[#This Row],[Product]]</f>
        <v>44212Product1</v>
      </c>
      <c r="B869" s="5">
        <f>COUNTIF($A$1:A869,Loads[[#This Row],[Load]])</f>
        <v>1</v>
      </c>
      <c r="C869" s="3" t="str">
        <f>Loads[[#This Row],[Load]]&amp;Loads[[#This Row],[Count]]</f>
        <v>44212Product11</v>
      </c>
      <c r="D869" s="90">
        <v>44212</v>
      </c>
      <c r="E869" s="143">
        <v>0.29722222222222222</v>
      </c>
      <c r="F869" s="1" t="s">
        <v>9</v>
      </c>
      <c r="G869" s="2" t="s">
        <v>12</v>
      </c>
      <c r="H869" s="2" t="s">
        <v>42</v>
      </c>
      <c r="I869" s="1" t="s">
        <v>11</v>
      </c>
      <c r="J869" s="1" t="s">
        <v>8</v>
      </c>
      <c r="K869" s="89">
        <v>22460</v>
      </c>
      <c r="L869" s="3">
        <v>7.14</v>
      </c>
      <c r="M869" s="3">
        <v>22.45</v>
      </c>
      <c r="N869" s="3" t="s">
        <v>8</v>
      </c>
      <c r="O869" s="3" t="s">
        <v>8</v>
      </c>
    </row>
    <row r="870" spans="1:15" x14ac:dyDescent="0.35">
      <c r="A870" s="5" t="str">
        <f>Loads[[#This Row],[Date]]&amp;Loads[[#This Row],[Product]]</f>
        <v>44212Product1</v>
      </c>
      <c r="B870" s="5">
        <f>COUNTIF($A$1:A870,Loads[[#This Row],[Load]])</f>
        <v>2</v>
      </c>
      <c r="C870" s="3" t="str">
        <f>Loads[[#This Row],[Load]]&amp;Loads[[#This Row],[Count]]</f>
        <v>44212Product12</v>
      </c>
      <c r="D870" s="90">
        <v>44212</v>
      </c>
      <c r="E870" s="143">
        <v>0.29791666666666666</v>
      </c>
      <c r="F870" s="1" t="s">
        <v>9</v>
      </c>
      <c r="G870" s="2" t="s">
        <v>12</v>
      </c>
      <c r="H870" s="2" t="s">
        <v>42</v>
      </c>
      <c r="I870" s="1" t="s">
        <v>11</v>
      </c>
      <c r="J870" s="1" t="s">
        <v>8</v>
      </c>
      <c r="K870" s="89">
        <v>23620</v>
      </c>
      <c r="L870" s="3">
        <v>6.97</v>
      </c>
      <c r="M870" s="3">
        <v>21.91</v>
      </c>
      <c r="N870" s="3" t="s">
        <v>8</v>
      </c>
      <c r="O870" s="3" t="s">
        <v>8</v>
      </c>
    </row>
    <row r="871" spans="1:15" x14ac:dyDescent="0.35">
      <c r="A871" s="5" t="str">
        <f>Loads[[#This Row],[Date]]&amp;Loads[[#This Row],[Product]]</f>
        <v>44212Product1</v>
      </c>
      <c r="B871" s="5">
        <f>COUNTIF($A$1:A871,Loads[[#This Row],[Load]])</f>
        <v>3</v>
      </c>
      <c r="C871" s="3" t="str">
        <f>Loads[[#This Row],[Load]]&amp;Loads[[#This Row],[Count]]</f>
        <v>44212Product13</v>
      </c>
      <c r="D871" s="90">
        <v>44212</v>
      </c>
      <c r="E871" s="143">
        <v>0.29791666666666666</v>
      </c>
      <c r="F871" s="1" t="s">
        <v>9</v>
      </c>
      <c r="G871" s="2" t="s">
        <v>12</v>
      </c>
      <c r="H871" s="2" t="s">
        <v>42</v>
      </c>
      <c r="I871" s="1" t="s">
        <v>10</v>
      </c>
      <c r="J871" s="1">
        <v>200</v>
      </c>
      <c r="K871" s="89">
        <v>8140</v>
      </c>
      <c r="L871" s="3">
        <v>9.17</v>
      </c>
      <c r="M871" s="3">
        <v>21.5</v>
      </c>
      <c r="N871" s="3" t="s">
        <v>8</v>
      </c>
      <c r="O871" s="3" t="s">
        <v>8</v>
      </c>
    </row>
    <row r="872" spans="1:15" x14ac:dyDescent="0.35">
      <c r="A872" s="5" t="str">
        <f>Loads[[#This Row],[Date]]&amp;Loads[[#This Row],[Product]]</f>
        <v>44212Product1</v>
      </c>
      <c r="B872" s="5">
        <f>COUNTIF($A$1:A872,Loads[[#This Row],[Load]])</f>
        <v>4</v>
      </c>
      <c r="C872" s="3" t="str">
        <f>Loads[[#This Row],[Load]]&amp;Loads[[#This Row],[Count]]</f>
        <v>44212Product14</v>
      </c>
      <c r="D872" s="90">
        <v>44212</v>
      </c>
      <c r="E872" s="143">
        <v>0.29930555555555555</v>
      </c>
      <c r="F872" s="1" t="s">
        <v>9</v>
      </c>
      <c r="G872" s="2" t="s">
        <v>12</v>
      </c>
      <c r="H872" s="2" t="s">
        <v>42</v>
      </c>
      <c r="I872" s="1" t="s">
        <v>11</v>
      </c>
      <c r="J872" s="1" t="s">
        <v>8</v>
      </c>
      <c r="K872" s="89">
        <v>34540</v>
      </c>
      <c r="L872" s="3">
        <v>10.39</v>
      </c>
      <c r="M872" s="3">
        <v>22.77</v>
      </c>
      <c r="N872" s="3" t="s">
        <v>8</v>
      </c>
      <c r="O872" s="3" t="s">
        <v>8</v>
      </c>
    </row>
    <row r="873" spans="1:15" x14ac:dyDescent="0.35">
      <c r="A873" s="5" t="str">
        <f>Loads[[#This Row],[Date]]&amp;Loads[[#This Row],[Product]]</f>
        <v>44212Product1</v>
      </c>
      <c r="B873" s="5">
        <f>COUNTIF($A$1:A873,Loads[[#This Row],[Load]])</f>
        <v>5</v>
      </c>
      <c r="C873" s="3" t="str">
        <f>Loads[[#This Row],[Load]]&amp;Loads[[#This Row],[Count]]</f>
        <v>44212Product15</v>
      </c>
      <c r="D873" s="90">
        <v>44212</v>
      </c>
      <c r="E873" s="143">
        <v>0.3</v>
      </c>
      <c r="F873" s="1" t="s">
        <v>9</v>
      </c>
      <c r="G873" s="2" t="s">
        <v>12</v>
      </c>
      <c r="H873" s="2" t="s">
        <v>42</v>
      </c>
      <c r="I873" s="1" t="s">
        <v>11</v>
      </c>
      <c r="J873" s="1" t="s">
        <v>8</v>
      </c>
      <c r="K873" s="89">
        <v>23200</v>
      </c>
      <c r="L873" s="3">
        <v>7.54</v>
      </c>
      <c r="M873" s="3">
        <v>22.07</v>
      </c>
      <c r="N873" s="3" t="s">
        <v>8</v>
      </c>
      <c r="O873" s="3" t="s">
        <v>8</v>
      </c>
    </row>
    <row r="874" spans="1:15" x14ac:dyDescent="0.35">
      <c r="A874" s="5" t="str">
        <f>Loads[[#This Row],[Date]]&amp;Loads[[#This Row],[Product]]</f>
        <v>44212Product1</v>
      </c>
      <c r="B874" s="5">
        <f>COUNTIF($A$1:A874,Loads[[#This Row],[Load]])</f>
        <v>6</v>
      </c>
      <c r="C874" s="3" t="str">
        <f>Loads[[#This Row],[Load]]&amp;Loads[[#This Row],[Count]]</f>
        <v>44212Product16</v>
      </c>
      <c r="D874" s="90">
        <v>44212</v>
      </c>
      <c r="E874" s="143">
        <v>0.97013888888888899</v>
      </c>
      <c r="F874" s="1" t="s">
        <v>9</v>
      </c>
      <c r="G874" s="2" t="s">
        <v>12</v>
      </c>
      <c r="H874" s="2" t="s">
        <v>42</v>
      </c>
      <c r="I874" s="1" t="s">
        <v>11</v>
      </c>
      <c r="J874" s="1" t="s">
        <v>8</v>
      </c>
      <c r="K874" s="89">
        <v>22580</v>
      </c>
      <c r="L874" s="3">
        <v>8.83</v>
      </c>
      <c r="M874" s="3">
        <v>21.52</v>
      </c>
      <c r="N874" s="3" t="s">
        <v>8</v>
      </c>
      <c r="O874" s="3" t="s">
        <v>8</v>
      </c>
    </row>
    <row r="875" spans="1:15" x14ac:dyDescent="0.35">
      <c r="A875" s="5" t="str">
        <f>Loads[[#This Row],[Date]]&amp;Loads[[#This Row],[Product]]</f>
        <v>44212Product1</v>
      </c>
      <c r="B875" s="5">
        <f>COUNTIF($A$1:A875,Loads[[#This Row],[Load]])</f>
        <v>7</v>
      </c>
      <c r="C875" s="3" t="str">
        <f>Loads[[#This Row],[Load]]&amp;Loads[[#This Row],[Count]]</f>
        <v>44212Product17</v>
      </c>
      <c r="D875" s="90">
        <v>44212</v>
      </c>
      <c r="E875" s="143">
        <v>0.97083333333333333</v>
      </c>
      <c r="F875" s="1" t="s">
        <v>9</v>
      </c>
      <c r="G875" s="2" t="s">
        <v>12</v>
      </c>
      <c r="H875" s="2" t="s">
        <v>42</v>
      </c>
      <c r="I875" s="1" t="s">
        <v>10</v>
      </c>
      <c r="J875" s="1">
        <v>675</v>
      </c>
      <c r="K875" s="89">
        <v>27040</v>
      </c>
      <c r="L875" s="3">
        <v>9.4600000000000009</v>
      </c>
      <c r="M875" s="3">
        <v>21.81</v>
      </c>
      <c r="N875" s="3" t="s">
        <v>8</v>
      </c>
      <c r="O875" s="3" t="s">
        <v>8</v>
      </c>
    </row>
    <row r="876" spans="1:15" x14ac:dyDescent="0.35">
      <c r="A876" s="5" t="str">
        <f>Loads[[#This Row],[Date]]&amp;Loads[[#This Row],[Product]]</f>
        <v>44212Product1</v>
      </c>
      <c r="B876" s="5">
        <f>COUNTIF($A$1:A876,Loads[[#This Row],[Load]])</f>
        <v>8</v>
      </c>
      <c r="C876" s="3" t="str">
        <f>Loads[[#This Row],[Load]]&amp;Loads[[#This Row],[Count]]</f>
        <v>44212Product18</v>
      </c>
      <c r="D876" s="90">
        <v>44212</v>
      </c>
      <c r="E876" s="143">
        <v>0.97152777777777777</v>
      </c>
      <c r="F876" s="1" t="s">
        <v>9</v>
      </c>
      <c r="G876" s="2" t="s">
        <v>12</v>
      </c>
      <c r="H876" s="2" t="s">
        <v>42</v>
      </c>
      <c r="I876" s="1" t="s">
        <v>10</v>
      </c>
      <c r="J876" s="1">
        <v>780</v>
      </c>
      <c r="K876" s="89">
        <v>31280</v>
      </c>
      <c r="L876" s="3">
        <v>9.6199999999999992</v>
      </c>
      <c r="M876" s="3">
        <v>21.86</v>
      </c>
      <c r="N876" s="3" t="s">
        <v>8</v>
      </c>
      <c r="O876" s="3" t="s">
        <v>8</v>
      </c>
    </row>
    <row r="877" spans="1:15" x14ac:dyDescent="0.35">
      <c r="A877" s="5" t="str">
        <f>Loads[[#This Row],[Date]]&amp;Loads[[#This Row],[Product]]</f>
        <v>44213Product1</v>
      </c>
      <c r="B877" s="5">
        <f>COUNTIF($A$1:A877,Loads[[#This Row],[Load]])</f>
        <v>1</v>
      </c>
      <c r="C877" s="3" t="str">
        <f>Loads[[#This Row],[Load]]&amp;Loads[[#This Row],[Count]]</f>
        <v>44213Product11</v>
      </c>
      <c r="D877" s="90">
        <v>44213</v>
      </c>
      <c r="E877" s="143">
        <v>0.27847222222222223</v>
      </c>
      <c r="F877" s="1" t="s">
        <v>9</v>
      </c>
      <c r="G877" s="2" t="s">
        <v>12</v>
      </c>
      <c r="H877" s="2" t="s">
        <v>42</v>
      </c>
      <c r="I877" s="1" t="s">
        <v>10</v>
      </c>
      <c r="J877" s="1">
        <v>412</v>
      </c>
      <c r="K877" s="89">
        <v>16440</v>
      </c>
      <c r="L877" s="3">
        <v>10.02</v>
      </c>
      <c r="M877" s="3">
        <v>21.98</v>
      </c>
      <c r="N877" s="3" t="s">
        <v>8</v>
      </c>
      <c r="O877" s="3" t="s">
        <v>8</v>
      </c>
    </row>
    <row r="878" spans="1:15" x14ac:dyDescent="0.35">
      <c r="A878" s="5" t="str">
        <f>Loads[[#This Row],[Date]]&amp;Loads[[#This Row],[Product]]</f>
        <v>44213Product1</v>
      </c>
      <c r="B878" s="5">
        <f>COUNTIF($A$1:A878,Loads[[#This Row],[Load]])</f>
        <v>2</v>
      </c>
      <c r="C878" s="3" t="str">
        <f>Loads[[#This Row],[Load]]&amp;Loads[[#This Row],[Count]]</f>
        <v>44213Product12</v>
      </c>
      <c r="D878" s="90">
        <v>44213</v>
      </c>
      <c r="E878" s="143">
        <v>0.27847222222222223</v>
      </c>
      <c r="F878" s="1" t="s">
        <v>9</v>
      </c>
      <c r="G878" s="2" t="s">
        <v>12</v>
      </c>
      <c r="H878" s="2" t="s">
        <v>42</v>
      </c>
      <c r="I878" s="1" t="s">
        <v>10</v>
      </c>
      <c r="J878" s="1">
        <v>122</v>
      </c>
      <c r="K878" s="89">
        <v>4900</v>
      </c>
      <c r="L878" s="3">
        <v>9.76</v>
      </c>
      <c r="M878" s="3">
        <v>21.42</v>
      </c>
      <c r="N878" s="3" t="s">
        <v>8</v>
      </c>
      <c r="O878" s="3" t="s">
        <v>8</v>
      </c>
    </row>
    <row r="879" spans="1:15" x14ac:dyDescent="0.35">
      <c r="A879" s="5" t="str">
        <f>Loads[[#This Row],[Date]]&amp;Loads[[#This Row],[Product]]</f>
        <v>44213Product1</v>
      </c>
      <c r="B879" s="5">
        <f>COUNTIF($A$1:A879,Loads[[#This Row],[Load]])</f>
        <v>3</v>
      </c>
      <c r="C879" s="3" t="str">
        <f>Loads[[#This Row],[Load]]&amp;Loads[[#This Row],[Count]]</f>
        <v>44213Product13</v>
      </c>
      <c r="D879" s="90">
        <v>44213</v>
      </c>
      <c r="E879" s="143">
        <v>0.27916666666666667</v>
      </c>
      <c r="F879" s="1" t="s">
        <v>9</v>
      </c>
      <c r="G879" s="2" t="s">
        <v>12</v>
      </c>
      <c r="H879" s="2" t="s">
        <v>42</v>
      </c>
      <c r="I879" s="1" t="s">
        <v>11</v>
      </c>
      <c r="J879" s="1" t="s">
        <v>8</v>
      </c>
      <c r="K879" s="89">
        <v>24920</v>
      </c>
      <c r="L879" s="3">
        <v>10.41</v>
      </c>
      <c r="M879" s="3">
        <v>22.94</v>
      </c>
      <c r="N879" s="3" t="s">
        <v>8</v>
      </c>
      <c r="O879" s="3" t="s">
        <v>8</v>
      </c>
    </row>
    <row r="880" spans="1:15" x14ac:dyDescent="0.35">
      <c r="A880" s="5" t="str">
        <f>Loads[[#This Row],[Date]]&amp;Loads[[#This Row],[Product]]</f>
        <v>44213Product1</v>
      </c>
      <c r="B880" s="5">
        <f>COUNTIF($A$1:A880,Loads[[#This Row],[Load]])</f>
        <v>4</v>
      </c>
      <c r="C880" s="3" t="str">
        <f>Loads[[#This Row],[Load]]&amp;Loads[[#This Row],[Count]]</f>
        <v>44213Product14</v>
      </c>
      <c r="D880" s="90">
        <v>44213</v>
      </c>
      <c r="E880" s="143">
        <v>0.30555555555555552</v>
      </c>
      <c r="F880" s="1" t="s">
        <v>9</v>
      </c>
      <c r="G880" s="2" t="s">
        <v>12</v>
      </c>
      <c r="H880" s="2" t="s">
        <v>42</v>
      </c>
      <c r="I880" s="1" t="s">
        <v>11</v>
      </c>
      <c r="J880" s="1" t="s">
        <v>8</v>
      </c>
      <c r="K880" s="89">
        <v>12280</v>
      </c>
      <c r="L880" s="3">
        <v>10.25</v>
      </c>
      <c r="M880" s="3">
        <v>22.14</v>
      </c>
      <c r="N880" s="3" t="s">
        <v>8</v>
      </c>
      <c r="O880" s="3" t="s">
        <v>8</v>
      </c>
    </row>
    <row r="881" spans="1:15" x14ac:dyDescent="0.35">
      <c r="A881" s="5" t="str">
        <f>Loads[[#This Row],[Date]]&amp;Loads[[#This Row],[Product]]</f>
        <v>44213Product1</v>
      </c>
      <c r="B881" s="5">
        <f>COUNTIF($A$1:A881,Loads[[#This Row],[Load]])</f>
        <v>5</v>
      </c>
      <c r="C881" s="3" t="str">
        <f>Loads[[#This Row],[Load]]&amp;Loads[[#This Row],[Count]]</f>
        <v>44213Product15</v>
      </c>
      <c r="D881" s="90">
        <v>44213</v>
      </c>
      <c r="E881" s="143">
        <v>0.39930555555555558</v>
      </c>
      <c r="F881" s="1" t="s">
        <v>9</v>
      </c>
      <c r="G881" s="2" t="s">
        <v>12</v>
      </c>
      <c r="H881" s="2" t="s">
        <v>42</v>
      </c>
      <c r="I881" s="1" t="s">
        <v>11</v>
      </c>
      <c r="J881" s="1" t="s">
        <v>8</v>
      </c>
      <c r="K881" s="89">
        <v>26000</v>
      </c>
      <c r="L881" s="3">
        <v>10.23</v>
      </c>
      <c r="M881" s="3">
        <v>22.57</v>
      </c>
      <c r="N881" s="3" t="s">
        <v>8</v>
      </c>
      <c r="O881" s="3" t="s">
        <v>8</v>
      </c>
    </row>
    <row r="882" spans="1:15" x14ac:dyDescent="0.35">
      <c r="A882" s="5" t="str">
        <f>Loads[[#This Row],[Date]]&amp;Loads[[#This Row],[Product]]</f>
        <v>44213Product1</v>
      </c>
      <c r="B882" s="5">
        <f>COUNTIF($A$1:A882,Loads[[#This Row],[Load]])</f>
        <v>6</v>
      </c>
      <c r="C882" s="3" t="str">
        <f>Loads[[#This Row],[Load]]&amp;Loads[[#This Row],[Count]]</f>
        <v>44213Product16</v>
      </c>
      <c r="D882" s="90">
        <v>44213</v>
      </c>
      <c r="E882" s="143">
        <v>0.4201388888888889</v>
      </c>
      <c r="F882" s="1" t="s">
        <v>9</v>
      </c>
      <c r="G882" s="2" t="s">
        <v>12</v>
      </c>
      <c r="H882" s="2" t="s">
        <v>42</v>
      </c>
      <c r="I882" s="1" t="s">
        <v>11</v>
      </c>
      <c r="J882" s="1" t="s">
        <v>8</v>
      </c>
      <c r="K882" s="89">
        <v>23720</v>
      </c>
      <c r="L882" s="3">
        <v>10.31</v>
      </c>
      <c r="M882" s="3">
        <v>22.52</v>
      </c>
      <c r="N882" s="3" t="s">
        <v>8</v>
      </c>
      <c r="O882" s="3" t="s">
        <v>8</v>
      </c>
    </row>
    <row r="883" spans="1:15" x14ac:dyDescent="0.35">
      <c r="A883" s="5" t="str">
        <f>Loads[[#This Row],[Date]]&amp;Loads[[#This Row],[Product]]</f>
        <v>44213Product1</v>
      </c>
      <c r="B883" s="5">
        <f>COUNTIF($A$1:A883,Loads[[#This Row],[Load]])</f>
        <v>7</v>
      </c>
      <c r="C883" s="3" t="str">
        <f>Loads[[#This Row],[Load]]&amp;Loads[[#This Row],[Count]]</f>
        <v>44213Product17</v>
      </c>
      <c r="D883" s="90">
        <v>44213</v>
      </c>
      <c r="E883" s="143">
        <v>0.44791666666666669</v>
      </c>
      <c r="F883" s="1" t="s">
        <v>9</v>
      </c>
      <c r="G883" s="2" t="s">
        <v>12</v>
      </c>
      <c r="H883" s="2" t="s">
        <v>42</v>
      </c>
      <c r="I883" s="1" t="s">
        <v>11</v>
      </c>
      <c r="J883" s="1" t="s">
        <v>8</v>
      </c>
      <c r="K883" s="89">
        <v>21280</v>
      </c>
      <c r="L883" s="3">
        <v>10.44</v>
      </c>
      <c r="M883" s="3">
        <v>22.61</v>
      </c>
      <c r="N883" s="3" t="s">
        <v>8</v>
      </c>
      <c r="O883" s="3" t="s">
        <v>8</v>
      </c>
    </row>
    <row r="884" spans="1:15" x14ac:dyDescent="0.35">
      <c r="A884" s="5" t="str">
        <f>Loads[[#This Row],[Date]]&amp;Loads[[#This Row],[Product]]</f>
        <v>44213Product1</v>
      </c>
      <c r="B884" s="5">
        <f>COUNTIF($A$1:A884,Loads[[#This Row],[Load]])</f>
        <v>8</v>
      </c>
      <c r="C884" s="3" t="str">
        <f>Loads[[#This Row],[Load]]&amp;Loads[[#This Row],[Count]]</f>
        <v>44213Product18</v>
      </c>
      <c r="D884" s="90">
        <v>44213</v>
      </c>
      <c r="E884" s="143">
        <v>0.5</v>
      </c>
      <c r="F884" s="1" t="s">
        <v>9</v>
      </c>
      <c r="G884" s="2" t="s">
        <v>12</v>
      </c>
      <c r="H884" s="2" t="s">
        <v>42</v>
      </c>
      <c r="I884" s="1" t="s">
        <v>10</v>
      </c>
      <c r="J884" s="1">
        <v>435</v>
      </c>
      <c r="K884" s="89">
        <v>17280</v>
      </c>
      <c r="L884" s="3">
        <v>8.5</v>
      </c>
      <c r="M884" s="3">
        <v>24.86</v>
      </c>
      <c r="N884" s="3" t="s">
        <v>8</v>
      </c>
      <c r="O884" s="3" t="s">
        <v>8</v>
      </c>
    </row>
    <row r="885" spans="1:15" x14ac:dyDescent="0.35">
      <c r="A885" s="5" t="str">
        <f>Loads[[#This Row],[Date]]&amp;Loads[[#This Row],[Product]]</f>
        <v>44213Product1</v>
      </c>
      <c r="B885" s="5">
        <f>COUNTIF($A$1:A885,Loads[[#This Row],[Load]])</f>
        <v>9</v>
      </c>
      <c r="C885" s="3" t="str">
        <f>Loads[[#This Row],[Load]]&amp;Loads[[#This Row],[Count]]</f>
        <v>44213Product19</v>
      </c>
      <c r="D885" s="90">
        <v>44213</v>
      </c>
      <c r="E885" s="143">
        <v>0.53472222222222221</v>
      </c>
      <c r="F885" s="1" t="s">
        <v>9</v>
      </c>
      <c r="G885" s="2" t="s">
        <v>12</v>
      </c>
      <c r="H885" s="2" t="s">
        <v>42</v>
      </c>
      <c r="I885" s="1" t="s">
        <v>11</v>
      </c>
      <c r="J885" s="1" t="s">
        <v>8</v>
      </c>
      <c r="K885" s="89">
        <v>23960</v>
      </c>
      <c r="L885" s="3">
        <v>8.6999999999999993</v>
      </c>
      <c r="M885" s="3">
        <v>22.47</v>
      </c>
      <c r="N885" s="3" t="s">
        <v>8</v>
      </c>
      <c r="O885" s="3" t="s">
        <v>8</v>
      </c>
    </row>
    <row r="886" spans="1:15" x14ac:dyDescent="0.35">
      <c r="A886" s="5" t="str">
        <f>Loads[[#This Row],[Date]]&amp;Loads[[#This Row],[Product]]</f>
        <v>44213Product1</v>
      </c>
      <c r="B886" s="5">
        <f>COUNTIF($A$1:A886,Loads[[#This Row],[Load]])</f>
        <v>10</v>
      </c>
      <c r="C886" s="3" t="str">
        <f>Loads[[#This Row],[Load]]&amp;Loads[[#This Row],[Count]]</f>
        <v>44213Product110</v>
      </c>
      <c r="D886" s="90">
        <v>44213</v>
      </c>
      <c r="E886" s="143">
        <v>0.94236111111111109</v>
      </c>
      <c r="F886" s="1" t="s">
        <v>9</v>
      </c>
      <c r="G886" s="2" t="s">
        <v>12</v>
      </c>
      <c r="H886" s="2" t="s">
        <v>42</v>
      </c>
      <c r="I886" s="1" t="s">
        <v>11</v>
      </c>
      <c r="J886" s="1" t="s">
        <v>8</v>
      </c>
      <c r="K886" s="89">
        <v>29000</v>
      </c>
      <c r="L886" s="3">
        <v>10.23</v>
      </c>
      <c r="M886" s="3">
        <v>22.57</v>
      </c>
      <c r="N886" s="3" t="s">
        <v>8</v>
      </c>
      <c r="O886" s="3" t="s">
        <v>8</v>
      </c>
    </row>
    <row r="887" spans="1:15" x14ac:dyDescent="0.35">
      <c r="A887" s="5" t="str">
        <f>Loads[[#This Row],[Date]]&amp;Loads[[#This Row],[Product]]</f>
        <v>44213Product1</v>
      </c>
      <c r="B887" s="5">
        <f>COUNTIF($A$1:A887,Loads[[#This Row],[Load]])</f>
        <v>11</v>
      </c>
      <c r="C887" s="3" t="str">
        <f>Loads[[#This Row],[Load]]&amp;Loads[[#This Row],[Count]]</f>
        <v>44213Product111</v>
      </c>
      <c r="D887" s="90">
        <v>44213</v>
      </c>
      <c r="E887" s="143">
        <v>0.94374999999999998</v>
      </c>
      <c r="F887" s="1" t="s">
        <v>9</v>
      </c>
      <c r="G887" s="2" t="s">
        <v>12</v>
      </c>
      <c r="H887" s="2" t="s">
        <v>42</v>
      </c>
      <c r="I887" s="1" t="s">
        <v>11</v>
      </c>
      <c r="J887" s="1" t="s">
        <v>8</v>
      </c>
      <c r="K887" s="89">
        <v>27100</v>
      </c>
      <c r="L887" s="3">
        <v>9.8699999999999992</v>
      </c>
      <c r="M887" s="3">
        <v>21.98</v>
      </c>
      <c r="N887" s="3" t="s">
        <v>8</v>
      </c>
      <c r="O887" s="3" t="s">
        <v>8</v>
      </c>
    </row>
    <row r="888" spans="1:15" x14ac:dyDescent="0.35">
      <c r="A888" s="5" t="str">
        <f>Loads[[#This Row],[Date]]&amp;Loads[[#This Row],[Product]]</f>
        <v>44213Product1</v>
      </c>
      <c r="B888" s="5">
        <f>COUNTIF($A$1:A888,Loads[[#This Row],[Load]])</f>
        <v>12</v>
      </c>
      <c r="C888" s="3" t="str">
        <f>Loads[[#This Row],[Load]]&amp;Loads[[#This Row],[Count]]</f>
        <v>44213Product112</v>
      </c>
      <c r="D888" s="90">
        <v>44213</v>
      </c>
      <c r="E888" s="143">
        <v>0.94374999999999998</v>
      </c>
      <c r="F888" s="1" t="s">
        <v>9</v>
      </c>
      <c r="G888" s="2" t="s">
        <v>12</v>
      </c>
      <c r="H888" s="2" t="s">
        <v>42</v>
      </c>
      <c r="I888" s="1" t="s">
        <v>11</v>
      </c>
      <c r="J888" s="1" t="s">
        <v>8</v>
      </c>
      <c r="K888" s="89">
        <v>26540</v>
      </c>
      <c r="L888" s="3">
        <v>9.85</v>
      </c>
      <c r="M888" s="3">
        <v>21.86</v>
      </c>
      <c r="N888" s="3" t="s">
        <v>8</v>
      </c>
      <c r="O888" s="3" t="s">
        <v>8</v>
      </c>
    </row>
    <row r="889" spans="1:15" x14ac:dyDescent="0.35">
      <c r="A889" s="5" t="str">
        <f>Loads[[#This Row],[Date]]&amp;Loads[[#This Row],[Product]]</f>
        <v>44213Product1</v>
      </c>
      <c r="B889" s="5">
        <f>COUNTIF($A$1:A889,Loads[[#This Row],[Load]])</f>
        <v>13</v>
      </c>
      <c r="C889" s="3" t="str">
        <f>Loads[[#This Row],[Load]]&amp;Loads[[#This Row],[Count]]</f>
        <v>44213Product113</v>
      </c>
      <c r="D889" s="90">
        <v>44213</v>
      </c>
      <c r="E889" s="143">
        <v>9.0277777777777787E-3</v>
      </c>
      <c r="F889" s="1" t="s">
        <v>9</v>
      </c>
      <c r="G889" s="2" t="s">
        <v>12</v>
      </c>
      <c r="H889" s="2" t="s">
        <v>42</v>
      </c>
      <c r="I889" s="1" t="s">
        <v>11</v>
      </c>
      <c r="J889" s="1" t="s">
        <v>8</v>
      </c>
      <c r="K889" s="89">
        <v>34400</v>
      </c>
      <c r="L889" s="3">
        <v>9.8699999999999992</v>
      </c>
      <c r="M889" s="3">
        <v>22.74</v>
      </c>
      <c r="N889" s="3" t="s">
        <v>8</v>
      </c>
      <c r="O889" s="3" t="s">
        <v>8</v>
      </c>
    </row>
    <row r="890" spans="1:15" x14ac:dyDescent="0.35">
      <c r="A890" s="5" t="str">
        <f>Loads[[#This Row],[Date]]&amp;Loads[[#This Row],[Product]]</f>
        <v>44214Product1</v>
      </c>
      <c r="B890" s="5">
        <f>COUNTIF($A$1:A890,Loads[[#This Row],[Load]])</f>
        <v>1</v>
      </c>
      <c r="C890" s="3" t="str">
        <f>Loads[[#This Row],[Load]]&amp;Loads[[#This Row],[Count]]</f>
        <v>44214Product11</v>
      </c>
      <c r="D890" s="90">
        <v>44214</v>
      </c>
      <c r="E890" s="143">
        <v>0.25972222222222224</v>
      </c>
      <c r="F890" s="1" t="s">
        <v>9</v>
      </c>
      <c r="G890" s="2" t="s">
        <v>12</v>
      </c>
      <c r="H890" s="2" t="s">
        <v>42</v>
      </c>
      <c r="I890" s="1" t="s">
        <v>11</v>
      </c>
      <c r="J890" s="1" t="s">
        <v>8</v>
      </c>
      <c r="K890" s="89">
        <v>26880</v>
      </c>
      <c r="L890" s="3">
        <v>9.56</v>
      </c>
      <c r="M890" s="3">
        <v>23.19</v>
      </c>
      <c r="N890" s="3" t="s">
        <v>8</v>
      </c>
      <c r="O890" s="3" t="s">
        <v>8</v>
      </c>
    </row>
    <row r="891" spans="1:15" x14ac:dyDescent="0.35">
      <c r="A891" s="5" t="str">
        <f>Loads[[#This Row],[Date]]&amp;Loads[[#This Row],[Product]]</f>
        <v>44214Product1</v>
      </c>
      <c r="B891" s="5">
        <f>COUNTIF($A$1:A891,Loads[[#This Row],[Load]])</f>
        <v>2</v>
      </c>
      <c r="C891" s="3" t="str">
        <f>Loads[[#This Row],[Load]]&amp;Loads[[#This Row],[Count]]</f>
        <v>44214Product12</v>
      </c>
      <c r="D891" s="90">
        <v>44214</v>
      </c>
      <c r="E891" s="143">
        <v>0.26041666666666669</v>
      </c>
      <c r="F891" s="1" t="s">
        <v>9</v>
      </c>
      <c r="G891" s="2" t="s">
        <v>12</v>
      </c>
      <c r="H891" s="2" t="s">
        <v>42</v>
      </c>
      <c r="I891" s="1" t="s">
        <v>10</v>
      </c>
      <c r="J891" s="1">
        <v>320</v>
      </c>
      <c r="K891" s="89">
        <v>12860</v>
      </c>
      <c r="L891" s="3">
        <v>8.69</v>
      </c>
      <c r="M891" s="3">
        <v>23.48</v>
      </c>
      <c r="N891" s="3" t="s">
        <v>8</v>
      </c>
      <c r="O891" s="3" t="s">
        <v>8</v>
      </c>
    </row>
    <row r="892" spans="1:15" x14ac:dyDescent="0.35">
      <c r="A892" s="5" t="str">
        <f>Loads[[#This Row],[Date]]&amp;Loads[[#This Row],[Product]]</f>
        <v>44214Product1</v>
      </c>
      <c r="B892" s="5">
        <f>COUNTIF($A$1:A892,Loads[[#This Row],[Load]])</f>
        <v>3</v>
      </c>
      <c r="C892" s="3" t="str">
        <f>Loads[[#This Row],[Load]]&amp;Loads[[#This Row],[Count]]</f>
        <v>44214Product13</v>
      </c>
      <c r="D892" s="90">
        <v>44214</v>
      </c>
      <c r="E892" s="143">
        <v>0.26041666666666669</v>
      </c>
      <c r="F892" s="1" t="s">
        <v>9</v>
      </c>
      <c r="G892" s="2" t="s">
        <v>12</v>
      </c>
      <c r="H892" s="2" t="s">
        <v>42</v>
      </c>
      <c r="I892" s="1" t="s">
        <v>10</v>
      </c>
      <c r="J892" s="1">
        <v>350</v>
      </c>
      <c r="K892" s="89">
        <v>14100</v>
      </c>
      <c r="L892" s="3">
        <v>9.17</v>
      </c>
      <c r="M892" s="3">
        <v>23.32</v>
      </c>
      <c r="N892" s="3" t="s">
        <v>8</v>
      </c>
      <c r="O892" s="3" t="s">
        <v>8</v>
      </c>
    </row>
    <row r="893" spans="1:15" x14ac:dyDescent="0.35">
      <c r="A893" s="5" t="str">
        <f>Loads[[#This Row],[Date]]&amp;Loads[[#This Row],[Product]]</f>
        <v>44214Product1</v>
      </c>
      <c r="B893" s="5">
        <f>COUNTIF($A$1:A893,Loads[[#This Row],[Load]])</f>
        <v>4</v>
      </c>
      <c r="C893" s="3" t="str">
        <f>Loads[[#This Row],[Load]]&amp;Loads[[#This Row],[Count]]</f>
        <v>44214Product14</v>
      </c>
      <c r="D893" s="90">
        <v>44214</v>
      </c>
      <c r="E893" s="143">
        <v>0.26111111111111113</v>
      </c>
      <c r="F893" s="1" t="s">
        <v>9</v>
      </c>
      <c r="G893" s="2" t="s">
        <v>12</v>
      </c>
      <c r="H893" s="2" t="s">
        <v>42</v>
      </c>
      <c r="I893" s="1" t="s">
        <v>11</v>
      </c>
      <c r="J893" s="1" t="s">
        <v>8</v>
      </c>
      <c r="K893" s="89">
        <v>31500</v>
      </c>
      <c r="L893" s="3">
        <v>9.1999999999999993</v>
      </c>
      <c r="M893" s="3">
        <v>22.47</v>
      </c>
      <c r="N893" s="3" t="s">
        <v>8</v>
      </c>
      <c r="O893" s="3" t="s">
        <v>8</v>
      </c>
    </row>
    <row r="894" spans="1:15" x14ac:dyDescent="0.35">
      <c r="A894" s="5" t="str">
        <f>Loads[[#This Row],[Date]]&amp;Loads[[#This Row],[Product]]</f>
        <v>44214Product1</v>
      </c>
      <c r="B894" s="5">
        <f>COUNTIF($A$1:A894,Loads[[#This Row],[Load]])</f>
        <v>5</v>
      </c>
      <c r="C894" s="3" t="str">
        <f>Loads[[#This Row],[Load]]&amp;Loads[[#This Row],[Count]]</f>
        <v>44214Product15</v>
      </c>
      <c r="D894" s="90">
        <v>44214</v>
      </c>
      <c r="E894" s="143">
        <v>7.4305555555555555E-2</v>
      </c>
      <c r="F894" s="1" t="s">
        <v>9</v>
      </c>
      <c r="G894" s="2" t="s">
        <v>12</v>
      </c>
      <c r="H894" s="2" t="s">
        <v>42</v>
      </c>
      <c r="I894" s="1" t="s">
        <v>10</v>
      </c>
      <c r="J894" s="1">
        <v>450</v>
      </c>
      <c r="K894" s="89">
        <v>18140</v>
      </c>
      <c r="L894" s="3">
        <v>9.5299999999999994</v>
      </c>
      <c r="M894" s="3">
        <v>23.8</v>
      </c>
      <c r="N894" s="3" t="s">
        <v>8</v>
      </c>
      <c r="O894" s="3" t="s">
        <v>8</v>
      </c>
    </row>
    <row r="895" spans="1:15" x14ac:dyDescent="0.35">
      <c r="A895" s="5" t="str">
        <f>Loads[[#This Row],[Date]]&amp;Loads[[#This Row],[Product]]</f>
        <v>44214Product1</v>
      </c>
      <c r="B895" s="5">
        <f>COUNTIF($A$1:A895,Loads[[#This Row],[Load]])</f>
        <v>6</v>
      </c>
      <c r="C895" s="3" t="str">
        <f>Loads[[#This Row],[Load]]&amp;Loads[[#This Row],[Count]]</f>
        <v>44214Product16</v>
      </c>
      <c r="D895" s="90">
        <v>44214</v>
      </c>
      <c r="E895" s="143">
        <v>7.4999999999999997E-2</v>
      </c>
      <c r="F895" s="1" t="s">
        <v>9</v>
      </c>
      <c r="G895" s="2" t="s">
        <v>12</v>
      </c>
      <c r="H895" s="2" t="s">
        <v>42</v>
      </c>
      <c r="I895" s="1" t="s">
        <v>11</v>
      </c>
      <c r="J895" s="1" t="s">
        <v>8</v>
      </c>
      <c r="K895" s="89">
        <v>24040</v>
      </c>
      <c r="L895" s="3">
        <v>9.83</v>
      </c>
      <c r="M895" s="3">
        <v>23.51</v>
      </c>
      <c r="N895" s="3" t="s">
        <v>8</v>
      </c>
      <c r="O895" s="3" t="s">
        <v>8</v>
      </c>
    </row>
    <row r="896" spans="1:15" x14ac:dyDescent="0.35">
      <c r="A896" s="5" t="str">
        <f>Loads[[#This Row],[Date]]&amp;Loads[[#This Row],[Product]]</f>
        <v>44215Product1</v>
      </c>
      <c r="B896" s="5">
        <f>COUNTIF($A$1:A896,Loads[[#This Row],[Load]])</f>
        <v>1</v>
      </c>
      <c r="C896" s="3" t="str">
        <f>Loads[[#This Row],[Load]]&amp;Loads[[#This Row],[Count]]</f>
        <v>44215Product11</v>
      </c>
      <c r="D896" s="90">
        <v>44215</v>
      </c>
      <c r="E896" s="143">
        <v>0.29166666666666669</v>
      </c>
      <c r="F896" s="1" t="s">
        <v>9</v>
      </c>
      <c r="G896" s="2" t="s">
        <v>12</v>
      </c>
      <c r="H896" s="2" t="s">
        <v>42</v>
      </c>
      <c r="I896" s="1" t="s">
        <v>11</v>
      </c>
      <c r="J896" s="1" t="s">
        <v>8</v>
      </c>
      <c r="K896" s="89">
        <v>28900</v>
      </c>
      <c r="L896" s="3">
        <v>9.6300000000000008</v>
      </c>
      <c r="M896" s="3">
        <v>22.82</v>
      </c>
      <c r="N896" s="3" t="s">
        <v>8</v>
      </c>
      <c r="O896" s="3" t="s">
        <v>8</v>
      </c>
    </row>
    <row r="897" spans="1:15" x14ac:dyDescent="0.35">
      <c r="A897" s="5" t="str">
        <f>Loads[[#This Row],[Date]]&amp;Loads[[#This Row],[Product]]</f>
        <v>44215Product1</v>
      </c>
      <c r="B897" s="5">
        <f>COUNTIF($A$1:A897,Loads[[#This Row],[Load]])</f>
        <v>2</v>
      </c>
      <c r="C897" s="3" t="str">
        <f>Loads[[#This Row],[Load]]&amp;Loads[[#This Row],[Count]]</f>
        <v>44215Product12</v>
      </c>
      <c r="D897" s="90">
        <v>44215</v>
      </c>
      <c r="E897" s="143">
        <v>0.29166666666666669</v>
      </c>
      <c r="F897" s="1" t="s">
        <v>9</v>
      </c>
      <c r="G897" s="2" t="s">
        <v>12</v>
      </c>
      <c r="H897" s="2" t="s">
        <v>42</v>
      </c>
      <c r="I897" s="1" t="s">
        <v>11</v>
      </c>
      <c r="J897" s="1" t="s">
        <v>8</v>
      </c>
      <c r="K897" s="89">
        <v>19460</v>
      </c>
      <c r="L897" s="3">
        <v>8.9600000000000009</v>
      </c>
      <c r="M897" s="3">
        <v>23.97</v>
      </c>
      <c r="N897" s="3" t="s">
        <v>8</v>
      </c>
      <c r="O897" s="3" t="s">
        <v>8</v>
      </c>
    </row>
    <row r="898" spans="1:15" x14ac:dyDescent="0.35">
      <c r="A898" s="5" t="str">
        <f>Loads[[#This Row],[Date]]&amp;Loads[[#This Row],[Product]]</f>
        <v>44215Product1</v>
      </c>
      <c r="B898" s="5">
        <f>COUNTIF($A$1:A898,Loads[[#This Row],[Load]])</f>
        <v>3</v>
      </c>
      <c r="C898" s="3" t="str">
        <f>Loads[[#This Row],[Load]]&amp;Loads[[#This Row],[Count]]</f>
        <v>44215Product13</v>
      </c>
      <c r="D898" s="90">
        <v>44215</v>
      </c>
      <c r="E898" s="143">
        <v>0.29236111111111113</v>
      </c>
      <c r="F898" s="1" t="s">
        <v>9</v>
      </c>
      <c r="G898" s="2" t="s">
        <v>12</v>
      </c>
      <c r="H898" s="2" t="s">
        <v>42</v>
      </c>
      <c r="I898" s="1" t="s">
        <v>10</v>
      </c>
      <c r="J898" s="1">
        <v>282</v>
      </c>
      <c r="K898" s="89">
        <v>11320</v>
      </c>
      <c r="L898" s="3">
        <v>9.5299999999999994</v>
      </c>
      <c r="M898" s="3">
        <v>23.8</v>
      </c>
      <c r="N898" s="3" t="s">
        <v>8</v>
      </c>
      <c r="O898" s="3" t="s">
        <v>8</v>
      </c>
    </row>
    <row r="899" spans="1:15" x14ac:dyDescent="0.35">
      <c r="A899" s="5" t="str">
        <f>Loads[[#This Row],[Date]]&amp;Loads[[#This Row],[Product]]</f>
        <v>44215Product1</v>
      </c>
      <c r="B899" s="5">
        <f>COUNTIF($A$1:A899,Loads[[#This Row],[Load]])</f>
        <v>4</v>
      </c>
      <c r="C899" s="3" t="str">
        <f>Loads[[#This Row],[Load]]&amp;Loads[[#This Row],[Count]]</f>
        <v>44215Product14</v>
      </c>
      <c r="D899" s="90">
        <v>44215</v>
      </c>
      <c r="E899" s="143">
        <v>0.35416666666666669</v>
      </c>
      <c r="F899" s="1" t="s">
        <v>9</v>
      </c>
      <c r="G899" s="2" t="s">
        <v>12</v>
      </c>
      <c r="H899" s="2" t="s">
        <v>42</v>
      </c>
      <c r="I899" s="1" t="s">
        <v>11</v>
      </c>
      <c r="J899" s="1" t="s">
        <v>8</v>
      </c>
      <c r="K899" s="89">
        <v>21400</v>
      </c>
      <c r="L899" s="3">
        <v>8.81</v>
      </c>
      <c r="M899" s="3">
        <v>24.13</v>
      </c>
      <c r="N899" s="3" t="s">
        <v>8</v>
      </c>
      <c r="O899" s="3" t="s">
        <v>8</v>
      </c>
    </row>
    <row r="900" spans="1:15" x14ac:dyDescent="0.35">
      <c r="A900" s="5" t="str">
        <f>Loads[[#This Row],[Date]]&amp;Loads[[#This Row],[Product]]</f>
        <v>44215Product1</v>
      </c>
      <c r="B900" s="5">
        <f>COUNTIF($A$1:A900,Loads[[#This Row],[Load]])</f>
        <v>5</v>
      </c>
      <c r="C900" s="3" t="str">
        <f>Loads[[#This Row],[Load]]&amp;Loads[[#This Row],[Count]]</f>
        <v>44215Product15</v>
      </c>
      <c r="D900" s="90">
        <v>44215</v>
      </c>
      <c r="E900" s="143">
        <v>0.3923611111111111</v>
      </c>
      <c r="F900" s="1" t="s">
        <v>9</v>
      </c>
      <c r="G900" s="2" t="s">
        <v>12</v>
      </c>
      <c r="H900" s="2" t="s">
        <v>42</v>
      </c>
      <c r="I900" s="1" t="s">
        <v>11</v>
      </c>
      <c r="J900" s="1" t="s">
        <v>8</v>
      </c>
      <c r="K900" s="89">
        <v>24420</v>
      </c>
      <c r="L900" s="3">
        <v>9.0399999999999991</v>
      </c>
      <c r="M900" s="3">
        <v>23.94</v>
      </c>
      <c r="N900" s="3" t="s">
        <v>8</v>
      </c>
      <c r="O900" s="3" t="s">
        <v>8</v>
      </c>
    </row>
    <row r="901" spans="1:15" x14ac:dyDescent="0.35">
      <c r="A901" s="5" t="str">
        <f>Loads[[#This Row],[Date]]&amp;Loads[[#This Row],[Product]]</f>
        <v>44215Product1</v>
      </c>
      <c r="B901" s="5">
        <f>COUNTIF($A$1:A901,Loads[[#This Row],[Load]])</f>
        <v>6</v>
      </c>
      <c r="C901" s="3" t="str">
        <f>Loads[[#This Row],[Load]]&amp;Loads[[#This Row],[Count]]</f>
        <v>44215Product16</v>
      </c>
      <c r="D901" s="90">
        <v>44215</v>
      </c>
      <c r="E901" s="143">
        <v>0.43055555555555558</v>
      </c>
      <c r="F901" s="1" t="s">
        <v>9</v>
      </c>
      <c r="G901" s="2" t="s">
        <v>12</v>
      </c>
      <c r="H901" s="2" t="s">
        <v>42</v>
      </c>
      <c r="I901" s="1" t="s">
        <v>11</v>
      </c>
      <c r="J901" s="1" t="s">
        <v>8</v>
      </c>
      <c r="K901" s="89">
        <v>37060</v>
      </c>
      <c r="L901" s="3">
        <v>8.8699999999999992</v>
      </c>
      <c r="M901" s="3">
        <v>24.73</v>
      </c>
      <c r="N901" s="3" t="s">
        <v>8</v>
      </c>
      <c r="O901" s="3" t="s">
        <v>8</v>
      </c>
    </row>
    <row r="902" spans="1:15" x14ac:dyDescent="0.35">
      <c r="A902" s="5" t="str">
        <f>Loads[[#This Row],[Date]]&amp;Loads[[#This Row],[Product]]</f>
        <v>44215Product1</v>
      </c>
      <c r="B902" s="5">
        <f>COUNTIF($A$1:A902,Loads[[#This Row],[Load]])</f>
        <v>7</v>
      </c>
      <c r="C902" s="3" t="str">
        <f>Loads[[#This Row],[Load]]&amp;Loads[[#This Row],[Count]]</f>
        <v>44215Product17</v>
      </c>
      <c r="D902" s="90">
        <v>44215</v>
      </c>
      <c r="E902" s="143">
        <v>0.45833333333333331</v>
      </c>
      <c r="F902" s="1" t="s">
        <v>9</v>
      </c>
      <c r="G902" s="2" t="s">
        <v>12</v>
      </c>
      <c r="H902" s="2" t="s">
        <v>42</v>
      </c>
      <c r="I902" s="1" t="s">
        <v>11</v>
      </c>
      <c r="J902" s="1" t="s">
        <v>8</v>
      </c>
      <c r="K902" s="89">
        <v>24720</v>
      </c>
      <c r="L902" s="3">
        <v>8.02</v>
      </c>
      <c r="M902" s="3">
        <v>23.95</v>
      </c>
      <c r="N902" s="3" t="s">
        <v>8</v>
      </c>
      <c r="O902" s="3" t="s">
        <v>8</v>
      </c>
    </row>
    <row r="903" spans="1:15" x14ac:dyDescent="0.35">
      <c r="A903" s="5" t="str">
        <f>Loads[[#This Row],[Date]]&amp;Loads[[#This Row],[Product]]</f>
        <v>44215Product1</v>
      </c>
      <c r="B903" s="5">
        <f>COUNTIF($A$1:A903,Loads[[#This Row],[Load]])</f>
        <v>8</v>
      </c>
      <c r="C903" s="3" t="str">
        <f>Loads[[#This Row],[Load]]&amp;Loads[[#This Row],[Count]]</f>
        <v>44215Product18</v>
      </c>
      <c r="D903" s="90">
        <v>44215</v>
      </c>
      <c r="E903" s="143">
        <v>0.52083333333333337</v>
      </c>
      <c r="F903" s="1" t="s">
        <v>9</v>
      </c>
      <c r="G903" s="2" t="s">
        <v>12</v>
      </c>
      <c r="H903" s="2" t="s">
        <v>42</v>
      </c>
      <c r="I903" s="1" t="s">
        <v>10</v>
      </c>
      <c r="J903" s="1">
        <v>800</v>
      </c>
      <c r="K903" s="89">
        <v>32300</v>
      </c>
      <c r="L903" s="3">
        <v>7.46</v>
      </c>
      <c r="M903" s="3">
        <v>24.22</v>
      </c>
      <c r="N903" s="3" t="s">
        <v>8</v>
      </c>
      <c r="O903" s="3" t="s">
        <v>8</v>
      </c>
    </row>
    <row r="904" spans="1:15" x14ac:dyDescent="0.35">
      <c r="A904" s="5" t="str">
        <f>Loads[[#This Row],[Date]]&amp;Loads[[#This Row],[Product]]</f>
        <v>44215Product1</v>
      </c>
      <c r="B904" s="5">
        <f>COUNTIF($A$1:A904,Loads[[#This Row],[Load]])</f>
        <v>9</v>
      </c>
      <c r="C904" s="3" t="str">
        <f>Loads[[#This Row],[Load]]&amp;Loads[[#This Row],[Count]]</f>
        <v>44215Product19</v>
      </c>
      <c r="D904" s="90">
        <v>44215</v>
      </c>
      <c r="E904" s="143">
        <v>0.625</v>
      </c>
      <c r="F904" s="1" t="s">
        <v>9</v>
      </c>
      <c r="G904" s="2" t="s">
        <v>12</v>
      </c>
      <c r="H904" s="2" t="s">
        <v>42</v>
      </c>
      <c r="I904" s="1" t="s">
        <v>10</v>
      </c>
      <c r="J904" s="1">
        <v>650</v>
      </c>
      <c r="K904" s="89">
        <v>26320</v>
      </c>
      <c r="L904" s="3">
        <v>8.5</v>
      </c>
      <c r="M904" s="3">
        <v>24.08</v>
      </c>
      <c r="N904" s="3" t="s">
        <v>8</v>
      </c>
      <c r="O904" s="3" t="s">
        <v>8</v>
      </c>
    </row>
    <row r="905" spans="1:15" x14ac:dyDescent="0.35">
      <c r="A905" s="5" t="str">
        <f>Loads[[#This Row],[Date]]&amp;Loads[[#This Row],[Product]]</f>
        <v>44215Product1</v>
      </c>
      <c r="B905" s="5">
        <f>COUNTIF($A$1:A905,Loads[[#This Row],[Load]])</f>
        <v>10</v>
      </c>
      <c r="C905" s="3" t="str">
        <f>Loads[[#This Row],[Load]]&amp;Loads[[#This Row],[Count]]</f>
        <v>44215Product110</v>
      </c>
      <c r="D905" s="90">
        <v>44215</v>
      </c>
      <c r="E905" s="143">
        <v>0.80902777777777779</v>
      </c>
      <c r="F905" s="1" t="s">
        <v>9</v>
      </c>
      <c r="G905" s="2" t="s">
        <v>12</v>
      </c>
      <c r="H905" s="2" t="s">
        <v>42</v>
      </c>
      <c r="I905" s="1" t="s">
        <v>11</v>
      </c>
      <c r="J905" s="1" t="s">
        <v>8</v>
      </c>
      <c r="K905" s="89">
        <v>34680</v>
      </c>
      <c r="L905" s="3">
        <v>8.42</v>
      </c>
      <c r="M905" s="3">
        <v>23.89</v>
      </c>
      <c r="N905" s="3" t="s">
        <v>8</v>
      </c>
      <c r="O905" s="3" t="s">
        <v>8</v>
      </c>
    </row>
    <row r="906" spans="1:15" x14ac:dyDescent="0.35">
      <c r="A906" s="5" t="str">
        <f>Loads[[#This Row],[Date]]&amp;Loads[[#This Row],[Product]]</f>
        <v>44215Product1</v>
      </c>
      <c r="B906" s="5">
        <f>COUNTIF($A$1:A906,Loads[[#This Row],[Load]])</f>
        <v>11</v>
      </c>
      <c r="C906" s="3" t="str">
        <f>Loads[[#This Row],[Load]]&amp;Loads[[#This Row],[Count]]</f>
        <v>44215Product111</v>
      </c>
      <c r="D906" s="90">
        <v>44215</v>
      </c>
      <c r="E906" s="143">
        <v>0.83333333333333337</v>
      </c>
      <c r="F906" s="1" t="s">
        <v>9</v>
      </c>
      <c r="G906" s="2" t="s">
        <v>12</v>
      </c>
      <c r="H906" s="2" t="s">
        <v>42</v>
      </c>
      <c r="I906" s="1" t="s">
        <v>11</v>
      </c>
      <c r="J906" s="1" t="s">
        <v>8</v>
      </c>
      <c r="K906" s="89">
        <v>29580</v>
      </c>
      <c r="L906" s="3">
        <v>8.4</v>
      </c>
      <c r="M906" s="3">
        <v>23.63</v>
      </c>
      <c r="N906" s="3" t="s">
        <v>8</v>
      </c>
      <c r="O906" s="3" t="s">
        <v>8</v>
      </c>
    </row>
    <row r="907" spans="1:15" x14ac:dyDescent="0.35">
      <c r="A907" s="5" t="str">
        <f>Loads[[#This Row],[Date]]&amp;Loads[[#This Row],[Product]]</f>
        <v>44216Product1</v>
      </c>
      <c r="B907" s="5">
        <f>COUNTIF($A$1:A907,Loads[[#This Row],[Load]])</f>
        <v>1</v>
      </c>
      <c r="C907" s="3" t="str">
        <f>Loads[[#This Row],[Load]]&amp;Loads[[#This Row],[Count]]</f>
        <v>44216Product11</v>
      </c>
      <c r="D907" s="90">
        <v>44216</v>
      </c>
      <c r="E907" s="143">
        <v>0.28750000000000003</v>
      </c>
      <c r="F907" s="1" t="s">
        <v>9</v>
      </c>
      <c r="G907" s="2" t="s">
        <v>12</v>
      </c>
      <c r="H907" s="2" t="s">
        <v>42</v>
      </c>
      <c r="I907" s="1" t="s">
        <v>11</v>
      </c>
      <c r="J907" s="1" t="s">
        <v>8</v>
      </c>
      <c r="K907" s="89">
        <v>29960</v>
      </c>
      <c r="L907" s="3">
        <v>9.1</v>
      </c>
      <c r="M907" s="3">
        <v>22.36</v>
      </c>
      <c r="N907" s="3" t="s">
        <v>8</v>
      </c>
      <c r="O907" s="3" t="s">
        <v>8</v>
      </c>
    </row>
    <row r="908" spans="1:15" x14ac:dyDescent="0.35">
      <c r="A908" s="5" t="str">
        <f>Loads[[#This Row],[Date]]&amp;Loads[[#This Row],[Product]]</f>
        <v>44216Product1</v>
      </c>
      <c r="B908" s="5">
        <f>COUNTIF($A$1:A908,Loads[[#This Row],[Load]])</f>
        <v>2</v>
      </c>
      <c r="C908" s="3" t="str">
        <f>Loads[[#This Row],[Load]]&amp;Loads[[#This Row],[Count]]</f>
        <v>44216Product12</v>
      </c>
      <c r="D908" s="90">
        <v>44216</v>
      </c>
      <c r="E908" s="143">
        <v>0.28750000000000003</v>
      </c>
      <c r="F908" s="1" t="s">
        <v>9</v>
      </c>
      <c r="G908" s="2" t="s">
        <v>12</v>
      </c>
      <c r="H908" s="2" t="s">
        <v>42</v>
      </c>
      <c r="I908" s="1" t="s">
        <v>10</v>
      </c>
      <c r="J908" s="1">
        <v>450</v>
      </c>
      <c r="K908" s="89">
        <v>17840</v>
      </c>
      <c r="L908" s="3">
        <v>9.1</v>
      </c>
      <c r="M908" s="3">
        <v>22.2</v>
      </c>
      <c r="N908" s="3" t="s">
        <v>8</v>
      </c>
      <c r="O908" s="3" t="s">
        <v>8</v>
      </c>
    </row>
    <row r="909" spans="1:15" x14ac:dyDescent="0.35">
      <c r="A909" s="5" t="str">
        <f>Loads[[#This Row],[Date]]&amp;Loads[[#This Row],[Product]]</f>
        <v>44216Product1</v>
      </c>
      <c r="B909" s="5">
        <f>COUNTIF($A$1:A909,Loads[[#This Row],[Load]])</f>
        <v>3</v>
      </c>
      <c r="C909" s="3" t="str">
        <f>Loads[[#This Row],[Load]]&amp;Loads[[#This Row],[Count]]</f>
        <v>44216Product13</v>
      </c>
      <c r="D909" s="90">
        <v>44216</v>
      </c>
      <c r="E909" s="143">
        <v>0.28819444444444448</v>
      </c>
      <c r="F909" s="1" t="s">
        <v>9</v>
      </c>
      <c r="G909" s="2" t="s">
        <v>12</v>
      </c>
      <c r="H909" s="2" t="s">
        <v>42</v>
      </c>
      <c r="I909" s="1" t="s">
        <v>11</v>
      </c>
      <c r="J909" s="1" t="s">
        <v>8</v>
      </c>
      <c r="K909" s="89">
        <v>25920</v>
      </c>
      <c r="L909" s="3">
        <v>9.33</v>
      </c>
      <c r="M909" s="3">
        <v>23.3</v>
      </c>
      <c r="N909" s="3" t="s">
        <v>8</v>
      </c>
      <c r="O909" s="3" t="s">
        <v>8</v>
      </c>
    </row>
    <row r="910" spans="1:15" x14ac:dyDescent="0.35">
      <c r="A910" s="5" t="str">
        <f>Loads[[#This Row],[Date]]&amp;Loads[[#This Row],[Product]]</f>
        <v>44216Product1</v>
      </c>
      <c r="B910" s="5">
        <f>COUNTIF($A$1:A910,Loads[[#This Row],[Load]])</f>
        <v>4</v>
      </c>
      <c r="C910" s="3" t="str">
        <f>Loads[[#This Row],[Load]]&amp;Loads[[#This Row],[Count]]</f>
        <v>44216Product14</v>
      </c>
      <c r="D910" s="90">
        <v>44216</v>
      </c>
      <c r="E910" s="143">
        <v>0.28819444444444448</v>
      </c>
      <c r="F910" s="1" t="s">
        <v>9</v>
      </c>
      <c r="G910" s="2" t="s">
        <v>12</v>
      </c>
      <c r="H910" s="2" t="s">
        <v>42</v>
      </c>
      <c r="I910" s="1" t="s">
        <v>11</v>
      </c>
      <c r="J910" s="1" t="s">
        <v>8</v>
      </c>
      <c r="K910" s="89">
        <v>27720</v>
      </c>
      <c r="L910" s="3">
        <v>8.93</v>
      </c>
      <c r="M910" s="3">
        <v>22.85</v>
      </c>
      <c r="N910" s="3" t="s">
        <v>8</v>
      </c>
      <c r="O910" s="3" t="s">
        <v>8</v>
      </c>
    </row>
    <row r="911" spans="1:15" x14ac:dyDescent="0.35">
      <c r="A911" s="5" t="str">
        <f>Loads[[#This Row],[Date]]&amp;Loads[[#This Row],[Product]]</f>
        <v>44216Product1</v>
      </c>
      <c r="B911" s="5">
        <f>COUNTIF($A$1:A911,Loads[[#This Row],[Load]])</f>
        <v>5</v>
      </c>
      <c r="C911" s="3" t="str">
        <f>Loads[[#This Row],[Load]]&amp;Loads[[#This Row],[Count]]</f>
        <v>44216Product15</v>
      </c>
      <c r="D911" s="90">
        <v>44216</v>
      </c>
      <c r="E911" s="143">
        <v>0.28888888888888892</v>
      </c>
      <c r="F911" s="1" t="s">
        <v>9</v>
      </c>
      <c r="G911" s="2" t="s">
        <v>12</v>
      </c>
      <c r="H911" s="2" t="s">
        <v>42</v>
      </c>
      <c r="I911" s="1" t="s">
        <v>10</v>
      </c>
      <c r="J911" s="1">
        <v>450</v>
      </c>
      <c r="K911" s="89">
        <v>18000</v>
      </c>
      <c r="L911" s="3">
        <v>9.31</v>
      </c>
      <c r="M911" s="3">
        <v>23.13</v>
      </c>
      <c r="N911" s="3" t="s">
        <v>8</v>
      </c>
      <c r="O911" s="3" t="s">
        <v>8</v>
      </c>
    </row>
    <row r="912" spans="1:15" x14ac:dyDescent="0.35">
      <c r="A912" s="5" t="str">
        <f>Loads[[#This Row],[Date]]&amp;Loads[[#This Row],[Product]]</f>
        <v>44216Product1</v>
      </c>
      <c r="B912" s="5">
        <f>COUNTIF($A$1:A912,Loads[[#This Row],[Load]])</f>
        <v>6</v>
      </c>
      <c r="C912" s="3" t="str">
        <f>Loads[[#This Row],[Load]]&amp;Loads[[#This Row],[Count]]</f>
        <v>44216Product16</v>
      </c>
      <c r="D912" s="90">
        <v>44216</v>
      </c>
      <c r="E912" s="143">
        <v>0.26874999999999999</v>
      </c>
      <c r="F912" s="1" t="s">
        <v>9</v>
      </c>
      <c r="G912" s="2" t="s">
        <v>12</v>
      </c>
      <c r="H912" s="2" t="s">
        <v>42</v>
      </c>
      <c r="I912" s="1" t="s">
        <v>11</v>
      </c>
      <c r="J912" s="1" t="s">
        <v>8</v>
      </c>
      <c r="K912" s="89">
        <v>31360</v>
      </c>
      <c r="L912" s="3">
        <v>8.9499999999999993</v>
      </c>
      <c r="M912" s="3">
        <v>21.98</v>
      </c>
      <c r="N912" s="3" t="s">
        <v>8</v>
      </c>
      <c r="O912" s="3" t="s">
        <v>8</v>
      </c>
    </row>
    <row r="913" spans="1:15" x14ac:dyDescent="0.35">
      <c r="A913" s="5" t="str">
        <f>Loads[[#This Row],[Date]]&amp;Loads[[#This Row],[Product]]</f>
        <v>44216Product1</v>
      </c>
      <c r="B913" s="5">
        <f>COUNTIF($A$1:A913,Loads[[#This Row],[Load]])</f>
        <v>7</v>
      </c>
      <c r="C913" s="3" t="str">
        <f>Loads[[#This Row],[Load]]&amp;Loads[[#This Row],[Count]]</f>
        <v>44216Product17</v>
      </c>
      <c r="D913" s="90">
        <v>44216</v>
      </c>
      <c r="E913" s="143">
        <v>0.47916666666666669</v>
      </c>
      <c r="F913" s="1" t="s">
        <v>9</v>
      </c>
      <c r="G913" s="2" t="s">
        <v>12</v>
      </c>
      <c r="H913" s="2" t="s">
        <v>42</v>
      </c>
      <c r="I913" s="1" t="s">
        <v>11</v>
      </c>
      <c r="J913" s="1" t="s">
        <v>8</v>
      </c>
      <c r="K913" s="89">
        <v>21720</v>
      </c>
      <c r="L913" s="3">
        <v>8.51</v>
      </c>
      <c r="M913" s="3">
        <v>23.59</v>
      </c>
      <c r="N913" s="3" t="s">
        <v>8</v>
      </c>
      <c r="O913" s="3" t="s">
        <v>8</v>
      </c>
    </row>
    <row r="914" spans="1:15" x14ac:dyDescent="0.35">
      <c r="A914" s="5" t="str">
        <f>Loads[[#This Row],[Date]]&amp;Loads[[#This Row],[Product]]</f>
        <v>44216Product1</v>
      </c>
      <c r="B914" s="5">
        <f>COUNTIF($A$1:A914,Loads[[#This Row],[Load]])</f>
        <v>8</v>
      </c>
      <c r="C914" s="3" t="str">
        <f>Loads[[#This Row],[Load]]&amp;Loads[[#This Row],[Count]]</f>
        <v>44216Product18</v>
      </c>
      <c r="D914" s="90">
        <v>44216</v>
      </c>
      <c r="E914" s="143">
        <v>0.51388888888888895</v>
      </c>
      <c r="F914" s="1" t="s">
        <v>9</v>
      </c>
      <c r="G914" s="2" t="s">
        <v>12</v>
      </c>
      <c r="H914" s="2" t="s">
        <v>42</v>
      </c>
      <c r="I914" s="1" t="s">
        <v>10</v>
      </c>
      <c r="J914" s="1">
        <v>350</v>
      </c>
      <c r="K914" s="89">
        <v>13980</v>
      </c>
      <c r="L914" s="3">
        <v>7.33</v>
      </c>
      <c r="M914" s="3">
        <v>23.62</v>
      </c>
      <c r="N914" s="3" t="s">
        <v>8</v>
      </c>
      <c r="O914" s="3" t="s">
        <v>8</v>
      </c>
    </row>
    <row r="915" spans="1:15" x14ac:dyDescent="0.35">
      <c r="A915" s="5" t="str">
        <f>Loads[[#This Row],[Date]]&amp;Loads[[#This Row],[Product]]</f>
        <v>44216Product1</v>
      </c>
      <c r="B915" s="5">
        <f>COUNTIF($A$1:A915,Loads[[#This Row],[Load]])</f>
        <v>9</v>
      </c>
      <c r="C915" s="3" t="str">
        <f>Loads[[#This Row],[Load]]&amp;Loads[[#This Row],[Count]]</f>
        <v>44216Product19</v>
      </c>
      <c r="D915" s="90">
        <v>44216</v>
      </c>
      <c r="E915" s="143">
        <v>0.60416666666666663</v>
      </c>
      <c r="F915" s="1" t="s">
        <v>9</v>
      </c>
      <c r="G915" s="2" t="s">
        <v>12</v>
      </c>
      <c r="H915" s="2" t="s">
        <v>42</v>
      </c>
      <c r="I915" s="1" t="s">
        <v>11</v>
      </c>
      <c r="J915" s="1" t="s">
        <v>8</v>
      </c>
      <c r="K915" s="89">
        <v>25800</v>
      </c>
      <c r="L915" s="3">
        <v>7.75</v>
      </c>
      <c r="M915" s="3">
        <v>23.36</v>
      </c>
      <c r="N915" s="3" t="s">
        <v>8</v>
      </c>
      <c r="O915" s="3" t="s">
        <v>8</v>
      </c>
    </row>
    <row r="916" spans="1:15" x14ac:dyDescent="0.35">
      <c r="A916" s="5" t="str">
        <f>Loads[[#This Row],[Date]]&amp;Loads[[#This Row],[Product]]</f>
        <v>44216Product1</v>
      </c>
      <c r="B916" s="5">
        <f>COUNTIF($A$1:A916,Loads[[#This Row],[Load]])</f>
        <v>10</v>
      </c>
      <c r="C916" s="3" t="str">
        <f>Loads[[#This Row],[Load]]&amp;Loads[[#This Row],[Count]]</f>
        <v>44216Product110</v>
      </c>
      <c r="D916" s="90">
        <v>44216</v>
      </c>
      <c r="E916" s="143">
        <v>0.45833333333333331</v>
      </c>
      <c r="F916" s="1" t="s">
        <v>9</v>
      </c>
      <c r="G916" s="2" t="s">
        <v>12</v>
      </c>
      <c r="H916" s="2" t="s">
        <v>42</v>
      </c>
      <c r="I916" s="1" t="s">
        <v>10</v>
      </c>
      <c r="J916" s="1">
        <v>925</v>
      </c>
      <c r="K916" s="89">
        <v>36700</v>
      </c>
      <c r="L916" s="3">
        <v>9.8699999999999992</v>
      </c>
      <c r="M916" s="3">
        <v>22.64</v>
      </c>
      <c r="N916" s="3" t="s">
        <v>8</v>
      </c>
      <c r="O916" s="3" t="s">
        <v>8</v>
      </c>
    </row>
    <row r="917" spans="1:15" x14ac:dyDescent="0.35">
      <c r="A917" s="5" t="str">
        <f>Loads[[#This Row],[Date]]&amp;Loads[[#This Row],[Product]]</f>
        <v>44216Product1</v>
      </c>
      <c r="B917" s="5">
        <f>COUNTIF($A$1:A917,Loads[[#This Row],[Load]])</f>
        <v>11</v>
      </c>
      <c r="C917" s="3" t="str">
        <f>Loads[[#This Row],[Load]]&amp;Loads[[#This Row],[Count]]</f>
        <v>44216Product111</v>
      </c>
      <c r="D917" s="90">
        <v>44216</v>
      </c>
      <c r="E917" s="143">
        <v>0.68055555555555547</v>
      </c>
      <c r="F917" s="1" t="s">
        <v>9</v>
      </c>
      <c r="G917" s="2" t="s">
        <v>12</v>
      </c>
      <c r="H917" s="2" t="s">
        <v>42</v>
      </c>
      <c r="I917" s="1" t="s">
        <v>11</v>
      </c>
      <c r="J917" s="1" t="s">
        <v>8</v>
      </c>
      <c r="K917" s="89">
        <v>33080</v>
      </c>
      <c r="L917" s="3">
        <v>8.58</v>
      </c>
      <c r="M917" s="3">
        <v>23.44</v>
      </c>
      <c r="N917" s="3" t="s">
        <v>8</v>
      </c>
      <c r="O917" s="3" t="s">
        <v>8</v>
      </c>
    </row>
    <row r="918" spans="1:15" x14ac:dyDescent="0.35">
      <c r="A918" s="5" t="str">
        <f>Loads[[#This Row],[Date]]&amp;Loads[[#This Row],[Product]]</f>
        <v>44216Product1</v>
      </c>
      <c r="B918" s="5">
        <f>COUNTIF($A$1:A918,Loads[[#This Row],[Load]])</f>
        <v>12</v>
      </c>
      <c r="C918" s="3" t="str">
        <f>Loads[[#This Row],[Load]]&amp;Loads[[#This Row],[Count]]</f>
        <v>44216Product112</v>
      </c>
      <c r="D918" s="90">
        <v>44216</v>
      </c>
      <c r="E918" s="143">
        <v>0.72222222222222221</v>
      </c>
      <c r="F918" s="1" t="s">
        <v>9</v>
      </c>
      <c r="G918" s="2" t="s">
        <v>12</v>
      </c>
      <c r="H918" s="2" t="s">
        <v>42</v>
      </c>
      <c r="I918" s="1" t="s">
        <v>11</v>
      </c>
      <c r="J918" s="1" t="s">
        <v>8</v>
      </c>
      <c r="K918" s="89">
        <v>23660</v>
      </c>
      <c r="L918" s="3">
        <v>8.7899999999999991</v>
      </c>
      <c r="M918" s="3">
        <v>23.08</v>
      </c>
      <c r="N918" s="3" t="s">
        <v>8</v>
      </c>
      <c r="O918" s="3" t="s">
        <v>8</v>
      </c>
    </row>
    <row r="919" spans="1:15" x14ac:dyDescent="0.35">
      <c r="A919" s="5" t="str">
        <f>Loads[[#This Row],[Date]]&amp;Loads[[#This Row],[Product]]</f>
        <v>44216Product1</v>
      </c>
      <c r="B919" s="5">
        <f>COUNTIF($A$1:A919,Loads[[#This Row],[Load]])</f>
        <v>13</v>
      </c>
      <c r="C919" s="3" t="str">
        <f>Loads[[#This Row],[Load]]&amp;Loads[[#This Row],[Count]]</f>
        <v>44216Product113</v>
      </c>
      <c r="D919" s="90">
        <v>44216</v>
      </c>
      <c r="E919" s="143">
        <v>1.3194444444444444E-2</v>
      </c>
      <c r="F919" s="1" t="s">
        <v>9</v>
      </c>
      <c r="G919" s="2" t="s">
        <v>12</v>
      </c>
      <c r="H919" s="2" t="s">
        <v>42</v>
      </c>
      <c r="I919" s="1" t="s">
        <v>11</v>
      </c>
      <c r="J919" s="1" t="s">
        <v>8</v>
      </c>
      <c r="K919" s="89">
        <v>26880</v>
      </c>
      <c r="L919" s="3">
        <v>4.2</v>
      </c>
      <c r="M919" s="3">
        <v>23.82</v>
      </c>
      <c r="N919" s="3" t="s">
        <v>8</v>
      </c>
      <c r="O919" s="3" t="s">
        <v>8</v>
      </c>
    </row>
    <row r="920" spans="1:15" x14ac:dyDescent="0.35">
      <c r="A920" s="5" t="str">
        <f>Loads[[#This Row],[Date]]&amp;Loads[[#This Row],[Product]]</f>
        <v>44216Product1</v>
      </c>
      <c r="B920" s="5">
        <f>COUNTIF($A$1:A920,Loads[[#This Row],[Load]])</f>
        <v>14</v>
      </c>
      <c r="C920" s="3" t="str">
        <f>Loads[[#This Row],[Load]]&amp;Loads[[#This Row],[Count]]</f>
        <v>44216Product114</v>
      </c>
      <c r="D920" s="90">
        <v>44216</v>
      </c>
      <c r="E920" s="143">
        <v>1.3888888888888888E-2</v>
      </c>
      <c r="F920" s="1" t="s">
        <v>9</v>
      </c>
      <c r="G920" s="2" t="s">
        <v>12</v>
      </c>
      <c r="H920" s="2" t="s">
        <v>42</v>
      </c>
      <c r="I920" s="1" t="s">
        <v>11</v>
      </c>
      <c r="J920" s="1" t="s">
        <v>8</v>
      </c>
      <c r="K920" s="89">
        <v>29700</v>
      </c>
      <c r="L920" s="3">
        <v>11.96</v>
      </c>
      <c r="M920" s="3">
        <v>22.56</v>
      </c>
      <c r="N920" s="3" t="s">
        <v>8</v>
      </c>
      <c r="O920" s="3" t="s">
        <v>8</v>
      </c>
    </row>
    <row r="921" spans="1:15" x14ac:dyDescent="0.35">
      <c r="A921" s="5" t="str">
        <f>Loads[[#This Row],[Date]]&amp;Loads[[#This Row],[Product]]</f>
        <v>44217Product1</v>
      </c>
      <c r="B921" s="5">
        <f>COUNTIF($A$1:A921,Loads[[#This Row],[Load]])</f>
        <v>1</v>
      </c>
      <c r="C921" s="3" t="str">
        <f>Loads[[#This Row],[Load]]&amp;Loads[[#This Row],[Count]]</f>
        <v>44217Product11</v>
      </c>
      <c r="D921" s="90">
        <v>44217</v>
      </c>
      <c r="E921" s="143">
        <v>0.60555555555555551</v>
      </c>
      <c r="F921" s="1" t="s">
        <v>9</v>
      </c>
      <c r="G921" s="2" t="s">
        <v>12</v>
      </c>
      <c r="H921" s="2" t="s">
        <v>42</v>
      </c>
      <c r="I921" s="1" t="s">
        <v>11</v>
      </c>
      <c r="J921" s="1" t="s">
        <v>8</v>
      </c>
      <c r="K921" s="89">
        <v>23660</v>
      </c>
      <c r="L921" s="3">
        <v>6.02</v>
      </c>
      <c r="M921" s="3">
        <v>23.09</v>
      </c>
      <c r="N921" s="3" t="s">
        <v>8</v>
      </c>
      <c r="O921" s="3" t="s">
        <v>8</v>
      </c>
    </row>
    <row r="922" spans="1:15" x14ac:dyDescent="0.35">
      <c r="A922" s="5" t="str">
        <f>Loads[[#This Row],[Date]]&amp;Loads[[#This Row],[Product]]</f>
        <v>44217Product1</v>
      </c>
      <c r="B922" s="5">
        <f>COUNTIF($A$1:A922,Loads[[#This Row],[Load]])</f>
        <v>2</v>
      </c>
      <c r="C922" s="3" t="str">
        <f>Loads[[#This Row],[Load]]&amp;Loads[[#This Row],[Count]]</f>
        <v>44217Product12</v>
      </c>
      <c r="D922" s="90">
        <v>44217</v>
      </c>
      <c r="E922" s="143">
        <v>0.60625000000000007</v>
      </c>
      <c r="F922" s="1" t="s">
        <v>9</v>
      </c>
      <c r="G922" s="2" t="s">
        <v>12</v>
      </c>
      <c r="H922" s="2" t="s">
        <v>42</v>
      </c>
      <c r="I922" s="1" t="s">
        <v>10</v>
      </c>
      <c r="J922" s="1">
        <v>345</v>
      </c>
      <c r="K922" s="89">
        <v>13680</v>
      </c>
      <c r="L922" s="3">
        <v>5.46</v>
      </c>
      <c r="M922" s="3">
        <v>23.03</v>
      </c>
      <c r="N922" s="3" t="s">
        <v>8</v>
      </c>
      <c r="O922" s="3" t="s">
        <v>8</v>
      </c>
    </row>
    <row r="923" spans="1:15" x14ac:dyDescent="0.35">
      <c r="A923" s="5" t="str">
        <f>Loads[[#This Row],[Date]]&amp;Loads[[#This Row],[Product]]</f>
        <v>44217Product1</v>
      </c>
      <c r="B923" s="5">
        <f>COUNTIF($A$1:A923,Loads[[#This Row],[Load]])</f>
        <v>3</v>
      </c>
      <c r="C923" s="3" t="str">
        <f>Loads[[#This Row],[Load]]&amp;Loads[[#This Row],[Count]]</f>
        <v>44217Product13</v>
      </c>
      <c r="D923" s="90">
        <v>44217</v>
      </c>
      <c r="E923" s="143">
        <v>0.6069444444444444</v>
      </c>
      <c r="F923" s="1" t="s">
        <v>9</v>
      </c>
      <c r="G923" s="2" t="s">
        <v>12</v>
      </c>
      <c r="H923" s="2" t="s">
        <v>42</v>
      </c>
      <c r="I923" s="1" t="s">
        <v>11</v>
      </c>
      <c r="J923" s="1" t="s">
        <v>8</v>
      </c>
      <c r="K923" s="89">
        <v>22520</v>
      </c>
      <c r="L923" s="3">
        <v>4.13</v>
      </c>
      <c r="M923" s="3">
        <v>23.33</v>
      </c>
      <c r="N923" s="3" t="s">
        <v>8</v>
      </c>
      <c r="O923" s="3" t="s">
        <v>8</v>
      </c>
    </row>
    <row r="924" spans="1:15" x14ac:dyDescent="0.35">
      <c r="A924" s="5" t="str">
        <f>Loads[[#This Row],[Date]]&amp;Loads[[#This Row],[Product]]</f>
        <v>44217Product1</v>
      </c>
      <c r="B924" s="5">
        <f>COUNTIF($A$1:A924,Loads[[#This Row],[Load]])</f>
        <v>4</v>
      </c>
      <c r="C924" s="3" t="str">
        <f>Loads[[#This Row],[Load]]&amp;Loads[[#This Row],[Count]]</f>
        <v>44217Product14</v>
      </c>
      <c r="D924" s="90">
        <v>44217</v>
      </c>
      <c r="E924" s="143">
        <v>0.60763888888888895</v>
      </c>
      <c r="F924" s="1" t="s">
        <v>9</v>
      </c>
      <c r="G924" s="2" t="s">
        <v>12</v>
      </c>
      <c r="H924" s="2" t="s">
        <v>42</v>
      </c>
      <c r="I924" s="1" t="s">
        <v>11</v>
      </c>
      <c r="J924" s="1" t="s">
        <v>8</v>
      </c>
      <c r="K924" s="89">
        <v>26520</v>
      </c>
      <c r="L924" s="3">
        <v>4.88</v>
      </c>
      <c r="M924" s="3">
        <v>23.19</v>
      </c>
      <c r="N924" s="3" t="s">
        <v>8</v>
      </c>
      <c r="O924" s="3" t="s">
        <v>8</v>
      </c>
    </row>
    <row r="925" spans="1:15" x14ac:dyDescent="0.35">
      <c r="A925" s="5" t="str">
        <f>Loads[[#This Row],[Date]]&amp;Loads[[#This Row],[Product]]</f>
        <v>44217Product1</v>
      </c>
      <c r="B925" s="5">
        <f>COUNTIF($A$1:A925,Loads[[#This Row],[Load]])</f>
        <v>5</v>
      </c>
      <c r="C925" s="3" t="str">
        <f>Loads[[#This Row],[Load]]&amp;Loads[[#This Row],[Count]]</f>
        <v>44217Product15</v>
      </c>
      <c r="D925" s="90">
        <v>44217</v>
      </c>
      <c r="E925" s="143">
        <v>0.5625</v>
      </c>
      <c r="F925" s="1" t="s">
        <v>9</v>
      </c>
      <c r="G925" s="2" t="s">
        <v>12</v>
      </c>
      <c r="H925" s="2" t="s">
        <v>42</v>
      </c>
      <c r="I925" s="1" t="s">
        <v>11</v>
      </c>
      <c r="J925" s="1" t="s">
        <v>8</v>
      </c>
      <c r="K925" s="89">
        <v>18140</v>
      </c>
      <c r="L925" s="3">
        <v>6.24</v>
      </c>
      <c r="M925" s="3">
        <v>23.05</v>
      </c>
      <c r="N925" s="3" t="s">
        <v>8</v>
      </c>
      <c r="O925" s="3" t="s">
        <v>8</v>
      </c>
    </row>
    <row r="926" spans="1:15" x14ac:dyDescent="0.35">
      <c r="A926" s="5" t="str">
        <f>Loads[[#This Row],[Date]]&amp;Loads[[#This Row],[Product]]</f>
        <v>44217Product1</v>
      </c>
      <c r="B926" s="5">
        <f>COUNTIF($A$1:A926,Loads[[#This Row],[Load]])</f>
        <v>6</v>
      </c>
      <c r="C926" s="3" t="str">
        <f>Loads[[#This Row],[Load]]&amp;Loads[[#This Row],[Count]]</f>
        <v>44217Product16</v>
      </c>
      <c r="D926" s="90">
        <v>44217</v>
      </c>
      <c r="E926" s="143">
        <v>0.57638888888888895</v>
      </c>
      <c r="F926" s="1" t="s">
        <v>9</v>
      </c>
      <c r="G926" s="2" t="s">
        <v>12</v>
      </c>
      <c r="H926" s="2" t="s">
        <v>42</v>
      </c>
      <c r="I926" s="1" t="s">
        <v>11</v>
      </c>
      <c r="J926" s="1" t="s">
        <v>8</v>
      </c>
      <c r="K926" s="89">
        <v>12940</v>
      </c>
      <c r="L926" s="3">
        <v>6.65</v>
      </c>
      <c r="M926" s="3">
        <v>23.6</v>
      </c>
      <c r="N926" s="3" t="s">
        <v>8</v>
      </c>
      <c r="O926" s="3" t="s">
        <v>8</v>
      </c>
    </row>
    <row r="927" spans="1:15" x14ac:dyDescent="0.35">
      <c r="A927" s="5" t="str">
        <f>Loads[[#This Row],[Date]]&amp;Loads[[#This Row],[Product]]</f>
        <v>44217Product1</v>
      </c>
      <c r="B927" s="5">
        <f>COUNTIF($A$1:A927,Loads[[#This Row],[Load]])</f>
        <v>7</v>
      </c>
      <c r="C927" s="3" t="str">
        <f>Loads[[#This Row],[Load]]&amp;Loads[[#This Row],[Count]]</f>
        <v>44217Product17</v>
      </c>
      <c r="D927" s="90">
        <v>44217</v>
      </c>
      <c r="E927" s="143">
        <v>0.59027777777777779</v>
      </c>
      <c r="F927" s="1" t="s">
        <v>9</v>
      </c>
      <c r="G927" s="2" t="s">
        <v>12</v>
      </c>
      <c r="H927" s="2" t="s">
        <v>42</v>
      </c>
      <c r="I927" s="1" t="s">
        <v>11</v>
      </c>
      <c r="J927" s="1" t="s">
        <v>8</v>
      </c>
      <c r="K927" s="89">
        <v>20420</v>
      </c>
      <c r="L927" s="3">
        <v>7.24</v>
      </c>
      <c r="M927" s="3">
        <v>22.57</v>
      </c>
      <c r="N927" s="3" t="s">
        <v>8</v>
      </c>
      <c r="O927" s="3" t="s">
        <v>8</v>
      </c>
    </row>
    <row r="928" spans="1:15" x14ac:dyDescent="0.35">
      <c r="A928" s="5" t="str">
        <f>Loads[[#This Row],[Date]]&amp;Loads[[#This Row],[Product]]</f>
        <v>44217Product1</v>
      </c>
      <c r="B928" s="5">
        <f>COUNTIF($A$1:A928,Loads[[#This Row],[Load]])</f>
        <v>8</v>
      </c>
      <c r="C928" s="3" t="str">
        <f>Loads[[#This Row],[Load]]&amp;Loads[[#This Row],[Count]]</f>
        <v>44217Product18</v>
      </c>
      <c r="D928" s="90">
        <v>44217</v>
      </c>
      <c r="E928" s="143">
        <v>0.61805555555555558</v>
      </c>
      <c r="F928" s="1" t="s">
        <v>9</v>
      </c>
      <c r="G928" s="2" t="s">
        <v>12</v>
      </c>
      <c r="H928" s="2" t="s">
        <v>42</v>
      </c>
      <c r="I928" s="1" t="s">
        <v>11</v>
      </c>
      <c r="J928" s="1" t="s">
        <v>8</v>
      </c>
      <c r="K928" s="89">
        <v>21180</v>
      </c>
      <c r="L928" s="3">
        <v>6.55</v>
      </c>
      <c r="M928" s="3">
        <v>23.76</v>
      </c>
      <c r="N928" s="3" t="s">
        <v>8</v>
      </c>
      <c r="O928" s="3" t="s">
        <v>8</v>
      </c>
    </row>
    <row r="929" spans="1:15" x14ac:dyDescent="0.35">
      <c r="A929" s="5" t="str">
        <f>Loads[[#This Row],[Date]]&amp;Loads[[#This Row],[Product]]</f>
        <v>44217Product1</v>
      </c>
      <c r="B929" s="5">
        <f>COUNTIF($A$1:A929,Loads[[#This Row],[Load]])</f>
        <v>9</v>
      </c>
      <c r="C929" s="3" t="str">
        <f>Loads[[#This Row],[Load]]&amp;Loads[[#This Row],[Count]]</f>
        <v>44217Product19</v>
      </c>
      <c r="D929" s="90">
        <v>44217</v>
      </c>
      <c r="E929" s="143">
        <v>0.64583333333333337</v>
      </c>
      <c r="F929" s="1" t="s">
        <v>9</v>
      </c>
      <c r="G929" s="2" t="s">
        <v>12</v>
      </c>
      <c r="H929" s="2" t="s">
        <v>42</v>
      </c>
      <c r="I929" s="1" t="s">
        <v>11</v>
      </c>
      <c r="J929" s="1" t="s">
        <v>8</v>
      </c>
      <c r="K929" s="89">
        <v>26020</v>
      </c>
      <c r="L929" s="3">
        <v>5.68</v>
      </c>
      <c r="M929" s="3">
        <v>23.32</v>
      </c>
      <c r="N929" s="3" t="s">
        <v>8</v>
      </c>
      <c r="O929" s="3" t="s">
        <v>8</v>
      </c>
    </row>
    <row r="930" spans="1:15" x14ac:dyDescent="0.35">
      <c r="A930" s="5" t="str">
        <f>Loads[[#This Row],[Date]]&amp;Loads[[#This Row],[Product]]</f>
        <v>44217Product1</v>
      </c>
      <c r="B930" s="5">
        <f>COUNTIF($A$1:A930,Loads[[#This Row],[Load]])</f>
        <v>10</v>
      </c>
      <c r="C930" s="3" t="str">
        <f>Loads[[#This Row],[Load]]&amp;Loads[[#This Row],[Count]]</f>
        <v>44217Product110</v>
      </c>
      <c r="D930" s="90">
        <v>44217</v>
      </c>
      <c r="E930" s="143">
        <v>0.68402777777777779</v>
      </c>
      <c r="F930" s="1" t="s">
        <v>9</v>
      </c>
      <c r="G930" s="2" t="s">
        <v>12</v>
      </c>
      <c r="H930" s="2" t="s">
        <v>42</v>
      </c>
      <c r="I930" s="1" t="s">
        <v>11</v>
      </c>
      <c r="J930" s="1" t="s">
        <v>8</v>
      </c>
      <c r="K930" s="89">
        <v>29680</v>
      </c>
      <c r="L930" s="3">
        <v>5.58</v>
      </c>
      <c r="M930" s="3">
        <v>23.17</v>
      </c>
      <c r="N930" s="3" t="s">
        <v>8</v>
      </c>
      <c r="O930" s="3" t="s">
        <v>8</v>
      </c>
    </row>
    <row r="931" spans="1:15" x14ac:dyDescent="0.35">
      <c r="A931" s="5" t="str">
        <f>Loads[[#This Row],[Date]]&amp;Loads[[#This Row],[Product]]</f>
        <v>44217Product1</v>
      </c>
      <c r="B931" s="5">
        <f>COUNTIF($A$1:A931,Loads[[#This Row],[Load]])</f>
        <v>11</v>
      </c>
      <c r="C931" s="3" t="str">
        <f>Loads[[#This Row],[Load]]&amp;Loads[[#This Row],[Count]]</f>
        <v>44217Product111</v>
      </c>
      <c r="D931" s="90">
        <v>44217</v>
      </c>
      <c r="E931" s="143">
        <v>0.72916666666666663</v>
      </c>
      <c r="F931" s="1" t="s">
        <v>9</v>
      </c>
      <c r="G931" s="2" t="s">
        <v>12</v>
      </c>
      <c r="H931" s="2" t="s">
        <v>42</v>
      </c>
      <c r="I931" s="1" t="s">
        <v>11</v>
      </c>
      <c r="J931" s="1" t="s">
        <v>8</v>
      </c>
      <c r="K931" s="89">
        <v>22080</v>
      </c>
      <c r="L931" s="3">
        <v>5.72</v>
      </c>
      <c r="M931" s="3">
        <v>23.82</v>
      </c>
      <c r="N931" s="3" t="s">
        <v>8</v>
      </c>
      <c r="O931" s="3" t="s">
        <v>8</v>
      </c>
    </row>
    <row r="932" spans="1:15" x14ac:dyDescent="0.35">
      <c r="A932" s="5" t="str">
        <f>Loads[[#This Row],[Date]]&amp;Loads[[#This Row],[Product]]</f>
        <v>44217Product1</v>
      </c>
      <c r="B932" s="5">
        <f>COUNTIF($A$1:A932,Loads[[#This Row],[Load]])</f>
        <v>12</v>
      </c>
      <c r="C932" s="3" t="str">
        <f>Loads[[#This Row],[Load]]&amp;Loads[[#This Row],[Count]]</f>
        <v>44217Product112</v>
      </c>
      <c r="D932" s="90">
        <v>44217</v>
      </c>
      <c r="E932" s="143">
        <v>0.75694444444444453</v>
      </c>
      <c r="F932" s="1" t="s">
        <v>9</v>
      </c>
      <c r="G932" s="2" t="s">
        <v>12</v>
      </c>
      <c r="H932" s="2" t="s">
        <v>42</v>
      </c>
      <c r="I932" s="1" t="s">
        <v>11</v>
      </c>
      <c r="J932" s="1" t="s">
        <v>8</v>
      </c>
      <c r="K932" s="89">
        <v>19380</v>
      </c>
      <c r="L932" s="3">
        <v>5.72</v>
      </c>
      <c r="M932" s="3">
        <v>23.82</v>
      </c>
      <c r="N932" s="3" t="s">
        <v>8</v>
      </c>
      <c r="O932" s="3" t="s">
        <v>8</v>
      </c>
    </row>
    <row r="933" spans="1:15" x14ac:dyDescent="0.35">
      <c r="A933" s="5" t="str">
        <f>Loads[[#This Row],[Date]]&amp;Loads[[#This Row],[Product]]</f>
        <v>44217Product1</v>
      </c>
      <c r="B933" s="5">
        <f>COUNTIF($A$1:A933,Loads[[#This Row],[Load]])</f>
        <v>13</v>
      </c>
      <c r="C933" s="3" t="str">
        <f>Loads[[#This Row],[Load]]&amp;Loads[[#This Row],[Count]]</f>
        <v>44217Product113</v>
      </c>
      <c r="D933" s="90">
        <v>44217</v>
      </c>
      <c r="E933" s="143">
        <v>0.82291666666666663</v>
      </c>
      <c r="F933" s="1" t="s">
        <v>9</v>
      </c>
      <c r="G933" s="2" t="s">
        <v>12</v>
      </c>
      <c r="H933" s="2" t="s">
        <v>42</v>
      </c>
      <c r="I933" s="1" t="s">
        <v>11</v>
      </c>
      <c r="J933" s="1" t="s">
        <v>8</v>
      </c>
      <c r="K933" s="89">
        <v>23940</v>
      </c>
      <c r="L933" s="3">
        <v>5.65</v>
      </c>
      <c r="M933" s="3">
        <v>23.55</v>
      </c>
      <c r="N933" s="3" t="s">
        <v>8</v>
      </c>
      <c r="O933" s="3" t="s">
        <v>8</v>
      </c>
    </row>
    <row r="934" spans="1:15" x14ac:dyDescent="0.35">
      <c r="A934" s="5" t="str">
        <f>Loads[[#This Row],[Date]]&amp;Loads[[#This Row],[Product]]</f>
        <v>44218Product1</v>
      </c>
      <c r="B934" s="5">
        <f>COUNTIF($A$1:A934,Loads[[#This Row],[Load]])</f>
        <v>2</v>
      </c>
      <c r="C934" s="3" t="str">
        <f>Loads[[#This Row],[Load]]&amp;Loads[[#This Row],[Count]]</f>
        <v>44218Product12</v>
      </c>
      <c r="D934" s="90">
        <v>44218</v>
      </c>
      <c r="E934" s="143">
        <v>0.40069444444444446</v>
      </c>
      <c r="F934" s="1" t="s">
        <v>9</v>
      </c>
      <c r="G934" s="2" t="s">
        <v>12</v>
      </c>
      <c r="H934" s="2" t="s">
        <v>42</v>
      </c>
      <c r="I934" s="1" t="s">
        <v>11</v>
      </c>
      <c r="J934" s="1" t="s">
        <v>8</v>
      </c>
      <c r="K934" s="89">
        <v>29340</v>
      </c>
      <c r="L934" s="3">
        <v>8.82</v>
      </c>
      <c r="M934" s="3">
        <v>25</v>
      </c>
      <c r="N934" s="3" t="s">
        <v>8</v>
      </c>
      <c r="O934" s="3" t="s">
        <v>8</v>
      </c>
    </row>
    <row r="935" spans="1:15" x14ac:dyDescent="0.35">
      <c r="A935" s="5" t="str">
        <f>Loads[[#This Row],[Date]]&amp;Loads[[#This Row],[Product]]</f>
        <v>44218Product1</v>
      </c>
      <c r="B935" s="5">
        <f>COUNTIF($A$1:A935,Loads[[#This Row],[Load]])</f>
        <v>3</v>
      </c>
      <c r="C935" s="3" t="str">
        <f>Loads[[#This Row],[Load]]&amp;Loads[[#This Row],[Count]]</f>
        <v>44218Product13</v>
      </c>
      <c r="D935" s="90">
        <v>44218</v>
      </c>
      <c r="E935" s="143">
        <v>0.40763888888888888</v>
      </c>
      <c r="F935" s="1" t="s">
        <v>9</v>
      </c>
      <c r="G935" s="2" t="s">
        <v>12</v>
      </c>
      <c r="H935" s="2" t="s">
        <v>42</v>
      </c>
      <c r="I935" s="1" t="s">
        <v>11</v>
      </c>
      <c r="J935" s="1" t="s">
        <v>8</v>
      </c>
      <c r="K935" s="89">
        <v>39040</v>
      </c>
      <c r="L935" s="3">
        <v>9.1999999999999993</v>
      </c>
      <c r="M935" s="3">
        <v>22.62</v>
      </c>
      <c r="N935" s="3" t="s">
        <v>8</v>
      </c>
      <c r="O935" s="3" t="s">
        <v>8</v>
      </c>
    </row>
    <row r="936" spans="1:15" x14ac:dyDescent="0.35">
      <c r="A936" s="5" t="str">
        <f>Loads[[#This Row],[Date]]&amp;Loads[[#This Row],[Product]]</f>
        <v>44218Product1</v>
      </c>
      <c r="B936" s="5">
        <f>COUNTIF($A$1:A936,Loads[[#This Row],[Load]])</f>
        <v>4</v>
      </c>
      <c r="C936" s="3" t="str">
        <f>Loads[[#This Row],[Load]]&amp;Loads[[#This Row],[Count]]</f>
        <v>44218Product14</v>
      </c>
      <c r="D936" s="90">
        <v>44218</v>
      </c>
      <c r="E936" s="143">
        <v>0.41041666666666665</v>
      </c>
      <c r="F936" s="1" t="s">
        <v>9</v>
      </c>
      <c r="G936" s="2" t="s">
        <v>12</v>
      </c>
      <c r="H936" s="2" t="s">
        <v>42</v>
      </c>
      <c r="I936" s="1" t="s">
        <v>10</v>
      </c>
      <c r="J936" s="1">
        <v>800</v>
      </c>
      <c r="K936" s="89">
        <v>31700</v>
      </c>
      <c r="L936" s="3">
        <v>9.33</v>
      </c>
      <c r="M936" s="3">
        <v>21.94</v>
      </c>
      <c r="N936" s="3" t="s">
        <v>8</v>
      </c>
      <c r="O936" s="3" t="s">
        <v>8</v>
      </c>
    </row>
    <row r="937" spans="1:15" x14ac:dyDescent="0.35">
      <c r="A937" s="5" t="str">
        <f>Loads[[#This Row],[Date]]&amp;Loads[[#This Row],[Product]]</f>
        <v>44218Product1</v>
      </c>
      <c r="B937" s="5">
        <f>COUNTIF($A$1:A937,Loads[[#This Row],[Load]])</f>
        <v>5</v>
      </c>
      <c r="C937" s="3" t="str">
        <f>Loads[[#This Row],[Load]]&amp;Loads[[#This Row],[Count]]</f>
        <v>44218Product15</v>
      </c>
      <c r="D937" s="90">
        <v>44218</v>
      </c>
      <c r="E937" s="143">
        <v>0.1111111111111111</v>
      </c>
      <c r="F937" s="1" t="s">
        <v>9</v>
      </c>
      <c r="G937" s="2" t="s">
        <v>12</v>
      </c>
      <c r="H937" s="2" t="s">
        <v>42</v>
      </c>
      <c r="I937" s="1" t="s">
        <v>11</v>
      </c>
      <c r="J937" s="1" t="s">
        <v>8</v>
      </c>
      <c r="K937" s="89">
        <v>23400</v>
      </c>
      <c r="L937" s="3">
        <v>8.99</v>
      </c>
      <c r="M937" s="3">
        <v>23.57</v>
      </c>
      <c r="N937" s="3" t="s">
        <v>8</v>
      </c>
      <c r="O937" s="3" t="s">
        <v>8</v>
      </c>
    </row>
    <row r="938" spans="1:15" x14ac:dyDescent="0.35">
      <c r="A938" s="5" t="str">
        <f>Loads[[#This Row],[Date]]&amp;Loads[[#This Row],[Product]]</f>
        <v>44218Product1</v>
      </c>
      <c r="B938" s="5">
        <f>COUNTIF($A$1:A938,Loads[[#This Row],[Load]])</f>
        <v>6</v>
      </c>
      <c r="C938" s="3" t="str">
        <f>Loads[[#This Row],[Load]]&amp;Loads[[#This Row],[Count]]</f>
        <v>44218Product16</v>
      </c>
      <c r="D938" s="90">
        <v>44218</v>
      </c>
      <c r="E938" s="143">
        <v>0.1111111111111111</v>
      </c>
      <c r="F938" s="1" t="s">
        <v>9</v>
      </c>
      <c r="G938" s="2" t="s">
        <v>12</v>
      </c>
      <c r="H938" s="2" t="s">
        <v>42</v>
      </c>
      <c r="I938" s="1" t="s">
        <v>11</v>
      </c>
      <c r="J938" s="1" t="s">
        <v>8</v>
      </c>
      <c r="K938" s="89">
        <v>25820</v>
      </c>
      <c r="L938" s="3">
        <v>9.1</v>
      </c>
      <c r="M938" s="3">
        <v>23.54</v>
      </c>
      <c r="N938" s="3" t="s">
        <v>8</v>
      </c>
      <c r="O938" s="3" t="s">
        <v>8</v>
      </c>
    </row>
    <row r="939" spans="1:15" x14ac:dyDescent="0.35">
      <c r="A939" s="5" t="str">
        <f>Loads[[#This Row],[Date]]&amp;Loads[[#This Row],[Product]]</f>
        <v>44218Product1</v>
      </c>
      <c r="B939" s="5">
        <f>COUNTIF($A$1:A939,Loads[[#This Row],[Load]])</f>
        <v>7</v>
      </c>
      <c r="C939" s="3" t="str">
        <f>Loads[[#This Row],[Load]]&amp;Loads[[#This Row],[Count]]</f>
        <v>44218Product17</v>
      </c>
      <c r="D939" s="90">
        <v>44218</v>
      </c>
      <c r="E939" s="143">
        <v>0.11180555555555556</v>
      </c>
      <c r="F939" s="1" t="s">
        <v>9</v>
      </c>
      <c r="G939" s="2" t="s">
        <v>12</v>
      </c>
      <c r="H939" s="2" t="s">
        <v>42</v>
      </c>
      <c r="I939" s="1" t="s">
        <v>11</v>
      </c>
      <c r="J939" s="1" t="s">
        <v>8</v>
      </c>
      <c r="K939" s="89">
        <v>19080</v>
      </c>
      <c r="L939" s="3">
        <v>8.73</v>
      </c>
      <c r="M939" s="3">
        <v>22.32</v>
      </c>
      <c r="N939" s="3" t="s">
        <v>8</v>
      </c>
      <c r="O939" s="3" t="s">
        <v>8</v>
      </c>
    </row>
    <row r="940" spans="1:15" x14ac:dyDescent="0.35">
      <c r="A940" s="5" t="str">
        <f>Loads[[#This Row],[Date]]&amp;Loads[[#This Row],[Product]]</f>
        <v>44218Product1</v>
      </c>
      <c r="B940" s="5">
        <f>COUNTIF($A$1:A940,Loads[[#This Row],[Load]])</f>
        <v>8</v>
      </c>
      <c r="C940" s="3" t="str">
        <f>Loads[[#This Row],[Load]]&amp;Loads[[#This Row],[Count]]</f>
        <v>44218Product18</v>
      </c>
      <c r="D940" s="90">
        <v>44218</v>
      </c>
      <c r="E940" s="143">
        <v>0.11180555555555556</v>
      </c>
      <c r="F940" s="1" t="s">
        <v>9</v>
      </c>
      <c r="G940" s="2" t="s">
        <v>12</v>
      </c>
      <c r="H940" s="2" t="s">
        <v>42</v>
      </c>
      <c r="I940" s="1" t="s">
        <v>11</v>
      </c>
      <c r="J940" s="1" t="s">
        <v>8</v>
      </c>
      <c r="K940" s="89">
        <v>20320</v>
      </c>
      <c r="L940" s="3">
        <v>9</v>
      </c>
      <c r="M940" s="3">
        <v>22.94</v>
      </c>
      <c r="N940" s="3" t="s">
        <v>8</v>
      </c>
      <c r="O940" s="3" t="s">
        <v>8</v>
      </c>
    </row>
    <row r="941" spans="1:15" x14ac:dyDescent="0.35">
      <c r="A941" s="5" t="str">
        <f>Loads[[#This Row],[Date]]&amp;Loads[[#This Row],[Product]]</f>
        <v>44218Product1</v>
      </c>
      <c r="B941" s="5">
        <f>COUNTIF($A$1:A941,Loads[[#This Row],[Load]])</f>
        <v>9</v>
      </c>
      <c r="C941" s="3" t="str">
        <f>Loads[[#This Row],[Load]]&amp;Loads[[#This Row],[Count]]</f>
        <v>44218Product19</v>
      </c>
      <c r="D941" s="90">
        <v>44218</v>
      </c>
      <c r="E941" s="143">
        <v>0.1125</v>
      </c>
      <c r="F941" s="1" t="s">
        <v>9</v>
      </c>
      <c r="G941" s="2" t="s">
        <v>12</v>
      </c>
      <c r="H941" s="2" t="s">
        <v>42</v>
      </c>
      <c r="I941" s="1" t="s">
        <v>11</v>
      </c>
      <c r="J941" s="1" t="s">
        <v>8</v>
      </c>
      <c r="K941" s="89">
        <v>12280</v>
      </c>
      <c r="L941" s="3">
        <v>9.49</v>
      </c>
      <c r="M941" s="3">
        <v>20.95</v>
      </c>
      <c r="N941" s="3" t="s">
        <v>8</v>
      </c>
      <c r="O941" s="3" t="s">
        <v>8</v>
      </c>
    </row>
    <row r="942" spans="1:15" x14ac:dyDescent="0.35">
      <c r="A942" s="5" t="str">
        <f>Loads[[#This Row],[Date]]&amp;Loads[[#This Row],[Product]]</f>
        <v>44218Product1</v>
      </c>
      <c r="B942" s="5">
        <f>COUNTIF($A$1:A942,Loads[[#This Row],[Load]])</f>
        <v>10</v>
      </c>
      <c r="C942" s="3" t="str">
        <f>Loads[[#This Row],[Load]]&amp;Loads[[#This Row],[Count]]</f>
        <v>44218Product110</v>
      </c>
      <c r="D942" s="90">
        <v>44218</v>
      </c>
      <c r="E942" s="143">
        <v>0.1125</v>
      </c>
      <c r="F942" s="1" t="s">
        <v>9</v>
      </c>
      <c r="G942" s="2" t="s">
        <v>12</v>
      </c>
      <c r="H942" s="2" t="s">
        <v>42</v>
      </c>
      <c r="I942" s="1" t="s">
        <v>11</v>
      </c>
      <c r="J942" s="1" t="s">
        <v>8</v>
      </c>
      <c r="K942" s="89">
        <v>19560</v>
      </c>
      <c r="L942" s="3">
        <v>9.51</v>
      </c>
      <c r="M942" s="3">
        <v>21.67</v>
      </c>
      <c r="N942" s="3" t="s">
        <v>8</v>
      </c>
      <c r="O942" s="3" t="s">
        <v>8</v>
      </c>
    </row>
    <row r="943" spans="1:15" x14ac:dyDescent="0.35">
      <c r="A943" s="5" t="str">
        <f>Loads[[#This Row],[Date]]&amp;Loads[[#This Row],[Product]]</f>
        <v>44218Product1</v>
      </c>
      <c r="B943" s="5">
        <f>COUNTIF($A$1:A943,Loads[[#This Row],[Load]])</f>
        <v>11</v>
      </c>
      <c r="C943" s="3" t="str">
        <f>Loads[[#This Row],[Load]]&amp;Loads[[#This Row],[Count]]</f>
        <v>44218Product111</v>
      </c>
      <c r="D943" s="90">
        <v>44218</v>
      </c>
      <c r="E943" s="143">
        <v>0.11319444444444444</v>
      </c>
      <c r="F943" s="1" t="s">
        <v>9</v>
      </c>
      <c r="G943" s="2" t="s">
        <v>12</v>
      </c>
      <c r="H943" s="2" t="s">
        <v>42</v>
      </c>
      <c r="I943" s="1" t="s">
        <v>11</v>
      </c>
      <c r="J943" s="1" t="s">
        <v>8</v>
      </c>
      <c r="K943" s="89">
        <v>21340</v>
      </c>
      <c r="L943" s="3">
        <v>9.36</v>
      </c>
      <c r="M943" s="3">
        <v>21.32</v>
      </c>
      <c r="N943" s="3" t="s">
        <v>8</v>
      </c>
      <c r="O943" s="3" t="s">
        <v>8</v>
      </c>
    </row>
    <row r="944" spans="1:15" x14ac:dyDescent="0.35">
      <c r="A944" s="5" t="str">
        <f>Loads[[#This Row],[Date]]&amp;Loads[[#This Row],[Product]]</f>
        <v>44218Product1</v>
      </c>
      <c r="B944" s="5">
        <f>COUNTIF($A$1:A944,Loads[[#This Row],[Load]])</f>
        <v>12</v>
      </c>
      <c r="C944" s="3" t="str">
        <f>Loads[[#This Row],[Load]]&amp;Loads[[#This Row],[Count]]</f>
        <v>44218Product112</v>
      </c>
      <c r="D944" s="90">
        <v>44218</v>
      </c>
      <c r="E944" s="143">
        <v>0.11388888888888889</v>
      </c>
      <c r="F944" s="1" t="s">
        <v>9</v>
      </c>
      <c r="G944" s="2" t="s">
        <v>12</v>
      </c>
      <c r="H944" s="2" t="s">
        <v>42</v>
      </c>
      <c r="I944" s="1" t="s">
        <v>11</v>
      </c>
      <c r="J944" s="1" t="s">
        <v>8</v>
      </c>
      <c r="K944" s="89">
        <v>30300</v>
      </c>
      <c r="L944" s="3">
        <v>9.4499999999999993</v>
      </c>
      <c r="M944" s="3">
        <v>21.9</v>
      </c>
      <c r="N944" s="3" t="s">
        <v>8</v>
      </c>
      <c r="O944" s="3" t="s">
        <v>8</v>
      </c>
    </row>
    <row r="945" spans="1:15" x14ac:dyDescent="0.35">
      <c r="A945" s="5" t="str">
        <f>Loads[[#This Row],[Date]]&amp;Loads[[#This Row],[Product]]</f>
        <v>44218Product1</v>
      </c>
      <c r="B945" s="5">
        <f>COUNTIF($A$1:A945,Loads[[#This Row],[Load]])</f>
        <v>13</v>
      </c>
      <c r="C945" s="3" t="str">
        <f>Loads[[#This Row],[Load]]&amp;Loads[[#This Row],[Count]]</f>
        <v>44218Product113</v>
      </c>
      <c r="D945" s="90">
        <v>44218</v>
      </c>
      <c r="E945" s="143">
        <v>0.11388888888888889</v>
      </c>
      <c r="F945" s="1" t="s">
        <v>9</v>
      </c>
      <c r="G945" s="2" t="s">
        <v>12</v>
      </c>
      <c r="H945" s="2" t="s">
        <v>42</v>
      </c>
      <c r="I945" s="1" t="s">
        <v>10</v>
      </c>
      <c r="J945" s="1">
        <v>612</v>
      </c>
      <c r="K945" s="89">
        <v>24360</v>
      </c>
      <c r="L945" s="3">
        <v>10.24</v>
      </c>
      <c r="M945" s="3">
        <v>20.71</v>
      </c>
      <c r="N945" s="3" t="s">
        <v>8</v>
      </c>
      <c r="O945" s="3" t="s">
        <v>8</v>
      </c>
    </row>
    <row r="946" spans="1:15" x14ac:dyDescent="0.35">
      <c r="A946" s="5" t="str">
        <f>Loads[[#This Row],[Date]]&amp;Loads[[#This Row],[Product]]</f>
        <v>44218Product1</v>
      </c>
      <c r="B946" s="5">
        <f>COUNTIF($A$1:A946,Loads[[#This Row],[Load]])</f>
        <v>14</v>
      </c>
      <c r="C946" s="3" t="str">
        <f>Loads[[#This Row],[Load]]&amp;Loads[[#This Row],[Count]]</f>
        <v>44218Product114</v>
      </c>
      <c r="D946" s="90">
        <v>44218</v>
      </c>
      <c r="E946" s="143">
        <v>0.11458333333333333</v>
      </c>
      <c r="F946" s="1" t="s">
        <v>9</v>
      </c>
      <c r="G946" s="2" t="s">
        <v>12</v>
      </c>
      <c r="H946" s="2" t="s">
        <v>42</v>
      </c>
      <c r="I946" s="1" t="s">
        <v>11</v>
      </c>
      <c r="J946" s="1" t="s">
        <v>8</v>
      </c>
      <c r="K946" s="89">
        <v>20340</v>
      </c>
      <c r="L946" s="3">
        <v>10.52</v>
      </c>
      <c r="M946" s="3">
        <v>20.52</v>
      </c>
      <c r="N946" s="3" t="s">
        <v>8</v>
      </c>
      <c r="O946" s="3" t="s">
        <v>8</v>
      </c>
    </row>
    <row r="947" spans="1:15" x14ac:dyDescent="0.35">
      <c r="A947" s="5" t="str">
        <f>Loads[[#This Row],[Date]]&amp;Loads[[#This Row],[Product]]</f>
        <v>44218Product1</v>
      </c>
      <c r="B947" s="5">
        <f>COUNTIF($A$1:A947,Loads[[#This Row],[Load]])</f>
        <v>15</v>
      </c>
      <c r="C947" s="3" t="str">
        <f>Loads[[#This Row],[Load]]&amp;Loads[[#This Row],[Count]]</f>
        <v>44218Product115</v>
      </c>
      <c r="D947" s="90">
        <v>44218</v>
      </c>
      <c r="E947" s="143">
        <v>0.11527777777777777</v>
      </c>
      <c r="F947" s="1" t="s">
        <v>9</v>
      </c>
      <c r="G947" s="2" t="s">
        <v>12</v>
      </c>
      <c r="H947" s="2" t="s">
        <v>42</v>
      </c>
      <c r="I947" s="1" t="s">
        <v>11</v>
      </c>
      <c r="J947" s="1" t="s">
        <v>8</v>
      </c>
      <c r="K947" s="89">
        <v>19800</v>
      </c>
      <c r="L947" s="3">
        <v>9.2100000000000009</v>
      </c>
      <c r="M947" s="3">
        <v>21.73</v>
      </c>
      <c r="N947" s="3" t="s">
        <v>8</v>
      </c>
      <c r="O947" s="3" t="s">
        <v>8</v>
      </c>
    </row>
    <row r="948" spans="1:15" x14ac:dyDescent="0.35">
      <c r="A948" s="5" t="str">
        <f>Loads[[#This Row],[Date]]&amp;Loads[[#This Row],[Product]]</f>
        <v>44218Product1</v>
      </c>
      <c r="B948" s="5">
        <f>COUNTIF($A$1:A948,Loads[[#This Row],[Load]])</f>
        <v>16</v>
      </c>
      <c r="C948" s="3" t="str">
        <f>Loads[[#This Row],[Load]]&amp;Loads[[#This Row],[Count]]</f>
        <v>44218Product116</v>
      </c>
      <c r="D948" s="90">
        <v>44218</v>
      </c>
      <c r="E948" s="143">
        <v>0.11597222222222221</v>
      </c>
      <c r="F948" s="1" t="s">
        <v>9</v>
      </c>
      <c r="G948" s="2" t="s">
        <v>12</v>
      </c>
      <c r="H948" s="2" t="s">
        <v>42</v>
      </c>
      <c r="I948" s="1" t="s">
        <v>10</v>
      </c>
      <c r="J948" s="1">
        <v>780</v>
      </c>
      <c r="K948" s="89">
        <v>30860</v>
      </c>
      <c r="L948" s="3">
        <v>9.24</v>
      </c>
      <c r="M948" s="3">
        <v>22.16</v>
      </c>
      <c r="N948" s="3" t="s">
        <v>8</v>
      </c>
      <c r="O948" s="3" t="s">
        <v>8</v>
      </c>
    </row>
    <row r="949" spans="1:15" x14ac:dyDescent="0.35">
      <c r="A949" s="5" t="str">
        <f>Loads[[#This Row],[Date]]&amp;Loads[[#This Row],[Product]]</f>
        <v>44219Product1</v>
      </c>
      <c r="B949" s="5">
        <f>COUNTIF($A$1:A949,Loads[[#This Row],[Load]])</f>
        <v>1</v>
      </c>
      <c r="C949" s="3" t="str">
        <f>Loads[[#This Row],[Load]]&amp;Loads[[#This Row],[Count]]</f>
        <v>44219Product11</v>
      </c>
      <c r="D949" s="90">
        <v>44219</v>
      </c>
      <c r="E949" s="143">
        <v>5.7638888888888885E-2</v>
      </c>
      <c r="F949" s="1" t="s">
        <v>9</v>
      </c>
      <c r="G949" s="2" t="s">
        <v>12</v>
      </c>
      <c r="H949" s="2" t="s">
        <v>42</v>
      </c>
      <c r="I949" s="1" t="s">
        <v>10</v>
      </c>
      <c r="J949" s="1">
        <v>450</v>
      </c>
      <c r="K949" s="89">
        <v>18180</v>
      </c>
      <c r="L949" s="3">
        <v>10.81</v>
      </c>
      <c r="M949" s="3">
        <v>23.02</v>
      </c>
      <c r="N949" s="3" t="s">
        <v>8</v>
      </c>
      <c r="O949" s="3" t="s">
        <v>8</v>
      </c>
    </row>
    <row r="950" spans="1:15" x14ac:dyDescent="0.35">
      <c r="A950" s="5" t="str">
        <f>Loads[[#This Row],[Date]]&amp;Loads[[#This Row],[Product]]</f>
        <v>44219Product1</v>
      </c>
      <c r="B950" s="5">
        <f>COUNTIF($A$1:A950,Loads[[#This Row],[Load]])</f>
        <v>2</v>
      </c>
      <c r="C950" s="3" t="str">
        <f>Loads[[#This Row],[Load]]&amp;Loads[[#This Row],[Count]]</f>
        <v>44219Product12</v>
      </c>
      <c r="D950" s="90">
        <v>44219</v>
      </c>
      <c r="E950" s="143">
        <v>5.8333333333333327E-2</v>
      </c>
      <c r="F950" s="1" t="s">
        <v>9</v>
      </c>
      <c r="G950" s="2" t="s">
        <v>12</v>
      </c>
      <c r="H950" s="2" t="s">
        <v>42</v>
      </c>
      <c r="I950" s="1" t="s">
        <v>11</v>
      </c>
      <c r="J950" s="1" t="s">
        <v>8</v>
      </c>
      <c r="K950" s="89">
        <v>26860</v>
      </c>
      <c r="L950" s="3">
        <v>10.64</v>
      </c>
      <c r="M950" s="3">
        <v>23.24</v>
      </c>
      <c r="N950" s="3" t="s">
        <v>8</v>
      </c>
      <c r="O950" s="3" t="s">
        <v>8</v>
      </c>
    </row>
    <row r="951" spans="1:15" x14ac:dyDescent="0.35">
      <c r="A951" s="5" t="str">
        <f>Loads[[#This Row],[Date]]&amp;Loads[[#This Row],[Product]]</f>
        <v>44219Product1</v>
      </c>
      <c r="B951" s="5">
        <f>COUNTIF($A$1:A951,Loads[[#This Row],[Load]])</f>
        <v>3</v>
      </c>
      <c r="C951" s="3" t="str">
        <f>Loads[[#This Row],[Load]]&amp;Loads[[#This Row],[Count]]</f>
        <v>44219Product13</v>
      </c>
      <c r="D951" s="90">
        <v>44219</v>
      </c>
      <c r="E951" s="143">
        <v>5.8333333333333327E-2</v>
      </c>
      <c r="F951" s="1" t="s">
        <v>9</v>
      </c>
      <c r="G951" s="2" t="s">
        <v>12</v>
      </c>
      <c r="H951" s="2" t="s">
        <v>42</v>
      </c>
      <c r="I951" s="1" t="s">
        <v>11</v>
      </c>
      <c r="J951" s="1" t="s">
        <v>8</v>
      </c>
      <c r="K951" s="89">
        <v>29380</v>
      </c>
      <c r="L951" s="3">
        <v>7.91</v>
      </c>
      <c r="M951" s="3">
        <v>21.92</v>
      </c>
      <c r="N951" s="3" t="s">
        <v>8</v>
      </c>
      <c r="O951" s="3" t="s">
        <v>8</v>
      </c>
    </row>
    <row r="952" spans="1:15" x14ac:dyDescent="0.35">
      <c r="A952" s="5" t="str">
        <f>Loads[[#This Row],[Date]]&amp;Loads[[#This Row],[Product]]</f>
        <v>44219Product1</v>
      </c>
      <c r="B952" s="5">
        <f>COUNTIF($A$1:A952,Loads[[#This Row],[Load]])</f>
        <v>4</v>
      </c>
      <c r="C952" s="3" t="str">
        <f>Loads[[#This Row],[Load]]&amp;Loads[[#This Row],[Count]]</f>
        <v>44219Product14</v>
      </c>
      <c r="D952" s="90">
        <v>44219</v>
      </c>
      <c r="E952" s="143">
        <v>5.9027777777777783E-2</v>
      </c>
      <c r="F952" s="1" t="s">
        <v>9</v>
      </c>
      <c r="G952" s="2" t="s">
        <v>12</v>
      </c>
      <c r="H952" s="2" t="s">
        <v>42</v>
      </c>
      <c r="I952" s="1" t="s">
        <v>11</v>
      </c>
      <c r="J952" s="1" t="s">
        <v>8</v>
      </c>
      <c r="K952" s="89">
        <v>23440</v>
      </c>
      <c r="L952" s="3">
        <v>7.9</v>
      </c>
      <c r="M952" s="3">
        <v>21.9</v>
      </c>
      <c r="N952" s="3" t="s">
        <v>8</v>
      </c>
      <c r="O952" s="3" t="s">
        <v>8</v>
      </c>
    </row>
    <row r="953" spans="1:15" x14ac:dyDescent="0.35">
      <c r="A953" s="5" t="str">
        <f>Loads[[#This Row],[Date]]&amp;Loads[[#This Row],[Product]]</f>
        <v>44219Product1</v>
      </c>
      <c r="B953" s="5">
        <f>COUNTIF($A$1:A953,Loads[[#This Row],[Load]])</f>
        <v>5</v>
      </c>
      <c r="C953" s="3" t="str">
        <f>Loads[[#This Row],[Load]]&amp;Loads[[#This Row],[Count]]</f>
        <v>44219Product15</v>
      </c>
      <c r="D953" s="90">
        <v>44219</v>
      </c>
      <c r="E953" s="143">
        <v>5.9722222222222225E-2</v>
      </c>
      <c r="F953" s="1" t="s">
        <v>9</v>
      </c>
      <c r="G953" s="2" t="s">
        <v>12</v>
      </c>
      <c r="H953" s="2" t="s">
        <v>42</v>
      </c>
      <c r="I953" s="1" t="s">
        <v>11</v>
      </c>
      <c r="J953" s="1" t="s">
        <v>8</v>
      </c>
      <c r="K953" s="89">
        <v>30260</v>
      </c>
      <c r="L953" s="3">
        <v>8.81</v>
      </c>
      <c r="M953" s="3">
        <v>22.14</v>
      </c>
      <c r="N953" s="3" t="s">
        <v>8</v>
      </c>
      <c r="O953" s="3" t="s">
        <v>8</v>
      </c>
    </row>
    <row r="954" spans="1:15" x14ac:dyDescent="0.35">
      <c r="A954" s="5" t="str">
        <f>Loads[[#This Row],[Date]]&amp;Loads[[#This Row],[Product]]</f>
        <v>44219Product1</v>
      </c>
      <c r="B954" s="5">
        <f>COUNTIF($A$1:A954,Loads[[#This Row],[Load]])</f>
        <v>6</v>
      </c>
      <c r="C954" s="3" t="str">
        <f>Loads[[#This Row],[Load]]&amp;Loads[[#This Row],[Count]]</f>
        <v>44219Product16</v>
      </c>
      <c r="D954" s="90">
        <v>44219</v>
      </c>
      <c r="E954" s="143">
        <v>5.9722222222222225E-2</v>
      </c>
      <c r="F954" s="1" t="s">
        <v>9</v>
      </c>
      <c r="G954" s="2" t="s">
        <v>12</v>
      </c>
      <c r="H954" s="2" t="s">
        <v>42</v>
      </c>
      <c r="I954" s="1" t="s">
        <v>11</v>
      </c>
      <c r="J954" s="1" t="s">
        <v>8</v>
      </c>
      <c r="K954" s="89">
        <v>23320</v>
      </c>
      <c r="L954" s="3">
        <v>9.1199999999999992</v>
      </c>
      <c r="M954" s="3">
        <v>21.78</v>
      </c>
      <c r="N954" s="3" t="s">
        <v>8</v>
      </c>
      <c r="O954" s="3" t="s">
        <v>8</v>
      </c>
    </row>
    <row r="955" spans="1:15" x14ac:dyDescent="0.35">
      <c r="A955" s="5" t="str">
        <f>Loads[[#This Row],[Date]]&amp;Loads[[#This Row],[Product]]</f>
        <v>44219Product1</v>
      </c>
      <c r="B955" s="5">
        <f>COUNTIF($A$1:A955,Loads[[#This Row],[Load]])</f>
        <v>7</v>
      </c>
      <c r="C955" s="3" t="str">
        <f>Loads[[#This Row],[Load]]&amp;Loads[[#This Row],[Count]]</f>
        <v>44219Product17</v>
      </c>
      <c r="D955" s="90">
        <v>44219</v>
      </c>
      <c r="E955" s="143">
        <v>6.0416666666666667E-2</v>
      </c>
      <c r="F955" s="1" t="s">
        <v>9</v>
      </c>
      <c r="G955" s="2" t="s">
        <v>12</v>
      </c>
      <c r="H955" s="2" t="s">
        <v>42</v>
      </c>
      <c r="I955" s="1" t="s">
        <v>11</v>
      </c>
      <c r="J955" s="1" t="s">
        <v>8</v>
      </c>
      <c r="K955" s="89">
        <v>18720</v>
      </c>
      <c r="L955" s="3">
        <v>8.52</v>
      </c>
      <c r="M955" s="3">
        <v>21.68</v>
      </c>
      <c r="N955" s="3" t="s">
        <v>8</v>
      </c>
      <c r="O955" s="3" t="s">
        <v>8</v>
      </c>
    </row>
    <row r="956" spans="1:15" x14ac:dyDescent="0.35">
      <c r="A956" s="5" t="str">
        <f>Loads[[#This Row],[Date]]&amp;Loads[[#This Row],[Product]]</f>
        <v>44219Product1</v>
      </c>
      <c r="B956" s="5">
        <f>COUNTIF($A$1:A956,Loads[[#This Row],[Load]])</f>
        <v>8</v>
      </c>
      <c r="C956" s="3" t="str">
        <f>Loads[[#This Row],[Load]]&amp;Loads[[#This Row],[Count]]</f>
        <v>44219Product18</v>
      </c>
      <c r="D956" s="90">
        <v>44219</v>
      </c>
      <c r="E956" s="143">
        <v>6.0416666666666667E-2</v>
      </c>
      <c r="F956" s="1" t="s">
        <v>9</v>
      </c>
      <c r="G956" s="2" t="s">
        <v>12</v>
      </c>
      <c r="H956" s="2" t="s">
        <v>42</v>
      </c>
      <c r="I956" s="1" t="s">
        <v>10</v>
      </c>
      <c r="J956" s="1">
        <v>625</v>
      </c>
      <c r="K956" s="89">
        <v>25040</v>
      </c>
      <c r="L956" s="3">
        <v>8.34</v>
      </c>
      <c r="M956" s="3">
        <v>20.68</v>
      </c>
      <c r="N956" s="3" t="s">
        <v>8</v>
      </c>
      <c r="O956" s="3" t="s">
        <v>8</v>
      </c>
    </row>
    <row r="957" spans="1:15" x14ac:dyDescent="0.35">
      <c r="A957" s="5" t="str">
        <f>Loads[[#This Row],[Date]]&amp;Loads[[#This Row],[Product]]</f>
        <v>44219Product1</v>
      </c>
      <c r="B957" s="5">
        <f>COUNTIF($A$1:A957,Loads[[#This Row],[Load]])</f>
        <v>9</v>
      </c>
      <c r="C957" s="3" t="str">
        <f>Loads[[#This Row],[Load]]&amp;Loads[[#This Row],[Count]]</f>
        <v>44219Product19</v>
      </c>
      <c r="D957" s="90">
        <v>44219</v>
      </c>
      <c r="E957" s="143">
        <v>6.1111111111111116E-2</v>
      </c>
      <c r="F957" s="1" t="s">
        <v>9</v>
      </c>
      <c r="G957" s="2" t="s">
        <v>12</v>
      </c>
      <c r="H957" s="2" t="s">
        <v>42</v>
      </c>
      <c r="I957" s="1" t="s">
        <v>11</v>
      </c>
      <c r="J957" s="1" t="s">
        <v>8</v>
      </c>
      <c r="K957" s="89">
        <v>20440</v>
      </c>
      <c r="L957" s="3">
        <v>8.73</v>
      </c>
      <c r="M957" s="3">
        <v>22.1</v>
      </c>
      <c r="N957" s="3" t="s">
        <v>8</v>
      </c>
      <c r="O957" s="3" t="s">
        <v>8</v>
      </c>
    </row>
    <row r="958" spans="1:15" x14ac:dyDescent="0.35">
      <c r="A958" s="5" t="str">
        <f>Loads[[#This Row],[Date]]&amp;Loads[[#This Row],[Product]]</f>
        <v>44219Product1</v>
      </c>
      <c r="B958" s="5">
        <f>COUNTIF($A$1:A958,Loads[[#This Row],[Load]])</f>
        <v>10</v>
      </c>
      <c r="C958" s="3" t="str">
        <f>Loads[[#This Row],[Load]]&amp;Loads[[#This Row],[Count]]</f>
        <v>44219Product110</v>
      </c>
      <c r="D958" s="90">
        <v>44219</v>
      </c>
      <c r="E958" s="143">
        <v>6.1805555555555558E-2</v>
      </c>
      <c r="F958" s="1" t="s">
        <v>9</v>
      </c>
      <c r="G958" s="2" t="s">
        <v>12</v>
      </c>
      <c r="H958" s="2" t="s">
        <v>42</v>
      </c>
      <c r="I958" s="1" t="s">
        <v>11</v>
      </c>
      <c r="J958" s="1" t="s">
        <v>8</v>
      </c>
      <c r="K958" s="89">
        <v>19480</v>
      </c>
      <c r="L958" s="3">
        <v>9.23</v>
      </c>
      <c r="M958" s="3">
        <v>20.3</v>
      </c>
      <c r="N958" s="3" t="s">
        <v>8</v>
      </c>
      <c r="O958" s="3" t="s">
        <v>8</v>
      </c>
    </row>
    <row r="959" spans="1:15" x14ac:dyDescent="0.35">
      <c r="A959" s="5" t="str">
        <f>Loads[[#This Row],[Date]]&amp;Loads[[#This Row],[Product]]</f>
        <v>44219Product1</v>
      </c>
      <c r="B959" s="5">
        <f>COUNTIF($A$1:A959,Loads[[#This Row],[Load]])</f>
        <v>11</v>
      </c>
      <c r="C959" s="3" t="str">
        <f>Loads[[#This Row],[Load]]&amp;Loads[[#This Row],[Count]]</f>
        <v>44219Product111</v>
      </c>
      <c r="D959" s="90">
        <v>44219</v>
      </c>
      <c r="E959" s="143">
        <v>6.1805555555555558E-2</v>
      </c>
      <c r="F959" s="1" t="s">
        <v>9</v>
      </c>
      <c r="G959" s="2" t="s">
        <v>12</v>
      </c>
      <c r="H959" s="2" t="s">
        <v>42</v>
      </c>
      <c r="I959" s="1" t="s">
        <v>11</v>
      </c>
      <c r="J959" s="1" t="s">
        <v>8</v>
      </c>
      <c r="K959" s="89">
        <v>20720</v>
      </c>
      <c r="L959" s="3">
        <v>8.8699999999999992</v>
      </c>
      <c r="M959" s="3">
        <v>20.43</v>
      </c>
      <c r="N959" s="3" t="s">
        <v>8</v>
      </c>
      <c r="O959" s="3" t="s">
        <v>8</v>
      </c>
    </row>
    <row r="960" spans="1:15" x14ac:dyDescent="0.35">
      <c r="A960" s="5" t="str">
        <f>Loads[[#This Row],[Date]]&amp;Loads[[#This Row],[Product]]</f>
        <v>44219Product1</v>
      </c>
      <c r="B960" s="5">
        <f>COUNTIF($A$1:A960,Loads[[#This Row],[Load]])</f>
        <v>12</v>
      </c>
      <c r="C960" s="3" t="str">
        <f>Loads[[#This Row],[Load]]&amp;Loads[[#This Row],[Count]]</f>
        <v>44219Product112</v>
      </c>
      <c r="D960" s="90">
        <v>44219</v>
      </c>
      <c r="E960" s="143">
        <v>6.3888888888888884E-2</v>
      </c>
      <c r="F960" s="1" t="s">
        <v>9</v>
      </c>
      <c r="G960" s="2" t="s">
        <v>12</v>
      </c>
      <c r="H960" s="2" t="s">
        <v>42</v>
      </c>
      <c r="I960" s="1" t="s">
        <v>11</v>
      </c>
      <c r="J960" s="1" t="s">
        <v>8</v>
      </c>
      <c r="K960" s="89">
        <v>19500</v>
      </c>
      <c r="L960" s="3">
        <v>8.6999999999999993</v>
      </c>
      <c r="M960" s="3">
        <v>21.52</v>
      </c>
      <c r="N960" s="3" t="s">
        <v>8</v>
      </c>
      <c r="O960" s="3" t="s">
        <v>8</v>
      </c>
    </row>
    <row r="961" spans="1:15" x14ac:dyDescent="0.35">
      <c r="A961" s="5" t="str">
        <f>Loads[[#This Row],[Date]]&amp;Loads[[#This Row],[Product]]</f>
        <v>44219Product1</v>
      </c>
      <c r="B961" s="5">
        <f>COUNTIF($A$1:A961,Loads[[#This Row],[Load]])</f>
        <v>13</v>
      </c>
      <c r="C961" s="3" t="str">
        <f>Loads[[#This Row],[Load]]&amp;Loads[[#This Row],[Count]]</f>
        <v>44219Product113</v>
      </c>
      <c r="D961" s="90">
        <v>44219</v>
      </c>
      <c r="E961" s="143">
        <v>6.3888888888888884E-2</v>
      </c>
      <c r="F961" s="1" t="s">
        <v>9</v>
      </c>
      <c r="G961" s="2" t="s">
        <v>12</v>
      </c>
      <c r="H961" s="2" t="s">
        <v>42</v>
      </c>
      <c r="I961" s="1" t="s">
        <v>11</v>
      </c>
      <c r="J961" s="1" t="s">
        <v>8</v>
      </c>
      <c r="K961" s="89">
        <v>27320</v>
      </c>
      <c r="L961" s="3">
        <v>8.65</v>
      </c>
      <c r="M961" s="3">
        <v>20.76</v>
      </c>
      <c r="N961" s="3" t="s">
        <v>8</v>
      </c>
      <c r="O961" s="3" t="s">
        <v>8</v>
      </c>
    </row>
    <row r="962" spans="1:15" x14ac:dyDescent="0.35">
      <c r="A962" s="5" t="str">
        <f>Loads[[#This Row],[Date]]&amp;Loads[[#This Row],[Product]]</f>
        <v>44219Product1</v>
      </c>
      <c r="B962" s="5">
        <f>COUNTIF($A$1:A962,Loads[[#This Row],[Load]])</f>
        <v>14</v>
      </c>
      <c r="C962" s="3" t="str">
        <f>Loads[[#This Row],[Load]]&amp;Loads[[#This Row],[Count]]</f>
        <v>44219Product114</v>
      </c>
      <c r="D962" s="90">
        <v>44219</v>
      </c>
      <c r="E962" s="143">
        <v>6.458333333333334E-2</v>
      </c>
      <c r="F962" s="1" t="s">
        <v>9</v>
      </c>
      <c r="G962" s="2" t="s">
        <v>12</v>
      </c>
      <c r="H962" s="2" t="s">
        <v>42</v>
      </c>
      <c r="I962" s="1" t="s">
        <v>11</v>
      </c>
      <c r="J962" s="1" t="s">
        <v>8</v>
      </c>
      <c r="K962" s="89">
        <v>34480</v>
      </c>
      <c r="L962" s="3">
        <v>8.84</v>
      </c>
      <c r="M962" s="3">
        <v>22.64</v>
      </c>
      <c r="N962" s="3" t="s">
        <v>8</v>
      </c>
      <c r="O962" s="3" t="s">
        <v>8</v>
      </c>
    </row>
    <row r="963" spans="1:15" x14ac:dyDescent="0.35">
      <c r="A963" s="5" t="str">
        <f>Loads[[#This Row],[Date]]&amp;Loads[[#This Row],[Product]]</f>
        <v>44219Product1</v>
      </c>
      <c r="B963" s="5">
        <f>COUNTIF($A$1:A963,Loads[[#This Row],[Load]])</f>
        <v>15</v>
      </c>
      <c r="C963" s="3" t="str">
        <f>Loads[[#This Row],[Load]]&amp;Loads[[#This Row],[Count]]</f>
        <v>44219Product115</v>
      </c>
      <c r="D963" s="90">
        <v>44219</v>
      </c>
      <c r="E963" s="143">
        <v>6.458333333333334E-2</v>
      </c>
      <c r="F963" s="1" t="s">
        <v>9</v>
      </c>
      <c r="G963" s="2" t="s">
        <v>12</v>
      </c>
      <c r="H963" s="2" t="s">
        <v>42</v>
      </c>
      <c r="I963" s="1" t="s">
        <v>11</v>
      </c>
      <c r="J963" s="1" t="s">
        <v>8</v>
      </c>
      <c r="K963" s="89">
        <v>20960</v>
      </c>
      <c r="L963" s="3">
        <v>8.9499999999999993</v>
      </c>
      <c r="M963" s="3">
        <v>22.46</v>
      </c>
      <c r="N963" s="3" t="s">
        <v>8</v>
      </c>
      <c r="O963" s="3" t="s">
        <v>8</v>
      </c>
    </row>
    <row r="964" spans="1:15" x14ac:dyDescent="0.35">
      <c r="A964" s="5" t="str">
        <f>Loads[[#This Row],[Date]]&amp;Loads[[#This Row],[Product]]</f>
        <v>44219Product1</v>
      </c>
      <c r="B964" s="5">
        <f>COUNTIF($A$1:A964,Loads[[#This Row],[Load]])</f>
        <v>16</v>
      </c>
      <c r="C964" s="3" t="str">
        <f>Loads[[#This Row],[Load]]&amp;Loads[[#This Row],[Count]]</f>
        <v>44219Product116</v>
      </c>
      <c r="D964" s="90">
        <v>44219</v>
      </c>
      <c r="E964" s="143">
        <v>6.5277777777777782E-2</v>
      </c>
      <c r="F964" s="1" t="s">
        <v>9</v>
      </c>
      <c r="G964" s="2" t="s">
        <v>12</v>
      </c>
      <c r="H964" s="2" t="s">
        <v>42</v>
      </c>
      <c r="I964" s="1" t="s">
        <v>11</v>
      </c>
      <c r="J964" s="1" t="s">
        <v>8</v>
      </c>
      <c r="K964" s="89">
        <v>25800</v>
      </c>
      <c r="L964" s="3">
        <v>9.15</v>
      </c>
      <c r="M964" s="3">
        <v>22.06</v>
      </c>
      <c r="N964" s="3" t="s">
        <v>8</v>
      </c>
      <c r="O964" s="3" t="s">
        <v>8</v>
      </c>
    </row>
    <row r="965" spans="1:15" x14ac:dyDescent="0.35">
      <c r="A965" s="5" t="str">
        <f>Loads[[#This Row],[Date]]&amp;Loads[[#This Row],[Product]]</f>
        <v>44220Product1</v>
      </c>
      <c r="B965" s="5">
        <f>COUNTIF($A$1:A965,Loads[[#This Row],[Load]])</f>
        <v>1</v>
      </c>
      <c r="C965" s="3" t="str">
        <f>Loads[[#This Row],[Load]]&amp;Loads[[#This Row],[Count]]</f>
        <v>44220Product11</v>
      </c>
      <c r="D965" s="90">
        <v>44220</v>
      </c>
      <c r="E965" s="143">
        <v>7.1527777777777787E-2</v>
      </c>
      <c r="F965" s="1" t="s">
        <v>9</v>
      </c>
      <c r="G965" s="2" t="s">
        <v>12</v>
      </c>
      <c r="H965" s="2" t="s">
        <v>42</v>
      </c>
      <c r="I965" s="1" t="s">
        <v>11</v>
      </c>
      <c r="J965" s="1" t="s">
        <v>8</v>
      </c>
      <c r="K965" s="89">
        <v>19380</v>
      </c>
      <c r="L965" s="3">
        <v>9.25</v>
      </c>
      <c r="M965" s="3">
        <v>22.61</v>
      </c>
      <c r="N965" s="3" t="s">
        <v>8</v>
      </c>
      <c r="O965" s="3" t="s">
        <v>8</v>
      </c>
    </row>
    <row r="966" spans="1:15" x14ac:dyDescent="0.35">
      <c r="A966" s="5" t="str">
        <f>Loads[[#This Row],[Date]]&amp;Loads[[#This Row],[Product]]</f>
        <v>44220Product1</v>
      </c>
      <c r="B966" s="5">
        <f>COUNTIF($A$1:A966,Loads[[#This Row],[Load]])</f>
        <v>2</v>
      </c>
      <c r="C966" s="3" t="str">
        <f>Loads[[#This Row],[Load]]&amp;Loads[[#This Row],[Count]]</f>
        <v>44220Product12</v>
      </c>
      <c r="D966" s="90">
        <v>44220</v>
      </c>
      <c r="E966" s="143">
        <v>7.3611111111111113E-2</v>
      </c>
      <c r="F966" s="1" t="s">
        <v>9</v>
      </c>
      <c r="G966" s="2" t="s">
        <v>12</v>
      </c>
      <c r="H966" s="2" t="s">
        <v>42</v>
      </c>
      <c r="I966" s="1" t="s">
        <v>11</v>
      </c>
      <c r="J966" s="1" t="s">
        <v>8</v>
      </c>
      <c r="K966" s="89">
        <v>22060</v>
      </c>
      <c r="L966" s="3">
        <v>9.59</v>
      </c>
      <c r="M966" s="3">
        <v>22.28</v>
      </c>
      <c r="N966" s="3" t="s">
        <v>8</v>
      </c>
      <c r="O966" s="3" t="s">
        <v>8</v>
      </c>
    </row>
    <row r="967" spans="1:15" x14ac:dyDescent="0.35">
      <c r="A967" s="5" t="str">
        <f>Loads[[#This Row],[Date]]&amp;Loads[[#This Row],[Product]]</f>
        <v>44220Product1</v>
      </c>
      <c r="B967" s="5">
        <f>COUNTIF($A$1:A967,Loads[[#This Row],[Load]])</f>
        <v>3</v>
      </c>
      <c r="C967" s="3" t="str">
        <f>Loads[[#This Row],[Load]]&amp;Loads[[#This Row],[Count]]</f>
        <v>44220Product13</v>
      </c>
      <c r="D967" s="90">
        <v>44220</v>
      </c>
      <c r="E967" s="143">
        <v>7.4305555555555555E-2</v>
      </c>
      <c r="F967" s="1" t="s">
        <v>9</v>
      </c>
      <c r="G967" s="2" t="s">
        <v>12</v>
      </c>
      <c r="H967" s="2" t="s">
        <v>42</v>
      </c>
      <c r="I967" s="1" t="s">
        <v>11</v>
      </c>
      <c r="J967" s="1" t="s">
        <v>8</v>
      </c>
      <c r="K967" s="89">
        <v>20140</v>
      </c>
      <c r="L967" s="3">
        <v>8.82</v>
      </c>
      <c r="M967" s="3">
        <v>23.41</v>
      </c>
      <c r="N967" s="3" t="s">
        <v>8</v>
      </c>
      <c r="O967" s="3" t="s">
        <v>8</v>
      </c>
    </row>
    <row r="968" spans="1:15" x14ac:dyDescent="0.35">
      <c r="A968" s="5" t="str">
        <f>Loads[[#This Row],[Date]]&amp;Loads[[#This Row],[Product]]</f>
        <v>44220Product1</v>
      </c>
      <c r="B968" s="5">
        <f>COUNTIF($A$1:A968,Loads[[#This Row],[Load]])</f>
        <v>4</v>
      </c>
      <c r="C968" s="3" t="str">
        <f>Loads[[#This Row],[Load]]&amp;Loads[[#This Row],[Count]]</f>
        <v>44220Product14</v>
      </c>
      <c r="D968" s="90">
        <v>44220</v>
      </c>
      <c r="E968" s="143">
        <v>7.4999999999999997E-2</v>
      </c>
      <c r="F968" s="1" t="s">
        <v>9</v>
      </c>
      <c r="G968" s="2" t="s">
        <v>12</v>
      </c>
      <c r="H968" s="2" t="s">
        <v>42</v>
      </c>
      <c r="I968" s="1" t="s">
        <v>10</v>
      </c>
      <c r="J968" s="1">
        <v>775</v>
      </c>
      <c r="K968" s="89">
        <v>30820</v>
      </c>
      <c r="L968" s="3">
        <v>7.93</v>
      </c>
      <c r="M968" s="3">
        <v>25.01</v>
      </c>
      <c r="N968" s="3" t="s">
        <v>8</v>
      </c>
      <c r="O968" s="3" t="s">
        <v>8</v>
      </c>
    </row>
    <row r="969" spans="1:15" x14ac:dyDescent="0.35">
      <c r="A969" s="5" t="str">
        <f>Loads[[#This Row],[Date]]&amp;Loads[[#This Row],[Product]]</f>
        <v>44220Product1</v>
      </c>
      <c r="B969" s="5">
        <f>COUNTIF($A$1:A969,Loads[[#This Row],[Load]])</f>
        <v>5</v>
      </c>
      <c r="C969" s="3" t="str">
        <f>Loads[[#This Row],[Load]]&amp;Loads[[#This Row],[Count]]</f>
        <v>44220Product15</v>
      </c>
      <c r="D969" s="90">
        <v>44220</v>
      </c>
      <c r="E969" s="143">
        <v>7.4999999999999997E-2</v>
      </c>
      <c r="F969" s="1" t="s">
        <v>9</v>
      </c>
      <c r="G969" s="2" t="s">
        <v>12</v>
      </c>
      <c r="H969" s="2" t="s">
        <v>42</v>
      </c>
      <c r="I969" s="1" t="s">
        <v>11</v>
      </c>
      <c r="J969" s="1" t="s">
        <v>8</v>
      </c>
      <c r="K969" s="89">
        <v>21320</v>
      </c>
      <c r="L969" s="3">
        <v>9.31</v>
      </c>
      <c r="M969" s="3">
        <v>22.76</v>
      </c>
      <c r="N969" s="3" t="s">
        <v>8</v>
      </c>
      <c r="O969" s="3" t="s">
        <v>8</v>
      </c>
    </row>
    <row r="970" spans="1:15" x14ac:dyDescent="0.35">
      <c r="A970" s="5" t="str">
        <f>Loads[[#This Row],[Date]]&amp;Loads[[#This Row],[Product]]</f>
        <v>44220Product1</v>
      </c>
      <c r="B970" s="5">
        <f>COUNTIF($A$1:A970,Loads[[#This Row],[Load]])</f>
        <v>6</v>
      </c>
      <c r="C970" s="3" t="str">
        <f>Loads[[#This Row],[Load]]&amp;Loads[[#This Row],[Count]]</f>
        <v>44220Product16</v>
      </c>
      <c r="D970" s="90">
        <v>44220</v>
      </c>
      <c r="E970" s="143">
        <v>7.5694444444444439E-2</v>
      </c>
      <c r="F970" s="1" t="s">
        <v>9</v>
      </c>
      <c r="G970" s="2" t="s">
        <v>12</v>
      </c>
      <c r="H970" s="2" t="s">
        <v>42</v>
      </c>
      <c r="I970" s="1" t="s">
        <v>11</v>
      </c>
      <c r="J970" s="1" t="s">
        <v>8</v>
      </c>
      <c r="K970" s="89">
        <v>20060</v>
      </c>
      <c r="L970" s="3">
        <v>9.3800000000000008</v>
      </c>
      <c r="M970" s="3">
        <v>22.64</v>
      </c>
      <c r="N970" s="3" t="s">
        <v>8</v>
      </c>
      <c r="O970" s="3" t="s">
        <v>8</v>
      </c>
    </row>
    <row r="971" spans="1:15" x14ac:dyDescent="0.35">
      <c r="A971" s="5" t="str">
        <f>Loads[[#This Row],[Date]]&amp;Loads[[#This Row],[Product]]</f>
        <v>44220Product1</v>
      </c>
      <c r="B971" s="5">
        <f>COUNTIF($A$1:A971,Loads[[#This Row],[Load]])</f>
        <v>7</v>
      </c>
      <c r="C971" s="3" t="str">
        <f>Loads[[#This Row],[Load]]&amp;Loads[[#This Row],[Count]]</f>
        <v>44220Product17</v>
      </c>
      <c r="D971" s="90">
        <v>44220</v>
      </c>
      <c r="E971" s="143">
        <v>7.6388888888888895E-2</v>
      </c>
      <c r="F971" s="1" t="s">
        <v>9</v>
      </c>
      <c r="G971" s="2" t="s">
        <v>12</v>
      </c>
      <c r="H971" s="2" t="s">
        <v>42</v>
      </c>
      <c r="I971" s="1" t="s">
        <v>11</v>
      </c>
      <c r="J971" s="1" t="s">
        <v>8</v>
      </c>
      <c r="K971" s="89">
        <v>22720</v>
      </c>
      <c r="L971" s="3">
        <v>9.0299999999999994</v>
      </c>
      <c r="M971" s="3">
        <v>21.64</v>
      </c>
      <c r="N971" s="3" t="s">
        <v>8</v>
      </c>
      <c r="O971" s="3" t="s">
        <v>8</v>
      </c>
    </row>
    <row r="972" spans="1:15" x14ac:dyDescent="0.35">
      <c r="A972" s="5" t="str">
        <f>Loads[[#This Row],[Date]]&amp;Loads[[#This Row],[Product]]</f>
        <v>44220Product1</v>
      </c>
      <c r="B972" s="5">
        <f>COUNTIF($A$1:A972,Loads[[#This Row],[Load]])</f>
        <v>8</v>
      </c>
      <c r="C972" s="3" t="str">
        <f>Loads[[#This Row],[Load]]&amp;Loads[[#This Row],[Count]]</f>
        <v>44220Product18</v>
      </c>
      <c r="D972" s="90">
        <v>44220</v>
      </c>
      <c r="E972" s="143">
        <v>7.6388888888888895E-2</v>
      </c>
      <c r="F972" s="1" t="s">
        <v>9</v>
      </c>
      <c r="G972" s="2" t="s">
        <v>12</v>
      </c>
      <c r="H972" s="2" t="s">
        <v>42</v>
      </c>
      <c r="I972" s="1" t="s">
        <v>10</v>
      </c>
      <c r="J972" s="1">
        <v>775</v>
      </c>
      <c r="K972" s="89">
        <v>30820</v>
      </c>
      <c r="L972" s="3">
        <v>9.44</v>
      </c>
      <c r="M972" s="3">
        <v>22.23</v>
      </c>
      <c r="N972" s="3" t="s">
        <v>8</v>
      </c>
      <c r="O972" s="3" t="s">
        <v>8</v>
      </c>
    </row>
    <row r="973" spans="1:15" x14ac:dyDescent="0.35">
      <c r="A973" s="5" t="str">
        <f>Loads[[#This Row],[Date]]&amp;Loads[[#This Row],[Product]]</f>
        <v>44220Product1</v>
      </c>
      <c r="B973" s="5">
        <f>COUNTIF($A$1:A973,Loads[[#This Row],[Load]])</f>
        <v>9</v>
      </c>
      <c r="C973" s="3" t="str">
        <f>Loads[[#This Row],[Load]]&amp;Loads[[#This Row],[Count]]</f>
        <v>44220Product19</v>
      </c>
      <c r="D973" s="90">
        <v>44220</v>
      </c>
      <c r="E973" s="143">
        <v>7.7083333333333337E-2</v>
      </c>
      <c r="F973" s="1" t="s">
        <v>9</v>
      </c>
      <c r="G973" s="2" t="s">
        <v>12</v>
      </c>
      <c r="H973" s="2" t="s">
        <v>42</v>
      </c>
      <c r="I973" s="1" t="s">
        <v>11</v>
      </c>
      <c r="J973" s="1" t="s">
        <v>8</v>
      </c>
      <c r="K973" s="89">
        <v>17720</v>
      </c>
      <c r="L973" s="3">
        <v>9.5500000000000007</v>
      </c>
      <c r="M973" s="3">
        <v>22.49</v>
      </c>
      <c r="N973" s="3" t="s">
        <v>8</v>
      </c>
      <c r="O973" s="3" t="s">
        <v>8</v>
      </c>
    </row>
    <row r="974" spans="1:15" x14ac:dyDescent="0.35">
      <c r="A974" s="5" t="str">
        <f>Loads[[#This Row],[Date]]&amp;Loads[[#This Row],[Product]]</f>
        <v>44220Product1</v>
      </c>
      <c r="B974" s="5">
        <f>COUNTIF($A$1:A974,Loads[[#This Row],[Load]])</f>
        <v>10</v>
      </c>
      <c r="C974" s="3" t="str">
        <f>Loads[[#This Row],[Load]]&amp;Loads[[#This Row],[Count]]</f>
        <v>44220Product110</v>
      </c>
      <c r="D974" s="90">
        <v>44220</v>
      </c>
      <c r="E974" s="143">
        <v>7.7777777777777779E-2</v>
      </c>
      <c r="F974" s="1" t="s">
        <v>9</v>
      </c>
      <c r="G974" s="2" t="s">
        <v>12</v>
      </c>
      <c r="H974" s="2" t="s">
        <v>42</v>
      </c>
      <c r="I974" s="1" t="s">
        <v>10</v>
      </c>
      <c r="J974" s="1">
        <v>775</v>
      </c>
      <c r="K974" s="89">
        <v>30600</v>
      </c>
      <c r="L974" s="3">
        <v>5.82</v>
      </c>
      <c r="M974" s="3">
        <v>21.67</v>
      </c>
      <c r="N974" s="3" t="s">
        <v>8</v>
      </c>
      <c r="O974" s="3" t="s">
        <v>8</v>
      </c>
    </row>
    <row r="975" spans="1:15" x14ac:dyDescent="0.35">
      <c r="A975" s="5" t="str">
        <f>Loads[[#This Row],[Date]]&amp;Loads[[#This Row],[Product]]</f>
        <v>44220Product1</v>
      </c>
      <c r="B975" s="5">
        <f>COUNTIF($A$1:A975,Loads[[#This Row],[Load]])</f>
        <v>11</v>
      </c>
      <c r="C975" s="3" t="str">
        <f>Loads[[#This Row],[Load]]&amp;Loads[[#This Row],[Count]]</f>
        <v>44220Product111</v>
      </c>
      <c r="D975" s="90">
        <v>44220</v>
      </c>
      <c r="E975" s="143">
        <v>7.8472222222222221E-2</v>
      </c>
      <c r="F975" s="1" t="s">
        <v>9</v>
      </c>
      <c r="G975" s="2" t="s">
        <v>12</v>
      </c>
      <c r="H975" s="2" t="s">
        <v>42</v>
      </c>
      <c r="I975" s="1" t="s">
        <v>11</v>
      </c>
      <c r="J975" s="1" t="s">
        <v>8</v>
      </c>
      <c r="K975" s="89">
        <v>13420</v>
      </c>
      <c r="L975" s="3">
        <v>6.46</v>
      </c>
      <c r="M975" s="3">
        <v>21.85</v>
      </c>
      <c r="N975" s="3" t="s">
        <v>8</v>
      </c>
      <c r="O975" s="3" t="s">
        <v>8</v>
      </c>
    </row>
    <row r="976" spans="1:15" x14ac:dyDescent="0.35">
      <c r="A976" s="5" t="str">
        <f>Loads[[#This Row],[Date]]&amp;Loads[[#This Row],[Product]]</f>
        <v>44220Product1</v>
      </c>
      <c r="B976" s="5">
        <f>COUNTIF($A$1:A976,Loads[[#This Row],[Load]])</f>
        <v>12</v>
      </c>
      <c r="C976" s="3" t="str">
        <f>Loads[[#This Row],[Load]]&amp;Loads[[#This Row],[Count]]</f>
        <v>44220Product112</v>
      </c>
      <c r="D976" s="90">
        <v>44220</v>
      </c>
      <c r="E976" s="143">
        <v>7.8472222222222221E-2</v>
      </c>
      <c r="F976" s="1" t="s">
        <v>9</v>
      </c>
      <c r="G976" s="2" t="s">
        <v>12</v>
      </c>
      <c r="H976" s="2" t="s">
        <v>42</v>
      </c>
      <c r="I976" s="1" t="s">
        <v>11</v>
      </c>
      <c r="J976" s="1" t="s">
        <v>8</v>
      </c>
      <c r="K976" s="89">
        <v>27640</v>
      </c>
      <c r="L976" s="3">
        <v>9.02</v>
      </c>
      <c r="M976" s="3">
        <v>23.55</v>
      </c>
      <c r="N976" s="3" t="s">
        <v>8</v>
      </c>
      <c r="O976" s="3" t="s">
        <v>8</v>
      </c>
    </row>
    <row r="977" spans="1:15" x14ac:dyDescent="0.35">
      <c r="A977" s="5" t="str">
        <f>Loads[[#This Row],[Date]]&amp;Loads[[#This Row],[Product]]</f>
        <v>44220Product1</v>
      </c>
      <c r="B977" s="5">
        <f>COUNTIF($A$1:A977,Loads[[#This Row],[Load]])</f>
        <v>13</v>
      </c>
      <c r="C977" s="3" t="str">
        <f>Loads[[#This Row],[Load]]&amp;Loads[[#This Row],[Count]]</f>
        <v>44220Product113</v>
      </c>
      <c r="D977" s="90">
        <v>44220</v>
      </c>
      <c r="E977" s="143">
        <v>7.9166666666666663E-2</v>
      </c>
      <c r="F977" s="1" t="s">
        <v>9</v>
      </c>
      <c r="G977" s="2" t="s">
        <v>12</v>
      </c>
      <c r="H977" s="2" t="s">
        <v>42</v>
      </c>
      <c r="I977" s="1" t="s">
        <v>11</v>
      </c>
      <c r="J977" s="1" t="s">
        <v>8</v>
      </c>
      <c r="K977" s="89">
        <v>22900</v>
      </c>
      <c r="L977" s="3">
        <v>9.09</v>
      </c>
      <c r="M977" s="3">
        <v>23.12</v>
      </c>
      <c r="N977" s="3" t="s">
        <v>8</v>
      </c>
      <c r="O977" s="3" t="s">
        <v>8</v>
      </c>
    </row>
    <row r="978" spans="1:15" x14ac:dyDescent="0.35">
      <c r="A978" s="5" t="str">
        <f>Loads[[#This Row],[Date]]&amp;Loads[[#This Row],[Product]]</f>
        <v>44221Product1</v>
      </c>
      <c r="B978" s="5">
        <f>COUNTIF($A$1:A978,Loads[[#This Row],[Load]])</f>
        <v>1</v>
      </c>
      <c r="C978" s="3" t="str">
        <f>Loads[[#This Row],[Load]]&amp;Loads[[#This Row],[Count]]</f>
        <v>44221Product11</v>
      </c>
      <c r="D978" s="90">
        <v>44221</v>
      </c>
      <c r="E978" s="143">
        <v>0.10625</v>
      </c>
      <c r="F978" s="1" t="s">
        <v>9</v>
      </c>
      <c r="G978" s="2" t="s">
        <v>12</v>
      </c>
      <c r="H978" s="2" t="s">
        <v>42</v>
      </c>
      <c r="I978" s="1" t="s">
        <v>11</v>
      </c>
      <c r="J978" s="1" t="s">
        <v>8</v>
      </c>
      <c r="K978" s="89">
        <v>20780</v>
      </c>
      <c r="L978" s="3">
        <v>9.85</v>
      </c>
      <c r="M978" s="3">
        <v>21.52</v>
      </c>
      <c r="N978" s="3" t="s">
        <v>8</v>
      </c>
      <c r="O978" s="3" t="s">
        <v>8</v>
      </c>
    </row>
    <row r="979" spans="1:15" x14ac:dyDescent="0.35">
      <c r="A979" s="5" t="str">
        <f>Loads[[#This Row],[Date]]&amp;Loads[[#This Row],[Product]]</f>
        <v>44221Product1</v>
      </c>
      <c r="B979" s="5">
        <f>COUNTIF($A$1:A979,Loads[[#This Row],[Load]])</f>
        <v>2</v>
      </c>
      <c r="C979" s="3" t="str">
        <f>Loads[[#This Row],[Load]]&amp;Loads[[#This Row],[Count]]</f>
        <v>44221Product12</v>
      </c>
      <c r="D979" s="90">
        <v>44221</v>
      </c>
      <c r="E979" s="143">
        <v>0.10694444444444444</v>
      </c>
      <c r="F979" s="1" t="s">
        <v>9</v>
      </c>
      <c r="G979" s="2" t="s">
        <v>12</v>
      </c>
      <c r="H979" s="2" t="s">
        <v>42</v>
      </c>
      <c r="I979" s="1" t="s">
        <v>11</v>
      </c>
      <c r="J979" s="1" t="s">
        <v>8</v>
      </c>
      <c r="K979" s="89">
        <v>26620</v>
      </c>
      <c r="L979" s="3">
        <v>9.4600000000000009</v>
      </c>
      <c r="M979" s="3">
        <v>22.02</v>
      </c>
      <c r="N979" s="3" t="s">
        <v>8</v>
      </c>
      <c r="O979" s="3" t="s">
        <v>8</v>
      </c>
    </row>
    <row r="980" spans="1:15" x14ac:dyDescent="0.35">
      <c r="A980" s="5" t="str">
        <f>Loads[[#This Row],[Date]]&amp;Loads[[#This Row],[Product]]</f>
        <v>44221Product1</v>
      </c>
      <c r="B980" s="5">
        <f>COUNTIF($A$1:A980,Loads[[#This Row],[Load]])</f>
        <v>3</v>
      </c>
      <c r="C980" s="3" t="str">
        <f>Loads[[#This Row],[Load]]&amp;Loads[[#This Row],[Count]]</f>
        <v>44221Product13</v>
      </c>
      <c r="D980" s="90">
        <v>44221</v>
      </c>
      <c r="E980" s="143">
        <v>0.10694444444444444</v>
      </c>
      <c r="F980" s="1" t="s">
        <v>9</v>
      </c>
      <c r="G980" s="2" t="s">
        <v>12</v>
      </c>
      <c r="H980" s="2" t="s">
        <v>42</v>
      </c>
      <c r="I980" s="1" t="s">
        <v>10</v>
      </c>
      <c r="J980" s="1">
        <v>650</v>
      </c>
      <c r="K980" s="89">
        <v>26280</v>
      </c>
      <c r="L980" s="3">
        <v>9.41</v>
      </c>
      <c r="M980" s="3">
        <v>21.93</v>
      </c>
      <c r="N980" s="3" t="s">
        <v>8</v>
      </c>
      <c r="O980" s="3" t="s">
        <v>8</v>
      </c>
    </row>
    <row r="981" spans="1:15" x14ac:dyDescent="0.35">
      <c r="A981" s="5" t="str">
        <f>Loads[[#This Row],[Date]]&amp;Loads[[#This Row],[Product]]</f>
        <v>44221Product1</v>
      </c>
      <c r="B981" s="5">
        <f>COUNTIF($A$1:A981,Loads[[#This Row],[Load]])</f>
        <v>4</v>
      </c>
      <c r="C981" s="3" t="str">
        <f>Loads[[#This Row],[Load]]&amp;Loads[[#This Row],[Count]]</f>
        <v>44221Product14</v>
      </c>
      <c r="D981" s="90">
        <v>44221</v>
      </c>
      <c r="E981" s="143">
        <v>0.1076388888888889</v>
      </c>
      <c r="F981" s="1" t="s">
        <v>9</v>
      </c>
      <c r="G981" s="2" t="s">
        <v>12</v>
      </c>
      <c r="H981" s="2" t="s">
        <v>42</v>
      </c>
      <c r="I981" s="1" t="s">
        <v>11</v>
      </c>
      <c r="J981" s="1" t="s">
        <v>8</v>
      </c>
      <c r="K981" s="89">
        <v>27340</v>
      </c>
      <c r="L981" s="3">
        <v>6.45</v>
      </c>
      <c r="M981" s="3">
        <v>22.06</v>
      </c>
      <c r="N981" s="3" t="s">
        <v>8</v>
      </c>
      <c r="O981" s="3" t="s">
        <v>8</v>
      </c>
    </row>
    <row r="982" spans="1:15" x14ac:dyDescent="0.35">
      <c r="A982" s="5" t="str">
        <f>Loads[[#This Row],[Date]]&amp;Loads[[#This Row],[Product]]</f>
        <v>44221Product1</v>
      </c>
      <c r="B982" s="5">
        <f>COUNTIF($A$1:A982,Loads[[#This Row],[Load]])</f>
        <v>5</v>
      </c>
      <c r="C982" s="3" t="str">
        <f>Loads[[#This Row],[Load]]&amp;Loads[[#This Row],[Count]]</f>
        <v>44221Product15</v>
      </c>
      <c r="D982" s="90">
        <v>44221</v>
      </c>
      <c r="E982" s="143">
        <v>0.1076388888888889</v>
      </c>
      <c r="F982" s="1" t="s">
        <v>9</v>
      </c>
      <c r="G982" s="2" t="s">
        <v>12</v>
      </c>
      <c r="H982" s="2" t="s">
        <v>42</v>
      </c>
      <c r="I982" s="1" t="s">
        <v>11</v>
      </c>
      <c r="J982" s="1" t="s">
        <v>8</v>
      </c>
      <c r="K982" s="89">
        <v>30980</v>
      </c>
      <c r="L982" s="3">
        <v>8.9499999999999993</v>
      </c>
      <c r="M982" s="3">
        <v>21.22</v>
      </c>
      <c r="N982" s="3" t="s">
        <v>8</v>
      </c>
      <c r="O982" s="3" t="s">
        <v>8</v>
      </c>
    </row>
    <row r="983" spans="1:15" x14ac:dyDescent="0.35">
      <c r="A983" s="5" t="str">
        <f>Loads[[#This Row],[Date]]&amp;Loads[[#This Row],[Product]]</f>
        <v>44221Product1</v>
      </c>
      <c r="B983" s="5">
        <f>COUNTIF($A$1:A983,Loads[[#This Row],[Load]])</f>
        <v>6</v>
      </c>
      <c r="C983" s="3" t="str">
        <f>Loads[[#This Row],[Load]]&amp;Loads[[#This Row],[Count]]</f>
        <v>44221Product16</v>
      </c>
      <c r="D983" s="90">
        <v>44221</v>
      </c>
      <c r="E983" s="143">
        <v>0.10833333333333334</v>
      </c>
      <c r="F983" s="1" t="s">
        <v>9</v>
      </c>
      <c r="G983" s="2" t="s">
        <v>12</v>
      </c>
      <c r="H983" s="2" t="s">
        <v>42</v>
      </c>
      <c r="I983" s="1" t="s">
        <v>11</v>
      </c>
      <c r="J983" s="1" t="s">
        <v>8</v>
      </c>
      <c r="K983" s="89">
        <v>26300</v>
      </c>
      <c r="L983" s="3">
        <v>9.15</v>
      </c>
      <c r="M983" s="3">
        <v>21.7</v>
      </c>
      <c r="N983" s="3" t="s">
        <v>8</v>
      </c>
      <c r="O983" s="3" t="s">
        <v>8</v>
      </c>
    </row>
    <row r="984" spans="1:15" x14ac:dyDescent="0.35">
      <c r="A984" s="5" t="str">
        <f>Loads[[#This Row],[Date]]&amp;Loads[[#This Row],[Product]]</f>
        <v>44221Product1</v>
      </c>
      <c r="B984" s="5">
        <f>COUNTIF($A$1:A984,Loads[[#This Row],[Load]])</f>
        <v>7</v>
      </c>
      <c r="C984" s="3" t="str">
        <f>Loads[[#This Row],[Load]]&amp;Loads[[#This Row],[Count]]</f>
        <v>44221Product17</v>
      </c>
      <c r="D984" s="90">
        <v>44221</v>
      </c>
      <c r="E984" s="143">
        <v>0.10902777777777778</v>
      </c>
      <c r="F984" s="1" t="s">
        <v>9</v>
      </c>
      <c r="G984" s="2" t="s">
        <v>12</v>
      </c>
      <c r="H984" s="2" t="s">
        <v>42</v>
      </c>
      <c r="I984" s="1" t="s">
        <v>11</v>
      </c>
      <c r="J984" s="1" t="s">
        <v>8</v>
      </c>
      <c r="K984" s="89">
        <v>26080</v>
      </c>
      <c r="L984" s="3">
        <v>8.9700000000000006</v>
      </c>
      <c r="M984" s="3">
        <v>20.61</v>
      </c>
      <c r="N984" s="3" t="s">
        <v>8</v>
      </c>
      <c r="O984" s="3" t="s">
        <v>8</v>
      </c>
    </row>
    <row r="985" spans="1:15" x14ac:dyDescent="0.35">
      <c r="A985" s="5" t="str">
        <f>Loads[[#This Row],[Date]]&amp;Loads[[#This Row],[Product]]</f>
        <v>44221Product1</v>
      </c>
      <c r="B985" s="5">
        <f>COUNTIF($A$1:A985,Loads[[#This Row],[Load]])</f>
        <v>8</v>
      </c>
      <c r="C985" s="3" t="str">
        <f>Loads[[#This Row],[Load]]&amp;Loads[[#This Row],[Count]]</f>
        <v>44221Product18</v>
      </c>
      <c r="D985" s="90">
        <v>44221</v>
      </c>
      <c r="E985" s="143">
        <v>0.10902777777777778</v>
      </c>
      <c r="F985" s="1" t="s">
        <v>9</v>
      </c>
      <c r="G985" s="2" t="s">
        <v>12</v>
      </c>
      <c r="H985" s="2" t="s">
        <v>42</v>
      </c>
      <c r="I985" s="1" t="s">
        <v>11</v>
      </c>
      <c r="J985" s="1" t="s">
        <v>8</v>
      </c>
      <c r="K985" s="89">
        <v>21820</v>
      </c>
      <c r="L985" s="3">
        <v>9.75</v>
      </c>
      <c r="M985" s="3">
        <v>22.42</v>
      </c>
      <c r="N985" s="3" t="s">
        <v>8</v>
      </c>
      <c r="O985" s="3" t="s">
        <v>8</v>
      </c>
    </row>
    <row r="986" spans="1:15" x14ac:dyDescent="0.35">
      <c r="A986" s="5" t="str">
        <f>Loads[[#This Row],[Date]]&amp;Loads[[#This Row],[Product]]</f>
        <v>44221Product1</v>
      </c>
      <c r="B986" s="5">
        <f>COUNTIF($A$1:A986,Loads[[#This Row],[Load]])</f>
        <v>9</v>
      </c>
      <c r="C986" s="3" t="str">
        <f>Loads[[#This Row],[Load]]&amp;Loads[[#This Row],[Count]]</f>
        <v>44221Product19</v>
      </c>
      <c r="D986" s="90">
        <v>44221</v>
      </c>
      <c r="E986" s="143">
        <v>0.10972222222222222</v>
      </c>
      <c r="F986" s="1" t="s">
        <v>9</v>
      </c>
      <c r="G986" s="2" t="s">
        <v>12</v>
      </c>
      <c r="H986" s="2" t="s">
        <v>42</v>
      </c>
      <c r="I986" s="1" t="s">
        <v>11</v>
      </c>
      <c r="J986" s="1" t="s">
        <v>8</v>
      </c>
      <c r="K986" s="89">
        <v>31420</v>
      </c>
      <c r="L986" s="3">
        <v>9.9</v>
      </c>
      <c r="M986" s="3">
        <v>21.94</v>
      </c>
      <c r="N986" s="3" t="s">
        <v>8</v>
      </c>
      <c r="O986" s="3" t="s">
        <v>8</v>
      </c>
    </row>
    <row r="987" spans="1:15" x14ac:dyDescent="0.35">
      <c r="A987" s="5" t="str">
        <f>Loads[[#This Row],[Date]]&amp;Loads[[#This Row],[Product]]</f>
        <v>44221Product1</v>
      </c>
      <c r="B987" s="5">
        <f>COUNTIF($A$1:A987,Loads[[#This Row],[Load]])</f>
        <v>10</v>
      </c>
      <c r="C987" s="3" t="str">
        <f>Loads[[#This Row],[Load]]&amp;Loads[[#This Row],[Count]]</f>
        <v>44221Product110</v>
      </c>
      <c r="D987" s="90">
        <v>44221</v>
      </c>
      <c r="E987" s="143">
        <v>0.10972222222222222</v>
      </c>
      <c r="F987" s="1" t="s">
        <v>9</v>
      </c>
      <c r="G987" s="2" t="s">
        <v>12</v>
      </c>
      <c r="H987" s="2" t="s">
        <v>42</v>
      </c>
      <c r="I987" s="1" t="s">
        <v>11</v>
      </c>
      <c r="J987" s="1" t="s">
        <v>8</v>
      </c>
      <c r="K987" s="89">
        <v>12060</v>
      </c>
      <c r="L987" s="3">
        <v>9.85</v>
      </c>
      <c r="M987" s="3">
        <v>21.52</v>
      </c>
      <c r="N987" s="3" t="s">
        <v>8</v>
      </c>
      <c r="O987" s="3" t="s">
        <v>8</v>
      </c>
    </row>
    <row r="988" spans="1:15" x14ac:dyDescent="0.35">
      <c r="A988" s="5" t="str">
        <f>Loads[[#This Row],[Date]]&amp;Loads[[#This Row],[Product]]</f>
        <v>44221Product1</v>
      </c>
      <c r="B988" s="5">
        <f>COUNTIF($A$1:A988,Loads[[#This Row],[Load]])</f>
        <v>11</v>
      </c>
      <c r="C988" s="3" t="str">
        <f>Loads[[#This Row],[Load]]&amp;Loads[[#This Row],[Count]]</f>
        <v>44221Product111</v>
      </c>
      <c r="D988" s="90">
        <v>44221</v>
      </c>
      <c r="E988" s="143">
        <v>0.11041666666666666</v>
      </c>
      <c r="F988" s="1" t="s">
        <v>9</v>
      </c>
      <c r="G988" s="2" t="s">
        <v>12</v>
      </c>
      <c r="H988" s="2" t="s">
        <v>42</v>
      </c>
      <c r="I988" s="1" t="s">
        <v>11</v>
      </c>
      <c r="J988" s="1" t="s">
        <v>8</v>
      </c>
      <c r="K988" s="89">
        <v>33340</v>
      </c>
      <c r="L988" s="3">
        <v>9.98</v>
      </c>
      <c r="M988" s="3">
        <v>22.27</v>
      </c>
      <c r="N988" s="3" t="s">
        <v>8</v>
      </c>
      <c r="O988" s="3" t="s">
        <v>8</v>
      </c>
    </row>
    <row r="989" spans="1:15" x14ac:dyDescent="0.35">
      <c r="A989" s="5" t="str">
        <f>Loads[[#This Row],[Date]]&amp;Loads[[#This Row],[Product]]</f>
        <v>44221Product1</v>
      </c>
      <c r="B989" s="5">
        <f>COUNTIF($A$1:A989,Loads[[#This Row],[Load]])</f>
        <v>12</v>
      </c>
      <c r="C989" s="3" t="str">
        <f>Loads[[#This Row],[Load]]&amp;Loads[[#This Row],[Count]]</f>
        <v>44221Product112</v>
      </c>
      <c r="D989" s="90">
        <v>44221</v>
      </c>
      <c r="E989" s="143">
        <v>0.11041666666666666</v>
      </c>
      <c r="F989" s="1" t="s">
        <v>9</v>
      </c>
      <c r="G989" s="2" t="s">
        <v>12</v>
      </c>
      <c r="H989" s="2" t="s">
        <v>42</v>
      </c>
      <c r="I989" s="1" t="s">
        <v>11</v>
      </c>
      <c r="J989" s="1" t="s">
        <v>8</v>
      </c>
      <c r="K989" s="89">
        <v>21020</v>
      </c>
      <c r="L989" s="3">
        <v>9.9499999999999993</v>
      </c>
      <c r="M989" s="3">
        <v>22.53</v>
      </c>
      <c r="N989" s="3" t="s">
        <v>8</v>
      </c>
      <c r="O989" s="3" t="s">
        <v>8</v>
      </c>
    </row>
    <row r="990" spans="1:15" x14ac:dyDescent="0.35">
      <c r="A990" s="5" t="str">
        <f>Loads[[#This Row],[Date]]&amp;Loads[[#This Row],[Product]]</f>
        <v>44221Product1</v>
      </c>
      <c r="B990" s="5">
        <f>COUNTIF($A$1:A990,Loads[[#This Row],[Load]])</f>
        <v>13</v>
      </c>
      <c r="C990" s="3" t="str">
        <f>Loads[[#This Row],[Load]]&amp;Loads[[#This Row],[Count]]</f>
        <v>44221Product113</v>
      </c>
      <c r="D990" s="90">
        <v>44221</v>
      </c>
      <c r="E990" s="143">
        <v>0.1111111111111111</v>
      </c>
      <c r="F990" s="1" t="s">
        <v>9</v>
      </c>
      <c r="G990" s="2" t="s">
        <v>12</v>
      </c>
      <c r="H990" s="2" t="s">
        <v>42</v>
      </c>
      <c r="I990" s="1" t="s">
        <v>10</v>
      </c>
      <c r="J990" s="1">
        <v>1225</v>
      </c>
      <c r="K990" s="89">
        <v>48300</v>
      </c>
      <c r="L990" s="3">
        <v>9.5299999999999994</v>
      </c>
      <c r="M990" s="3">
        <v>22.06</v>
      </c>
      <c r="N990" s="3" t="s">
        <v>8</v>
      </c>
      <c r="O990" s="3" t="s">
        <v>8</v>
      </c>
    </row>
    <row r="991" spans="1:15" x14ac:dyDescent="0.35">
      <c r="A991" s="5" t="str">
        <f>Loads[[#This Row],[Date]]&amp;Loads[[#This Row],[Product]]</f>
        <v>44222Product1</v>
      </c>
      <c r="B991" s="5">
        <f>COUNTIF($A$1:A991,Loads[[#This Row],[Load]])</f>
        <v>1</v>
      </c>
      <c r="C991" s="3" t="str">
        <f>Loads[[#This Row],[Load]]&amp;Loads[[#This Row],[Count]]</f>
        <v>44222Product11</v>
      </c>
      <c r="D991" s="90">
        <v>44222</v>
      </c>
      <c r="E991" s="143">
        <v>4.7916666666666663E-2</v>
      </c>
      <c r="F991" s="1" t="s">
        <v>9</v>
      </c>
      <c r="G991" s="2" t="s">
        <v>12</v>
      </c>
      <c r="H991" s="2" t="s">
        <v>42</v>
      </c>
      <c r="I991" s="1" t="s">
        <v>10</v>
      </c>
      <c r="J991" s="1">
        <v>860</v>
      </c>
      <c r="K991" s="89">
        <v>34100</v>
      </c>
      <c r="L991" s="3">
        <v>8.74</v>
      </c>
      <c r="M991" s="3">
        <v>20.95</v>
      </c>
      <c r="N991" s="3" t="s">
        <v>8</v>
      </c>
      <c r="O991" s="3" t="s">
        <v>8</v>
      </c>
    </row>
    <row r="992" spans="1:15" x14ac:dyDescent="0.35">
      <c r="A992" s="5" t="str">
        <f>Loads[[#This Row],[Date]]&amp;Loads[[#This Row],[Product]]</f>
        <v>44222Product1</v>
      </c>
      <c r="B992" s="5">
        <f>COUNTIF($A$1:A992,Loads[[#This Row],[Load]])</f>
        <v>2</v>
      </c>
      <c r="C992" s="3" t="str">
        <f>Loads[[#This Row],[Load]]&amp;Loads[[#This Row],[Count]]</f>
        <v>44222Product12</v>
      </c>
      <c r="D992" s="90">
        <v>44222</v>
      </c>
      <c r="E992" s="143">
        <v>4.9999999999999996E-2</v>
      </c>
      <c r="F992" s="1" t="s">
        <v>9</v>
      </c>
      <c r="G992" s="2" t="s">
        <v>12</v>
      </c>
      <c r="H992" s="2" t="s">
        <v>42</v>
      </c>
      <c r="I992" s="1" t="s">
        <v>10</v>
      </c>
      <c r="J992" s="1">
        <v>648</v>
      </c>
      <c r="K992" s="89">
        <v>25820</v>
      </c>
      <c r="L992" s="3">
        <v>9.8800000000000008</v>
      </c>
      <c r="M992" s="3">
        <v>21.82</v>
      </c>
      <c r="N992" s="3" t="s">
        <v>8</v>
      </c>
      <c r="O992" s="3" t="s">
        <v>8</v>
      </c>
    </row>
    <row r="993" spans="1:15" x14ac:dyDescent="0.35">
      <c r="A993" s="5" t="str">
        <f>Loads[[#This Row],[Date]]&amp;Loads[[#This Row],[Product]]</f>
        <v>44222Product1</v>
      </c>
      <c r="B993" s="5">
        <f>COUNTIF($A$1:A993,Loads[[#This Row],[Load]])</f>
        <v>3</v>
      </c>
      <c r="C993" s="3" t="str">
        <f>Loads[[#This Row],[Load]]&amp;Loads[[#This Row],[Count]]</f>
        <v>44222Product13</v>
      </c>
      <c r="D993" s="90">
        <v>44222</v>
      </c>
      <c r="E993" s="143">
        <v>5.0694444444444452E-2</v>
      </c>
      <c r="F993" s="1" t="s">
        <v>9</v>
      </c>
      <c r="G993" s="2" t="s">
        <v>12</v>
      </c>
      <c r="H993" s="2" t="s">
        <v>42</v>
      </c>
      <c r="I993" s="1" t="s">
        <v>11</v>
      </c>
      <c r="J993" s="1" t="s">
        <v>8</v>
      </c>
      <c r="K993" s="89">
        <v>33660</v>
      </c>
      <c r="L993" s="3">
        <v>10.16</v>
      </c>
      <c r="M993" s="3">
        <v>22.22</v>
      </c>
      <c r="N993" s="3" t="s">
        <v>8</v>
      </c>
      <c r="O993" s="3" t="s">
        <v>8</v>
      </c>
    </row>
    <row r="994" spans="1:15" x14ac:dyDescent="0.35">
      <c r="A994" s="5" t="str">
        <f>Loads[[#This Row],[Date]]&amp;Loads[[#This Row],[Product]]</f>
        <v>44222Product1</v>
      </c>
      <c r="B994" s="5">
        <f>COUNTIF($A$1:A994,Loads[[#This Row],[Load]])</f>
        <v>4</v>
      </c>
      <c r="C994" s="3" t="str">
        <f>Loads[[#This Row],[Load]]&amp;Loads[[#This Row],[Count]]</f>
        <v>44222Product14</v>
      </c>
      <c r="D994" s="90">
        <v>44222</v>
      </c>
      <c r="E994" s="143">
        <v>5.1388888888888894E-2</v>
      </c>
      <c r="F994" s="1" t="s">
        <v>9</v>
      </c>
      <c r="G994" s="2" t="s">
        <v>12</v>
      </c>
      <c r="H994" s="2" t="s">
        <v>42</v>
      </c>
      <c r="I994" s="1" t="s">
        <v>10</v>
      </c>
      <c r="J994" s="1">
        <v>800</v>
      </c>
      <c r="K994" s="89">
        <v>31960</v>
      </c>
      <c r="L994" s="3">
        <v>10.07</v>
      </c>
      <c r="M994" s="3">
        <v>21.65</v>
      </c>
      <c r="N994" s="3" t="s">
        <v>8</v>
      </c>
      <c r="O994" s="3" t="s">
        <v>8</v>
      </c>
    </row>
    <row r="995" spans="1:15" x14ac:dyDescent="0.35">
      <c r="A995" s="5" t="str">
        <f>Loads[[#This Row],[Date]]&amp;Loads[[#This Row],[Product]]</f>
        <v>44222Product1</v>
      </c>
      <c r="B995" s="5">
        <f>COUNTIF($A$1:A995,Loads[[#This Row],[Load]])</f>
        <v>5</v>
      </c>
      <c r="C995" s="3" t="str">
        <f>Loads[[#This Row],[Load]]&amp;Loads[[#This Row],[Count]]</f>
        <v>44222Product15</v>
      </c>
      <c r="D995" s="90">
        <v>44222</v>
      </c>
      <c r="E995" s="143">
        <v>5.1388888888888894E-2</v>
      </c>
      <c r="F995" s="1" t="s">
        <v>9</v>
      </c>
      <c r="G995" s="2" t="s">
        <v>12</v>
      </c>
      <c r="H995" s="2" t="s">
        <v>42</v>
      </c>
      <c r="I995" s="1" t="s">
        <v>10</v>
      </c>
      <c r="J995" s="1">
        <v>50</v>
      </c>
      <c r="K995" s="89">
        <v>2020</v>
      </c>
      <c r="L995" s="3">
        <v>10.01</v>
      </c>
      <c r="M995" s="3">
        <v>21.66</v>
      </c>
      <c r="N995" s="3" t="s">
        <v>8</v>
      </c>
      <c r="O995" s="3" t="s">
        <v>8</v>
      </c>
    </row>
    <row r="996" spans="1:15" x14ac:dyDescent="0.35">
      <c r="A996" s="5" t="str">
        <f>Loads[[#This Row],[Date]]&amp;Loads[[#This Row],[Product]]</f>
        <v>44222Product1</v>
      </c>
      <c r="B996" s="5">
        <f>COUNTIF($A$1:A996,Loads[[#This Row],[Load]])</f>
        <v>6</v>
      </c>
      <c r="C996" s="3" t="str">
        <f>Loads[[#This Row],[Load]]&amp;Loads[[#This Row],[Count]]</f>
        <v>44222Product16</v>
      </c>
      <c r="D996" s="90">
        <v>44222</v>
      </c>
      <c r="E996" s="143">
        <v>5.2083333333333336E-2</v>
      </c>
      <c r="F996" s="1" t="s">
        <v>9</v>
      </c>
      <c r="G996" s="2" t="s">
        <v>12</v>
      </c>
      <c r="H996" s="2" t="s">
        <v>42</v>
      </c>
      <c r="I996" s="1" t="s">
        <v>11</v>
      </c>
      <c r="J996" s="1" t="s">
        <v>8</v>
      </c>
      <c r="K996" s="89">
        <v>29700</v>
      </c>
      <c r="L996" s="3">
        <v>5.56</v>
      </c>
      <c r="M996" s="3">
        <v>21.23</v>
      </c>
      <c r="N996" s="3" t="s">
        <v>8</v>
      </c>
      <c r="O996" s="3" t="s">
        <v>8</v>
      </c>
    </row>
    <row r="997" spans="1:15" x14ac:dyDescent="0.35">
      <c r="A997" s="5" t="str">
        <f>Loads[[#This Row],[Date]]&amp;Loads[[#This Row],[Product]]</f>
        <v>44222Product1</v>
      </c>
      <c r="B997" s="5">
        <f>COUNTIF($A$1:A997,Loads[[#This Row],[Load]])</f>
        <v>7</v>
      </c>
      <c r="C997" s="3" t="str">
        <f>Loads[[#This Row],[Load]]&amp;Loads[[#This Row],[Count]]</f>
        <v>44222Product17</v>
      </c>
      <c r="D997" s="90">
        <v>44222</v>
      </c>
      <c r="E997" s="143">
        <v>5.4166666666666669E-2</v>
      </c>
      <c r="F997" s="1" t="s">
        <v>9</v>
      </c>
      <c r="G997" s="2" t="s">
        <v>12</v>
      </c>
      <c r="H997" s="2" t="s">
        <v>42</v>
      </c>
      <c r="I997" s="1" t="s">
        <v>11</v>
      </c>
      <c r="J997" s="1" t="s">
        <v>8</v>
      </c>
      <c r="K997" s="89">
        <v>25100</v>
      </c>
      <c r="L997" s="3">
        <v>5.87</v>
      </c>
      <c r="M997" s="3">
        <v>21.49</v>
      </c>
      <c r="N997" s="3" t="s">
        <v>8</v>
      </c>
      <c r="O997" s="3" t="s">
        <v>8</v>
      </c>
    </row>
    <row r="998" spans="1:15" x14ac:dyDescent="0.35">
      <c r="A998" s="5" t="str">
        <f>Loads[[#This Row],[Date]]&amp;Loads[[#This Row],[Product]]</f>
        <v>44222Product1</v>
      </c>
      <c r="B998" s="5">
        <f>COUNTIF($A$1:A998,Loads[[#This Row],[Load]])</f>
        <v>8</v>
      </c>
      <c r="C998" s="3" t="str">
        <f>Loads[[#This Row],[Load]]&amp;Loads[[#This Row],[Count]]</f>
        <v>44222Product18</v>
      </c>
      <c r="D998" s="90">
        <v>44222</v>
      </c>
      <c r="E998" s="143">
        <v>5.486111111111111E-2</v>
      </c>
      <c r="F998" s="1" t="s">
        <v>9</v>
      </c>
      <c r="G998" s="2" t="s">
        <v>12</v>
      </c>
      <c r="H998" s="2" t="s">
        <v>42</v>
      </c>
      <c r="I998" s="1" t="s">
        <v>11</v>
      </c>
      <c r="J998" s="1" t="s">
        <v>8</v>
      </c>
      <c r="K998" s="89">
        <v>28020</v>
      </c>
      <c r="L998" s="3">
        <v>5.83</v>
      </c>
      <c r="M998" s="3">
        <v>21.98</v>
      </c>
      <c r="N998" s="3" t="s">
        <v>8</v>
      </c>
      <c r="O998" s="3" t="s">
        <v>8</v>
      </c>
    </row>
    <row r="999" spans="1:15" x14ac:dyDescent="0.35">
      <c r="A999" s="5" t="str">
        <f>Loads[[#This Row],[Date]]&amp;Loads[[#This Row],[Product]]</f>
        <v>44222Product1</v>
      </c>
      <c r="B999" s="5">
        <f>COUNTIF($A$1:A999,Loads[[#This Row],[Load]])</f>
        <v>9</v>
      </c>
      <c r="C999" s="3" t="str">
        <f>Loads[[#This Row],[Load]]&amp;Loads[[#This Row],[Count]]</f>
        <v>44222Product19</v>
      </c>
      <c r="D999" s="90">
        <v>44222</v>
      </c>
      <c r="E999" s="143">
        <v>5.486111111111111E-2</v>
      </c>
      <c r="F999" s="1" t="s">
        <v>9</v>
      </c>
      <c r="G999" s="2" t="s">
        <v>12</v>
      </c>
      <c r="H999" s="2" t="s">
        <v>42</v>
      </c>
      <c r="I999" s="1" t="s">
        <v>11</v>
      </c>
      <c r="J999" s="1" t="s">
        <v>8</v>
      </c>
      <c r="K999" s="89">
        <v>32800</v>
      </c>
      <c r="L999" s="3">
        <v>8.7100000000000009</v>
      </c>
      <c r="M999" s="3">
        <v>21.52</v>
      </c>
      <c r="N999" s="3" t="s">
        <v>8</v>
      </c>
      <c r="O999" s="3" t="s">
        <v>8</v>
      </c>
    </row>
    <row r="1000" spans="1:15" x14ac:dyDescent="0.35">
      <c r="A1000" s="5" t="str">
        <f>Loads[[#This Row],[Date]]&amp;Loads[[#This Row],[Product]]</f>
        <v>44222Product1</v>
      </c>
      <c r="B1000" s="5">
        <f>COUNTIF($A$1:A1000,Loads[[#This Row],[Load]])</f>
        <v>10</v>
      </c>
      <c r="C1000" s="3" t="str">
        <f>Loads[[#This Row],[Load]]&amp;Loads[[#This Row],[Count]]</f>
        <v>44222Product110</v>
      </c>
      <c r="D1000" s="90">
        <v>44222</v>
      </c>
      <c r="E1000" s="143">
        <v>5.5555555555555552E-2</v>
      </c>
      <c r="F1000" s="1" t="s">
        <v>9</v>
      </c>
      <c r="G1000" s="2" t="s">
        <v>12</v>
      </c>
      <c r="H1000" s="2" t="s">
        <v>42</v>
      </c>
      <c r="I1000" s="1" t="s">
        <v>11</v>
      </c>
      <c r="J1000" s="1" t="s">
        <v>8</v>
      </c>
      <c r="K1000" s="89">
        <v>24200</v>
      </c>
      <c r="L1000" s="3">
        <v>8.86</v>
      </c>
      <c r="M1000" s="3">
        <v>21.6</v>
      </c>
      <c r="N1000" s="3" t="s">
        <v>8</v>
      </c>
      <c r="O1000" s="3" t="s">
        <v>8</v>
      </c>
    </row>
    <row r="1001" spans="1:15" x14ac:dyDescent="0.35">
      <c r="A1001" s="5" t="str">
        <f>Loads[[#This Row],[Date]]&amp;Loads[[#This Row],[Product]]</f>
        <v>44223Product1</v>
      </c>
      <c r="B1001" s="5">
        <f>COUNTIF($A$1:A1001,Loads[[#This Row],[Load]])</f>
        <v>1</v>
      </c>
      <c r="C1001" s="3" t="str">
        <f>Loads[[#This Row],[Load]]&amp;Loads[[#This Row],[Count]]</f>
        <v>44223Product11</v>
      </c>
      <c r="D1001" s="90">
        <v>44223</v>
      </c>
      <c r="E1001" s="143">
        <v>5.7638888888888885E-2</v>
      </c>
      <c r="F1001" s="1" t="s">
        <v>9</v>
      </c>
      <c r="G1001" s="2" t="s">
        <v>12</v>
      </c>
      <c r="H1001" s="2" t="s">
        <v>42</v>
      </c>
      <c r="I1001" s="1" t="s">
        <v>11</v>
      </c>
      <c r="J1001" s="1" t="s">
        <v>8</v>
      </c>
      <c r="K1001" s="89">
        <v>22940</v>
      </c>
      <c r="L1001" s="3">
        <v>8.68</v>
      </c>
      <c r="M1001" s="3">
        <v>22</v>
      </c>
      <c r="N1001" s="3" t="s">
        <v>8</v>
      </c>
      <c r="O1001" s="3" t="s">
        <v>8</v>
      </c>
    </row>
    <row r="1002" spans="1:15" x14ac:dyDescent="0.35">
      <c r="A1002" s="5" t="str">
        <f>Loads[[#This Row],[Date]]&amp;Loads[[#This Row],[Product]]</f>
        <v>44223Product1</v>
      </c>
      <c r="B1002" s="5">
        <f>COUNTIF($A$1:A1002,Loads[[#This Row],[Load]])</f>
        <v>2</v>
      </c>
      <c r="C1002" s="3" t="str">
        <f>Loads[[#This Row],[Load]]&amp;Loads[[#This Row],[Count]]</f>
        <v>44223Product12</v>
      </c>
      <c r="D1002" s="90">
        <v>44223</v>
      </c>
      <c r="E1002" s="143">
        <v>5.7638888888888885E-2</v>
      </c>
      <c r="F1002" s="1" t="s">
        <v>9</v>
      </c>
      <c r="G1002" s="2" t="s">
        <v>12</v>
      </c>
      <c r="H1002" s="2" t="s">
        <v>42</v>
      </c>
      <c r="I1002" s="1" t="s">
        <v>11</v>
      </c>
      <c r="J1002" s="1" t="s">
        <v>8</v>
      </c>
      <c r="K1002" s="89">
        <v>27380</v>
      </c>
      <c r="L1002" s="3">
        <v>9.06</v>
      </c>
      <c r="M1002" s="3">
        <v>21.98</v>
      </c>
      <c r="N1002" s="3" t="s">
        <v>8</v>
      </c>
      <c r="O1002" s="3" t="s">
        <v>8</v>
      </c>
    </row>
    <row r="1003" spans="1:15" x14ac:dyDescent="0.35">
      <c r="A1003" s="5" t="str">
        <f>Loads[[#This Row],[Date]]&amp;Loads[[#This Row],[Product]]</f>
        <v>44223Product1</v>
      </c>
      <c r="B1003" s="5">
        <f>COUNTIF($A$1:A1003,Loads[[#This Row],[Load]])</f>
        <v>3</v>
      </c>
      <c r="C1003" s="3" t="str">
        <f>Loads[[#This Row],[Load]]&amp;Loads[[#This Row],[Count]]</f>
        <v>44223Product13</v>
      </c>
      <c r="D1003" s="90">
        <v>44223</v>
      </c>
      <c r="E1003" s="143">
        <v>5.8333333333333327E-2</v>
      </c>
      <c r="F1003" s="1" t="s">
        <v>9</v>
      </c>
      <c r="G1003" s="2" t="s">
        <v>12</v>
      </c>
      <c r="H1003" s="2" t="s">
        <v>42</v>
      </c>
      <c r="I1003" s="1" t="s">
        <v>11</v>
      </c>
      <c r="J1003" s="1" t="s">
        <v>8</v>
      </c>
      <c r="K1003" s="89">
        <v>26500</v>
      </c>
      <c r="L1003" s="3">
        <v>9.0399999999999991</v>
      </c>
      <c r="M1003" s="3">
        <v>22.28</v>
      </c>
      <c r="N1003" s="3" t="s">
        <v>8</v>
      </c>
      <c r="O1003" s="3" t="s">
        <v>8</v>
      </c>
    </row>
    <row r="1004" spans="1:15" x14ac:dyDescent="0.35">
      <c r="A1004" s="5" t="str">
        <f>Loads[[#This Row],[Date]]&amp;Loads[[#This Row],[Product]]</f>
        <v>44223Product1</v>
      </c>
      <c r="B1004" s="5">
        <f>COUNTIF($A$1:A1004,Loads[[#This Row],[Load]])</f>
        <v>4</v>
      </c>
      <c r="C1004" s="3" t="str">
        <f>Loads[[#This Row],[Load]]&amp;Loads[[#This Row],[Count]]</f>
        <v>44223Product14</v>
      </c>
      <c r="D1004" s="90">
        <v>44223</v>
      </c>
      <c r="E1004" s="143">
        <v>5.9027777777777783E-2</v>
      </c>
      <c r="F1004" s="1" t="s">
        <v>9</v>
      </c>
      <c r="G1004" s="2" t="s">
        <v>12</v>
      </c>
      <c r="H1004" s="2" t="s">
        <v>42</v>
      </c>
      <c r="I1004" s="1" t="s">
        <v>10</v>
      </c>
      <c r="J1004" s="1">
        <v>775</v>
      </c>
      <c r="K1004" s="89">
        <v>30900</v>
      </c>
      <c r="L1004" s="3">
        <v>6.25</v>
      </c>
      <c r="M1004" s="3">
        <v>21.71</v>
      </c>
      <c r="N1004" s="3" t="s">
        <v>8</v>
      </c>
      <c r="O1004" s="3" t="s">
        <v>8</v>
      </c>
    </row>
    <row r="1005" spans="1:15" x14ac:dyDescent="0.35">
      <c r="A1005" s="5" t="str">
        <f>Loads[[#This Row],[Date]]&amp;Loads[[#This Row],[Product]]</f>
        <v>44223Product1</v>
      </c>
      <c r="B1005" s="5">
        <f>COUNTIF($A$1:A1005,Loads[[#This Row],[Load]])</f>
        <v>5</v>
      </c>
      <c r="C1005" s="3" t="str">
        <f>Loads[[#This Row],[Load]]&amp;Loads[[#This Row],[Count]]</f>
        <v>44223Product15</v>
      </c>
      <c r="D1005" s="90">
        <v>44223</v>
      </c>
      <c r="E1005" s="143">
        <v>5.9027777777777783E-2</v>
      </c>
      <c r="F1005" s="1" t="s">
        <v>9</v>
      </c>
      <c r="G1005" s="2" t="s">
        <v>12</v>
      </c>
      <c r="H1005" s="2" t="s">
        <v>42</v>
      </c>
      <c r="I1005" s="1" t="s">
        <v>10</v>
      </c>
      <c r="J1005" s="1">
        <v>925</v>
      </c>
      <c r="K1005" s="89">
        <v>36800</v>
      </c>
      <c r="L1005" s="3">
        <v>8.33</v>
      </c>
      <c r="M1005" s="3">
        <v>21.84</v>
      </c>
      <c r="N1005" s="3" t="s">
        <v>8</v>
      </c>
      <c r="O1005" s="3" t="s">
        <v>8</v>
      </c>
    </row>
    <row r="1006" spans="1:15" x14ac:dyDescent="0.35">
      <c r="A1006" s="5" t="str">
        <f>Loads[[#This Row],[Date]]&amp;Loads[[#This Row],[Product]]</f>
        <v>44223Product1</v>
      </c>
      <c r="B1006" s="5">
        <f>COUNTIF($A$1:A1006,Loads[[#This Row],[Load]])</f>
        <v>6</v>
      </c>
      <c r="C1006" s="3" t="str">
        <f>Loads[[#This Row],[Load]]&amp;Loads[[#This Row],[Count]]</f>
        <v>44223Product16</v>
      </c>
      <c r="D1006" s="90">
        <v>44223</v>
      </c>
      <c r="E1006" s="143">
        <v>5.9722222222222225E-2</v>
      </c>
      <c r="F1006" s="1" t="s">
        <v>9</v>
      </c>
      <c r="G1006" s="2" t="s">
        <v>12</v>
      </c>
      <c r="H1006" s="2" t="s">
        <v>42</v>
      </c>
      <c r="I1006" s="1" t="s">
        <v>10</v>
      </c>
      <c r="J1006" s="1">
        <v>778</v>
      </c>
      <c r="K1006" s="89">
        <v>31000</v>
      </c>
      <c r="L1006" s="3">
        <v>9.11</v>
      </c>
      <c r="M1006" s="3">
        <v>21.92</v>
      </c>
      <c r="N1006" s="3" t="s">
        <v>8</v>
      </c>
      <c r="O1006" s="3" t="s">
        <v>8</v>
      </c>
    </row>
    <row r="1007" spans="1:15" x14ac:dyDescent="0.35">
      <c r="A1007" s="5" t="str">
        <f>Loads[[#This Row],[Date]]&amp;Loads[[#This Row],[Product]]</f>
        <v>44223Product1</v>
      </c>
      <c r="B1007" s="5">
        <f>COUNTIF($A$1:A1007,Loads[[#This Row],[Load]])</f>
        <v>7</v>
      </c>
      <c r="C1007" s="3" t="str">
        <f>Loads[[#This Row],[Load]]&amp;Loads[[#This Row],[Count]]</f>
        <v>44223Product17</v>
      </c>
      <c r="D1007" s="90">
        <v>44223</v>
      </c>
      <c r="E1007" s="143">
        <v>5.9722222222222225E-2</v>
      </c>
      <c r="F1007" s="1" t="s">
        <v>9</v>
      </c>
      <c r="G1007" s="2" t="s">
        <v>12</v>
      </c>
      <c r="H1007" s="2" t="s">
        <v>42</v>
      </c>
      <c r="I1007" s="1" t="s">
        <v>11</v>
      </c>
      <c r="J1007" s="1" t="s">
        <v>8</v>
      </c>
      <c r="K1007" s="89">
        <v>25100</v>
      </c>
      <c r="L1007" s="3">
        <v>8.56</v>
      </c>
      <c r="M1007" s="3">
        <v>21.99</v>
      </c>
      <c r="N1007" s="3" t="s">
        <v>8</v>
      </c>
      <c r="O1007" s="3" t="s">
        <v>8</v>
      </c>
    </row>
    <row r="1008" spans="1:15" x14ac:dyDescent="0.35">
      <c r="A1008" s="5" t="str">
        <f>Loads[[#This Row],[Date]]&amp;Loads[[#This Row],[Product]]</f>
        <v>44223Product1</v>
      </c>
      <c r="B1008" s="5">
        <f>COUNTIF($A$1:A1008,Loads[[#This Row],[Load]])</f>
        <v>8</v>
      </c>
      <c r="C1008" s="3" t="str">
        <f>Loads[[#This Row],[Load]]&amp;Loads[[#This Row],[Count]]</f>
        <v>44223Product18</v>
      </c>
      <c r="D1008" s="90">
        <v>44223</v>
      </c>
      <c r="E1008" s="143">
        <v>6.0416666666666667E-2</v>
      </c>
      <c r="F1008" s="1" t="s">
        <v>9</v>
      </c>
      <c r="G1008" s="2" t="s">
        <v>12</v>
      </c>
      <c r="H1008" s="2" t="s">
        <v>42</v>
      </c>
      <c r="I1008" s="1" t="s">
        <v>11</v>
      </c>
      <c r="J1008" s="1" t="s">
        <v>8</v>
      </c>
      <c r="K1008" s="89">
        <v>26360</v>
      </c>
      <c r="L1008" s="3">
        <v>8.36</v>
      </c>
      <c r="M1008" s="3">
        <v>21.42</v>
      </c>
      <c r="N1008" s="3" t="s">
        <v>8</v>
      </c>
      <c r="O1008" s="3" t="s">
        <v>8</v>
      </c>
    </row>
    <row r="1009" spans="1:15" x14ac:dyDescent="0.35">
      <c r="A1009" s="5" t="str">
        <f>Loads[[#This Row],[Date]]&amp;Loads[[#This Row],[Product]]</f>
        <v>44223Product1</v>
      </c>
      <c r="B1009" s="5">
        <f>COUNTIF($A$1:A1009,Loads[[#This Row],[Load]])</f>
        <v>9</v>
      </c>
      <c r="C1009" s="3" t="str">
        <f>Loads[[#This Row],[Load]]&amp;Loads[[#This Row],[Count]]</f>
        <v>44223Product19</v>
      </c>
      <c r="D1009" s="90">
        <v>44223</v>
      </c>
      <c r="E1009" s="143">
        <v>6.1111111111111116E-2</v>
      </c>
      <c r="F1009" s="1" t="s">
        <v>9</v>
      </c>
      <c r="G1009" s="2" t="s">
        <v>12</v>
      </c>
      <c r="H1009" s="2" t="s">
        <v>42</v>
      </c>
      <c r="I1009" s="1" t="s">
        <v>11</v>
      </c>
      <c r="J1009" s="1" t="s">
        <v>8</v>
      </c>
      <c r="K1009" s="89">
        <v>18960</v>
      </c>
      <c r="L1009" s="3">
        <v>7.52</v>
      </c>
      <c r="M1009" s="3">
        <v>21.91</v>
      </c>
      <c r="N1009" s="3" t="s">
        <v>8</v>
      </c>
      <c r="O1009" s="3" t="s">
        <v>8</v>
      </c>
    </row>
    <row r="1010" spans="1:15" x14ac:dyDescent="0.35">
      <c r="A1010" s="5" t="str">
        <f>Loads[[#This Row],[Date]]&amp;Loads[[#This Row],[Product]]</f>
        <v>44223Product1</v>
      </c>
      <c r="B1010" s="5">
        <f>COUNTIF($A$1:A1010,Loads[[#This Row],[Load]])</f>
        <v>10</v>
      </c>
      <c r="C1010" s="3" t="str">
        <f>Loads[[#This Row],[Load]]&amp;Loads[[#This Row],[Count]]</f>
        <v>44223Product110</v>
      </c>
      <c r="D1010" s="90">
        <v>44223</v>
      </c>
      <c r="E1010" s="143">
        <v>6.1111111111111116E-2</v>
      </c>
      <c r="F1010" s="1" t="s">
        <v>9</v>
      </c>
      <c r="G1010" s="2" t="s">
        <v>12</v>
      </c>
      <c r="H1010" s="2" t="s">
        <v>42</v>
      </c>
      <c r="I1010" s="1" t="s">
        <v>10</v>
      </c>
      <c r="J1010" s="1">
        <v>660</v>
      </c>
      <c r="K1010" s="89">
        <v>26400</v>
      </c>
      <c r="L1010" s="3">
        <v>8.33</v>
      </c>
      <c r="M1010" s="3">
        <v>22.09</v>
      </c>
      <c r="N1010" s="3" t="s">
        <v>8</v>
      </c>
      <c r="O1010" s="3" t="s">
        <v>8</v>
      </c>
    </row>
    <row r="1011" spans="1:15" x14ac:dyDescent="0.35">
      <c r="A1011" s="5" t="str">
        <f>Loads[[#This Row],[Date]]&amp;Loads[[#This Row],[Product]]</f>
        <v>44223Product1</v>
      </c>
      <c r="B1011" s="5">
        <f>COUNTIF($A$1:A1011,Loads[[#This Row],[Load]])</f>
        <v>11</v>
      </c>
      <c r="C1011" s="3" t="str">
        <f>Loads[[#This Row],[Load]]&amp;Loads[[#This Row],[Count]]</f>
        <v>44223Product111</v>
      </c>
      <c r="D1011" s="90">
        <v>44223</v>
      </c>
      <c r="E1011" s="143">
        <v>6.1805555555555558E-2</v>
      </c>
      <c r="F1011" s="1" t="s">
        <v>9</v>
      </c>
      <c r="G1011" s="2" t="s">
        <v>12</v>
      </c>
      <c r="H1011" s="2" t="s">
        <v>42</v>
      </c>
      <c r="I1011" s="1" t="s">
        <v>11</v>
      </c>
      <c r="J1011" s="1" t="s">
        <v>8</v>
      </c>
      <c r="K1011" s="89">
        <v>27840</v>
      </c>
      <c r="L1011" s="3">
        <v>7.77</v>
      </c>
      <c r="M1011" s="3">
        <v>21.58</v>
      </c>
      <c r="N1011" s="3" t="s">
        <v>8</v>
      </c>
      <c r="O1011" s="3" t="s">
        <v>8</v>
      </c>
    </row>
    <row r="1012" spans="1:15" x14ac:dyDescent="0.35">
      <c r="A1012" s="5" t="str">
        <f>Loads[[#This Row],[Date]]&amp;Loads[[#This Row],[Product]]</f>
        <v>44224Product1</v>
      </c>
      <c r="B1012" s="5">
        <f>COUNTIF($A$1:A1012,Loads[[#This Row],[Load]])</f>
        <v>1</v>
      </c>
      <c r="C1012" s="3" t="str">
        <f>Loads[[#This Row],[Load]]&amp;Loads[[#This Row],[Count]]</f>
        <v>44224Product11</v>
      </c>
      <c r="D1012" s="90">
        <v>44224</v>
      </c>
      <c r="E1012" s="143">
        <v>0.41805555555555557</v>
      </c>
      <c r="F1012" s="1" t="s">
        <v>9</v>
      </c>
      <c r="G1012" s="2" t="s">
        <v>12</v>
      </c>
      <c r="H1012" s="2" t="s">
        <v>42</v>
      </c>
      <c r="I1012" s="1" t="s">
        <v>11</v>
      </c>
      <c r="J1012" s="1" t="s">
        <v>8</v>
      </c>
      <c r="K1012" s="89">
        <v>33540</v>
      </c>
      <c r="L1012" s="3">
        <v>8</v>
      </c>
      <c r="M1012" s="3">
        <v>21.89</v>
      </c>
      <c r="N1012" s="3" t="s">
        <v>8</v>
      </c>
      <c r="O1012" s="3" t="s">
        <v>8</v>
      </c>
    </row>
    <row r="1013" spans="1:15" x14ac:dyDescent="0.35">
      <c r="A1013" s="5" t="str">
        <f>Loads[[#This Row],[Date]]&amp;Loads[[#This Row],[Product]]</f>
        <v>44224Product1</v>
      </c>
      <c r="B1013" s="5">
        <f>COUNTIF($A$1:A1013,Loads[[#This Row],[Load]])</f>
        <v>2</v>
      </c>
      <c r="C1013" s="3" t="str">
        <f>Loads[[#This Row],[Load]]&amp;Loads[[#This Row],[Count]]</f>
        <v>44224Product12</v>
      </c>
      <c r="D1013" s="90">
        <v>44224</v>
      </c>
      <c r="E1013" s="143">
        <v>0.41875000000000001</v>
      </c>
      <c r="F1013" s="1" t="s">
        <v>9</v>
      </c>
      <c r="G1013" s="2" t="s">
        <v>12</v>
      </c>
      <c r="H1013" s="2" t="s">
        <v>42</v>
      </c>
      <c r="I1013" s="1" t="s">
        <v>10</v>
      </c>
      <c r="J1013" s="1">
        <v>785</v>
      </c>
      <c r="K1013" s="89">
        <v>31300</v>
      </c>
      <c r="L1013" s="3">
        <v>8.3000000000000007</v>
      </c>
      <c r="M1013" s="3">
        <v>22.06</v>
      </c>
      <c r="N1013" s="3" t="s">
        <v>8</v>
      </c>
      <c r="O1013" s="3" t="s">
        <v>8</v>
      </c>
    </row>
    <row r="1014" spans="1:15" x14ac:dyDescent="0.35">
      <c r="A1014" s="5" t="str">
        <f>Loads[[#This Row],[Date]]&amp;Loads[[#This Row],[Product]]</f>
        <v>44224Product1</v>
      </c>
      <c r="B1014" s="5">
        <f>COUNTIF($A$1:A1014,Loads[[#This Row],[Load]])</f>
        <v>3</v>
      </c>
      <c r="C1014" s="3" t="str">
        <f>Loads[[#This Row],[Load]]&amp;Loads[[#This Row],[Count]]</f>
        <v>44224Product13</v>
      </c>
      <c r="D1014" s="90">
        <v>44224</v>
      </c>
      <c r="E1014" s="143">
        <v>0.41944444444444445</v>
      </c>
      <c r="F1014" s="1" t="s">
        <v>9</v>
      </c>
      <c r="G1014" s="2" t="s">
        <v>12</v>
      </c>
      <c r="H1014" s="2" t="s">
        <v>42</v>
      </c>
      <c r="I1014" s="1" t="s">
        <v>11</v>
      </c>
      <c r="J1014" s="1" t="s">
        <v>8</v>
      </c>
      <c r="K1014" s="89">
        <v>26960</v>
      </c>
      <c r="L1014" s="3">
        <v>8.18</v>
      </c>
      <c r="M1014" s="3">
        <v>21.67</v>
      </c>
      <c r="N1014" s="3" t="s">
        <v>8</v>
      </c>
      <c r="O1014" s="3" t="s">
        <v>8</v>
      </c>
    </row>
    <row r="1015" spans="1:15" x14ac:dyDescent="0.35">
      <c r="A1015" s="5" t="str">
        <f>Loads[[#This Row],[Date]]&amp;Loads[[#This Row],[Product]]</f>
        <v>44224Product1</v>
      </c>
      <c r="B1015" s="5">
        <f>COUNTIF($A$1:A1015,Loads[[#This Row],[Load]])</f>
        <v>4</v>
      </c>
      <c r="C1015" s="3" t="str">
        <f>Loads[[#This Row],[Load]]&amp;Loads[[#This Row],[Count]]</f>
        <v>44224Product14</v>
      </c>
      <c r="D1015" s="90">
        <v>44224</v>
      </c>
      <c r="E1015" s="143">
        <v>0.42083333333333334</v>
      </c>
      <c r="F1015" s="1" t="s">
        <v>9</v>
      </c>
      <c r="G1015" s="2" t="s">
        <v>12</v>
      </c>
      <c r="H1015" s="2" t="s">
        <v>42</v>
      </c>
      <c r="I1015" s="1" t="s">
        <v>11</v>
      </c>
      <c r="J1015" s="1" t="s">
        <v>8</v>
      </c>
      <c r="K1015" s="89">
        <v>15100</v>
      </c>
      <c r="L1015" s="3">
        <v>7.65</v>
      </c>
      <c r="M1015" s="3">
        <v>21.78</v>
      </c>
      <c r="N1015" s="3" t="s">
        <v>8</v>
      </c>
      <c r="O1015" s="3" t="s">
        <v>8</v>
      </c>
    </row>
    <row r="1016" spans="1:15" x14ac:dyDescent="0.35">
      <c r="A1016" s="5" t="str">
        <f>Loads[[#This Row],[Date]]&amp;Loads[[#This Row],[Product]]</f>
        <v>44224Product1</v>
      </c>
      <c r="B1016" s="5">
        <f>COUNTIF($A$1:A1016,Loads[[#This Row],[Load]])</f>
        <v>5</v>
      </c>
      <c r="C1016" s="3" t="str">
        <f>Loads[[#This Row],[Load]]&amp;Loads[[#This Row],[Count]]</f>
        <v>44224Product15</v>
      </c>
      <c r="D1016" s="90">
        <v>44224</v>
      </c>
      <c r="E1016" s="143">
        <v>0.42152777777777778</v>
      </c>
      <c r="F1016" s="1" t="s">
        <v>9</v>
      </c>
      <c r="G1016" s="2" t="s">
        <v>12</v>
      </c>
      <c r="H1016" s="2" t="s">
        <v>42</v>
      </c>
      <c r="I1016" s="1" t="s">
        <v>11</v>
      </c>
      <c r="J1016" s="1" t="s">
        <v>8</v>
      </c>
      <c r="K1016" s="89">
        <v>33720</v>
      </c>
      <c r="L1016" s="3">
        <v>7.85</v>
      </c>
      <c r="M1016" s="3">
        <v>22.53</v>
      </c>
      <c r="N1016" s="3" t="s">
        <v>8</v>
      </c>
      <c r="O1016" s="3" t="s">
        <v>8</v>
      </c>
    </row>
    <row r="1017" spans="1:15" x14ac:dyDescent="0.35">
      <c r="A1017" s="5" t="str">
        <f>Loads[[#This Row],[Date]]&amp;Loads[[#This Row],[Product]]</f>
        <v>44224Product1</v>
      </c>
      <c r="B1017" s="5">
        <f>COUNTIF($A$1:A1017,Loads[[#This Row],[Load]])</f>
        <v>6</v>
      </c>
      <c r="C1017" s="3" t="str">
        <f>Loads[[#This Row],[Load]]&amp;Loads[[#This Row],[Count]]</f>
        <v>44224Product16</v>
      </c>
      <c r="D1017" s="90">
        <v>44224</v>
      </c>
      <c r="E1017" s="143">
        <v>0.42222222222222222</v>
      </c>
      <c r="F1017" s="1" t="s">
        <v>9</v>
      </c>
      <c r="G1017" s="2" t="s">
        <v>12</v>
      </c>
      <c r="H1017" s="2" t="s">
        <v>42</v>
      </c>
      <c r="I1017" s="1" t="s">
        <v>11</v>
      </c>
      <c r="J1017" s="1" t="s">
        <v>8</v>
      </c>
      <c r="K1017" s="89">
        <v>26950</v>
      </c>
      <c r="L1017" s="3">
        <v>8.52</v>
      </c>
      <c r="M1017" s="3">
        <v>22.84</v>
      </c>
      <c r="N1017" s="3" t="s">
        <v>8</v>
      </c>
      <c r="O1017" s="3" t="s">
        <v>8</v>
      </c>
    </row>
    <row r="1018" spans="1:15" x14ac:dyDescent="0.35">
      <c r="A1018" s="5" t="str">
        <f>Loads[[#This Row],[Date]]&amp;Loads[[#This Row],[Product]]</f>
        <v>44224Product1</v>
      </c>
      <c r="B1018" s="5">
        <f>COUNTIF($A$1:A1018,Loads[[#This Row],[Load]])</f>
        <v>7</v>
      </c>
      <c r="C1018" s="3" t="str">
        <f>Loads[[#This Row],[Load]]&amp;Loads[[#This Row],[Count]]</f>
        <v>44224Product17</v>
      </c>
      <c r="D1018" s="90">
        <v>44224</v>
      </c>
      <c r="E1018" s="143">
        <v>0.62152777777777779</v>
      </c>
      <c r="F1018" s="1" t="s">
        <v>9</v>
      </c>
      <c r="G1018" s="2" t="s">
        <v>12</v>
      </c>
      <c r="H1018" s="2" t="s">
        <v>42</v>
      </c>
      <c r="I1018" s="1" t="s">
        <v>11</v>
      </c>
      <c r="J1018" s="1" t="s">
        <v>8</v>
      </c>
      <c r="K1018" s="89">
        <v>20200</v>
      </c>
      <c r="L1018" s="3">
        <v>6.69</v>
      </c>
      <c r="M1018" s="3">
        <v>21.4</v>
      </c>
      <c r="N1018" s="3" t="s">
        <v>8</v>
      </c>
      <c r="O1018" s="3" t="s">
        <v>8</v>
      </c>
    </row>
    <row r="1019" spans="1:15" x14ac:dyDescent="0.35">
      <c r="A1019" s="5" t="str">
        <f>Loads[[#This Row],[Date]]&amp;Loads[[#This Row],[Product]]</f>
        <v>44224Product1</v>
      </c>
      <c r="B1019" s="5">
        <f>COUNTIF($A$1:A1019,Loads[[#This Row],[Load]])</f>
        <v>8</v>
      </c>
      <c r="C1019" s="3" t="str">
        <f>Loads[[#This Row],[Load]]&amp;Loads[[#This Row],[Count]]</f>
        <v>44224Product18</v>
      </c>
      <c r="D1019" s="90">
        <v>44224</v>
      </c>
      <c r="E1019" s="143">
        <v>0.62222222222222223</v>
      </c>
      <c r="F1019" s="1" t="s">
        <v>9</v>
      </c>
      <c r="G1019" s="2" t="s">
        <v>12</v>
      </c>
      <c r="H1019" s="2" t="s">
        <v>42</v>
      </c>
      <c r="I1019" s="1" t="s">
        <v>10</v>
      </c>
      <c r="J1019" s="1">
        <v>765</v>
      </c>
      <c r="K1019" s="89">
        <v>30260</v>
      </c>
      <c r="L1019" s="3">
        <v>7.05</v>
      </c>
      <c r="M1019" s="3">
        <v>21.44</v>
      </c>
      <c r="N1019" s="3" t="s">
        <v>8</v>
      </c>
      <c r="O1019" s="3" t="s">
        <v>8</v>
      </c>
    </row>
    <row r="1020" spans="1:15" x14ac:dyDescent="0.35">
      <c r="A1020" s="5" t="str">
        <f>Loads[[#This Row],[Date]]&amp;Loads[[#This Row],[Product]]</f>
        <v>44224Product1</v>
      </c>
      <c r="B1020" s="5">
        <f>COUNTIF($A$1:A1020,Loads[[#This Row],[Load]])</f>
        <v>9</v>
      </c>
      <c r="C1020" s="3" t="str">
        <f>Loads[[#This Row],[Load]]&amp;Loads[[#This Row],[Count]]</f>
        <v>44224Product19</v>
      </c>
      <c r="D1020" s="90">
        <v>44224</v>
      </c>
      <c r="E1020" s="143">
        <v>0.62222222222222223</v>
      </c>
      <c r="F1020" s="1" t="s">
        <v>9</v>
      </c>
      <c r="G1020" s="2" t="s">
        <v>12</v>
      </c>
      <c r="H1020" s="2" t="s">
        <v>42</v>
      </c>
      <c r="I1020" s="1" t="s">
        <v>10</v>
      </c>
      <c r="J1020" s="1">
        <v>783</v>
      </c>
      <c r="K1020" s="89">
        <v>30760</v>
      </c>
      <c r="L1020" s="3">
        <v>7.56</v>
      </c>
      <c r="M1020" s="3">
        <v>21.81</v>
      </c>
      <c r="N1020" s="3" t="s">
        <v>8</v>
      </c>
      <c r="O1020" s="3" t="s">
        <v>8</v>
      </c>
    </row>
    <row r="1021" spans="1:15" x14ac:dyDescent="0.35">
      <c r="A1021" s="5" t="str">
        <f>Loads[[#This Row],[Date]]&amp;Loads[[#This Row],[Product]]</f>
        <v>44224Product1</v>
      </c>
      <c r="B1021" s="5">
        <f>COUNTIF($A$1:A1021,Loads[[#This Row],[Load]])</f>
        <v>10</v>
      </c>
      <c r="C1021" s="3" t="str">
        <f>Loads[[#This Row],[Load]]&amp;Loads[[#This Row],[Count]]</f>
        <v>44224Product110</v>
      </c>
      <c r="D1021" s="90">
        <v>44224</v>
      </c>
      <c r="E1021" s="143">
        <v>0.80972222222222223</v>
      </c>
      <c r="F1021" s="1" t="s">
        <v>9</v>
      </c>
      <c r="G1021" s="2" t="s">
        <v>12</v>
      </c>
      <c r="H1021" s="2" t="s">
        <v>42</v>
      </c>
      <c r="I1021" s="1" t="s">
        <v>11</v>
      </c>
      <c r="J1021" s="1" t="s">
        <v>8</v>
      </c>
      <c r="K1021" s="89">
        <v>23980</v>
      </c>
      <c r="L1021" s="3">
        <v>5.53</v>
      </c>
      <c r="M1021" s="3">
        <v>21.15</v>
      </c>
      <c r="N1021" s="3" t="s">
        <v>8</v>
      </c>
      <c r="O1021" s="3" t="s">
        <v>8</v>
      </c>
    </row>
    <row r="1022" spans="1:15" x14ac:dyDescent="0.35">
      <c r="A1022" s="5" t="str">
        <f>Loads[[#This Row],[Date]]&amp;Loads[[#This Row],[Product]]</f>
        <v>44224Product1</v>
      </c>
      <c r="B1022" s="5">
        <f>COUNTIF($A$1:A1022,Loads[[#This Row],[Load]])</f>
        <v>11</v>
      </c>
      <c r="C1022" s="3" t="str">
        <f>Loads[[#This Row],[Load]]&amp;Loads[[#This Row],[Count]]</f>
        <v>44224Product111</v>
      </c>
      <c r="D1022" s="90">
        <v>44224</v>
      </c>
      <c r="E1022" s="143">
        <v>0.81041666666666667</v>
      </c>
      <c r="F1022" s="1" t="s">
        <v>9</v>
      </c>
      <c r="G1022" s="2" t="s">
        <v>12</v>
      </c>
      <c r="H1022" s="2" t="s">
        <v>42</v>
      </c>
      <c r="I1022" s="1" t="s">
        <v>11</v>
      </c>
      <c r="J1022" s="1" t="s">
        <v>8</v>
      </c>
      <c r="K1022" s="89">
        <v>13380</v>
      </c>
      <c r="L1022" s="3">
        <v>5.54</v>
      </c>
      <c r="M1022" s="3">
        <v>20.88</v>
      </c>
      <c r="N1022" s="3" t="s">
        <v>8</v>
      </c>
      <c r="O1022" s="3" t="s">
        <v>8</v>
      </c>
    </row>
    <row r="1023" spans="1:15" x14ac:dyDescent="0.35">
      <c r="A1023" s="5" t="str">
        <f>Loads[[#This Row],[Date]]&amp;Loads[[#This Row],[Product]]</f>
        <v>44224Product1</v>
      </c>
      <c r="B1023" s="5">
        <f>COUNTIF($A$1:A1023,Loads[[#This Row],[Load]])</f>
        <v>12</v>
      </c>
      <c r="C1023" s="3" t="str">
        <f>Loads[[#This Row],[Load]]&amp;Loads[[#This Row],[Count]]</f>
        <v>44224Product112</v>
      </c>
      <c r="D1023" s="90">
        <v>44224</v>
      </c>
      <c r="E1023" s="143">
        <v>0.97013888888888899</v>
      </c>
      <c r="F1023" s="1" t="s">
        <v>9</v>
      </c>
      <c r="G1023" s="2" t="s">
        <v>12</v>
      </c>
      <c r="H1023" s="2" t="s">
        <v>42</v>
      </c>
      <c r="I1023" s="1" t="s">
        <v>11</v>
      </c>
      <c r="J1023" s="1" t="s">
        <v>8</v>
      </c>
      <c r="K1023" s="89">
        <v>21260</v>
      </c>
      <c r="L1023" s="3">
        <v>5.43</v>
      </c>
      <c r="M1023" s="3">
        <v>21.24</v>
      </c>
      <c r="N1023" s="3" t="s">
        <v>8</v>
      </c>
      <c r="O1023" s="3" t="s">
        <v>8</v>
      </c>
    </row>
    <row r="1024" spans="1:15" x14ac:dyDescent="0.35">
      <c r="A1024" s="5" t="str">
        <f>Loads[[#This Row],[Date]]&amp;Loads[[#This Row],[Product]]</f>
        <v>44225Product1</v>
      </c>
      <c r="B1024" s="5">
        <f>COUNTIF($A$1:A1024,Loads[[#This Row],[Load]])</f>
        <v>1</v>
      </c>
      <c r="C1024" s="3" t="str">
        <f>Loads[[#This Row],[Load]]&amp;Loads[[#This Row],[Count]]</f>
        <v>44225Product11</v>
      </c>
      <c r="D1024" s="90">
        <v>44225</v>
      </c>
      <c r="E1024" s="143">
        <v>6.25E-2</v>
      </c>
      <c r="F1024" s="1" t="s">
        <v>9</v>
      </c>
      <c r="G1024" s="2" t="s">
        <v>12</v>
      </c>
      <c r="H1024" s="2" t="s">
        <v>42</v>
      </c>
      <c r="I1024" s="1" t="s">
        <v>11</v>
      </c>
      <c r="J1024" s="1" t="s">
        <v>8</v>
      </c>
      <c r="K1024" s="89">
        <v>24120</v>
      </c>
      <c r="L1024" s="3">
        <v>5.79</v>
      </c>
      <c r="M1024" s="3">
        <v>20.64</v>
      </c>
      <c r="N1024" s="3" t="s">
        <v>8</v>
      </c>
      <c r="O1024" s="3" t="s">
        <v>8</v>
      </c>
    </row>
    <row r="1025" spans="1:15" x14ac:dyDescent="0.35">
      <c r="A1025" s="5" t="str">
        <f>Loads[[#This Row],[Date]]&amp;Loads[[#This Row],[Product]]</f>
        <v>44225Product1</v>
      </c>
      <c r="B1025" s="5">
        <f>COUNTIF($A$1:A1025,Loads[[#This Row],[Load]])</f>
        <v>2</v>
      </c>
      <c r="C1025" s="3" t="str">
        <f>Loads[[#This Row],[Load]]&amp;Loads[[#This Row],[Count]]</f>
        <v>44225Product12</v>
      </c>
      <c r="D1025" s="90">
        <v>44225</v>
      </c>
      <c r="E1025" s="143">
        <v>0.11458333333333333</v>
      </c>
      <c r="F1025" s="1" t="s">
        <v>9</v>
      </c>
      <c r="G1025" s="2" t="s">
        <v>12</v>
      </c>
      <c r="H1025" s="2" t="s">
        <v>42</v>
      </c>
      <c r="I1025" s="1" t="s">
        <v>11</v>
      </c>
      <c r="J1025" s="1" t="s">
        <v>8</v>
      </c>
      <c r="K1025" s="89">
        <v>30020</v>
      </c>
      <c r="L1025" s="3">
        <v>7.38</v>
      </c>
      <c r="M1025" s="3">
        <v>20.350000000000001</v>
      </c>
      <c r="N1025" s="3" t="s">
        <v>8</v>
      </c>
      <c r="O1025" s="3" t="s">
        <v>8</v>
      </c>
    </row>
    <row r="1026" spans="1:15" x14ac:dyDescent="0.35">
      <c r="A1026" s="5" t="str">
        <f>Loads[[#This Row],[Date]]&amp;Loads[[#This Row],[Product]]</f>
        <v>44225Product1</v>
      </c>
      <c r="B1026" s="5">
        <f>COUNTIF($A$1:A1026,Loads[[#This Row],[Load]])</f>
        <v>3</v>
      </c>
      <c r="C1026" s="3" t="str">
        <f>Loads[[#This Row],[Load]]&amp;Loads[[#This Row],[Count]]</f>
        <v>44225Product13</v>
      </c>
      <c r="D1026" s="90">
        <v>44225</v>
      </c>
      <c r="E1026" s="143">
        <v>0.93541666666666667</v>
      </c>
      <c r="F1026" s="1" t="s">
        <v>9</v>
      </c>
      <c r="G1026" s="2" t="s">
        <v>12</v>
      </c>
      <c r="H1026" s="2" t="s">
        <v>42</v>
      </c>
      <c r="I1026" s="1" t="s">
        <v>11</v>
      </c>
      <c r="J1026" s="1" t="s">
        <v>8</v>
      </c>
      <c r="K1026" s="89">
        <v>18980</v>
      </c>
      <c r="L1026" s="3">
        <v>7.63</v>
      </c>
      <c r="M1026" s="3">
        <v>21.82</v>
      </c>
      <c r="N1026" s="3" t="s">
        <v>8</v>
      </c>
      <c r="O1026" s="3" t="s">
        <v>8</v>
      </c>
    </row>
    <row r="1027" spans="1:15" x14ac:dyDescent="0.35">
      <c r="A1027" s="5" t="str">
        <f>Loads[[#This Row],[Date]]&amp;Loads[[#This Row],[Product]]</f>
        <v>44225Product1</v>
      </c>
      <c r="B1027" s="5">
        <f>COUNTIF($A$1:A1027,Loads[[#This Row],[Load]])</f>
        <v>4</v>
      </c>
      <c r="C1027" s="3" t="str">
        <f>Loads[[#This Row],[Load]]&amp;Loads[[#This Row],[Count]]</f>
        <v>44225Product14</v>
      </c>
      <c r="D1027" s="90">
        <v>44225</v>
      </c>
      <c r="E1027" s="143">
        <v>0.93611111111111101</v>
      </c>
      <c r="F1027" s="1" t="s">
        <v>9</v>
      </c>
      <c r="G1027" s="2" t="s">
        <v>12</v>
      </c>
      <c r="H1027" s="2" t="s">
        <v>42</v>
      </c>
      <c r="I1027" s="1" t="s">
        <v>10</v>
      </c>
      <c r="J1027" s="1">
        <v>790</v>
      </c>
      <c r="K1027" s="89">
        <v>31220</v>
      </c>
      <c r="L1027" s="3">
        <v>7.75</v>
      </c>
      <c r="M1027" s="3">
        <v>21.12</v>
      </c>
      <c r="N1027" s="3" t="s">
        <v>8</v>
      </c>
      <c r="O1027" s="3" t="s">
        <v>8</v>
      </c>
    </row>
    <row r="1028" spans="1:15" x14ac:dyDescent="0.35">
      <c r="A1028" s="5" t="str">
        <f>Loads[[#This Row],[Date]]&amp;Loads[[#This Row],[Product]]</f>
        <v>44225Product1</v>
      </c>
      <c r="B1028" s="5">
        <f>COUNTIF($A$1:A1028,Loads[[#This Row],[Load]])</f>
        <v>5</v>
      </c>
      <c r="C1028" s="3" t="str">
        <f>Loads[[#This Row],[Load]]&amp;Loads[[#This Row],[Count]]</f>
        <v>44225Product15</v>
      </c>
      <c r="D1028" s="90">
        <v>44225</v>
      </c>
      <c r="E1028" s="143">
        <v>0.9375</v>
      </c>
      <c r="F1028" s="1" t="s">
        <v>9</v>
      </c>
      <c r="G1028" s="2" t="s">
        <v>12</v>
      </c>
      <c r="H1028" s="2" t="s">
        <v>42</v>
      </c>
      <c r="I1028" s="1" t="s">
        <v>11</v>
      </c>
      <c r="J1028" s="1" t="s">
        <v>8</v>
      </c>
      <c r="K1028" s="89">
        <v>31400</v>
      </c>
      <c r="L1028" s="3">
        <v>9.23</v>
      </c>
      <c r="M1028" s="3">
        <v>21.5</v>
      </c>
      <c r="N1028" s="3" t="s">
        <v>8</v>
      </c>
      <c r="O1028" s="3" t="s">
        <v>8</v>
      </c>
    </row>
    <row r="1029" spans="1:15" x14ac:dyDescent="0.35">
      <c r="A1029" s="5" t="str">
        <f>Loads[[#This Row],[Date]]&amp;Loads[[#This Row],[Product]]</f>
        <v>44225Product1</v>
      </c>
      <c r="B1029" s="5">
        <f>COUNTIF($A$1:A1029,Loads[[#This Row],[Load]])</f>
        <v>6</v>
      </c>
      <c r="C1029" s="3" t="str">
        <f>Loads[[#This Row],[Load]]&amp;Loads[[#This Row],[Count]]</f>
        <v>44225Product16</v>
      </c>
      <c r="D1029" s="90">
        <v>44225</v>
      </c>
      <c r="E1029" s="143">
        <v>0.9375</v>
      </c>
      <c r="F1029" s="1" t="s">
        <v>9</v>
      </c>
      <c r="G1029" s="2" t="s">
        <v>12</v>
      </c>
      <c r="H1029" s="2" t="s">
        <v>42</v>
      </c>
      <c r="I1029" s="1" t="s">
        <v>11</v>
      </c>
      <c r="J1029" s="1" t="s">
        <v>8</v>
      </c>
      <c r="K1029" s="89">
        <v>24380</v>
      </c>
      <c r="L1029" s="3">
        <v>4.88</v>
      </c>
      <c r="M1029" s="3">
        <v>21.09</v>
      </c>
      <c r="N1029" s="3" t="s">
        <v>8</v>
      </c>
      <c r="O1029" s="3" t="s">
        <v>8</v>
      </c>
    </row>
    <row r="1030" spans="1:15" x14ac:dyDescent="0.35">
      <c r="A1030" s="5" t="str">
        <f>Loads[[#This Row],[Date]]&amp;Loads[[#This Row],[Product]]</f>
        <v>44225Product1</v>
      </c>
      <c r="B1030" s="5">
        <f>COUNTIF($A$1:A1030,Loads[[#This Row],[Load]])</f>
        <v>7</v>
      </c>
      <c r="C1030" s="3" t="str">
        <f>Loads[[#This Row],[Load]]&amp;Loads[[#This Row],[Count]]</f>
        <v>44225Product17</v>
      </c>
      <c r="D1030" s="90">
        <v>44225</v>
      </c>
      <c r="E1030" s="143">
        <v>0.93958333333333333</v>
      </c>
      <c r="F1030" s="1" t="s">
        <v>9</v>
      </c>
      <c r="G1030" s="2" t="s">
        <v>12</v>
      </c>
      <c r="H1030" s="2" t="s">
        <v>42</v>
      </c>
      <c r="I1030" s="1" t="s">
        <v>11</v>
      </c>
      <c r="J1030" s="1" t="s">
        <v>8</v>
      </c>
      <c r="K1030" s="89">
        <v>21800</v>
      </c>
      <c r="L1030" s="3">
        <v>8.94</v>
      </c>
      <c r="M1030" s="3">
        <v>20.79</v>
      </c>
      <c r="N1030" s="3" t="s">
        <v>8</v>
      </c>
      <c r="O1030" s="3" t="s">
        <v>8</v>
      </c>
    </row>
    <row r="1031" spans="1:15" x14ac:dyDescent="0.35">
      <c r="A1031" s="5" t="str">
        <f>Loads[[#This Row],[Date]]&amp;Loads[[#This Row],[Product]]</f>
        <v>44225Product1</v>
      </c>
      <c r="B1031" s="5">
        <f>COUNTIF($A$1:A1031,Loads[[#This Row],[Load]])</f>
        <v>8</v>
      </c>
      <c r="C1031" s="3" t="str">
        <f>Loads[[#This Row],[Load]]&amp;Loads[[#This Row],[Count]]</f>
        <v>44225Product18</v>
      </c>
      <c r="D1031" s="90">
        <v>44225</v>
      </c>
      <c r="E1031" s="143">
        <v>0.93958333333333333</v>
      </c>
      <c r="F1031" s="1" t="s">
        <v>9</v>
      </c>
      <c r="G1031" s="2" t="s">
        <v>12</v>
      </c>
      <c r="H1031" s="2" t="s">
        <v>42</v>
      </c>
      <c r="I1031" s="1" t="s">
        <v>11</v>
      </c>
      <c r="J1031" s="1" t="s">
        <v>8</v>
      </c>
      <c r="K1031" s="89">
        <v>19240</v>
      </c>
      <c r="L1031" s="3">
        <v>9.6199999999999992</v>
      </c>
      <c r="M1031" s="3">
        <v>20.190000000000001</v>
      </c>
      <c r="N1031" s="3" t="s">
        <v>8</v>
      </c>
      <c r="O1031" s="3" t="s">
        <v>8</v>
      </c>
    </row>
    <row r="1032" spans="1:15" x14ac:dyDescent="0.35">
      <c r="A1032" s="5" t="str">
        <f>Loads[[#This Row],[Date]]&amp;Loads[[#This Row],[Product]]</f>
        <v>44225Product1</v>
      </c>
      <c r="B1032" s="5">
        <f>COUNTIF($A$1:A1032,Loads[[#This Row],[Load]])</f>
        <v>9</v>
      </c>
      <c r="C1032" s="3" t="str">
        <f>Loads[[#This Row],[Load]]&amp;Loads[[#This Row],[Count]]</f>
        <v>44225Product19</v>
      </c>
      <c r="D1032" s="90">
        <v>44225</v>
      </c>
      <c r="E1032" s="143">
        <v>0.94027777777777777</v>
      </c>
      <c r="F1032" s="1" t="s">
        <v>9</v>
      </c>
      <c r="G1032" s="2" t="s">
        <v>12</v>
      </c>
      <c r="H1032" s="2" t="s">
        <v>42</v>
      </c>
      <c r="I1032" s="1" t="s">
        <v>11</v>
      </c>
      <c r="J1032" s="1" t="s">
        <v>8</v>
      </c>
      <c r="K1032" s="89">
        <v>37280</v>
      </c>
      <c r="L1032" s="3">
        <v>9.52</v>
      </c>
      <c r="M1032" s="3">
        <v>19.649999999999999</v>
      </c>
      <c r="N1032" s="3" t="s">
        <v>8</v>
      </c>
      <c r="O1032" s="3" t="s">
        <v>8</v>
      </c>
    </row>
    <row r="1033" spans="1:15" x14ac:dyDescent="0.35">
      <c r="A1033" s="5" t="str">
        <f>Loads[[#This Row],[Date]]&amp;Loads[[#This Row],[Product]]</f>
        <v>44225Product1</v>
      </c>
      <c r="B1033" s="5">
        <f>COUNTIF($A$1:A1033,Loads[[#This Row],[Load]])</f>
        <v>10</v>
      </c>
      <c r="C1033" s="3" t="str">
        <f>Loads[[#This Row],[Load]]&amp;Loads[[#This Row],[Count]]</f>
        <v>44225Product110</v>
      </c>
      <c r="D1033" s="90">
        <v>44225</v>
      </c>
      <c r="E1033" s="143">
        <v>0.94097222222222221</v>
      </c>
      <c r="F1033" s="1" t="s">
        <v>9</v>
      </c>
      <c r="G1033" s="2" t="s">
        <v>12</v>
      </c>
      <c r="H1033" s="2" t="s">
        <v>42</v>
      </c>
      <c r="I1033" s="1" t="s">
        <v>11</v>
      </c>
      <c r="J1033" s="1" t="s">
        <v>8</v>
      </c>
      <c r="K1033" s="89">
        <v>26800</v>
      </c>
      <c r="L1033" s="3">
        <v>9.17</v>
      </c>
      <c r="M1033" s="3">
        <v>20.88</v>
      </c>
      <c r="N1033" s="3" t="s">
        <v>8</v>
      </c>
      <c r="O1033" s="3" t="s">
        <v>8</v>
      </c>
    </row>
    <row r="1034" spans="1:15" x14ac:dyDescent="0.35">
      <c r="A1034" s="5" t="str">
        <f>Loads[[#This Row],[Date]]&amp;Loads[[#This Row],[Product]]</f>
        <v>44225Product1</v>
      </c>
      <c r="B1034" s="5">
        <f>COUNTIF($A$1:A1034,Loads[[#This Row],[Load]])</f>
        <v>11</v>
      </c>
      <c r="C1034" s="3" t="str">
        <f>Loads[[#This Row],[Load]]&amp;Loads[[#This Row],[Count]]</f>
        <v>44225Product111</v>
      </c>
      <c r="D1034" s="90">
        <v>44225</v>
      </c>
      <c r="E1034" s="143">
        <v>0.95138888888888884</v>
      </c>
      <c r="F1034" s="1" t="s">
        <v>9</v>
      </c>
      <c r="G1034" s="2" t="s">
        <v>12</v>
      </c>
      <c r="H1034" s="2" t="s">
        <v>42</v>
      </c>
      <c r="I1034" s="1" t="s">
        <v>10</v>
      </c>
      <c r="J1034" s="1">
        <v>175</v>
      </c>
      <c r="K1034" s="89">
        <v>6960</v>
      </c>
      <c r="L1034" s="3">
        <v>8.3000000000000007</v>
      </c>
      <c r="M1034" s="3">
        <v>22.18</v>
      </c>
      <c r="N1034" s="3" t="s">
        <v>8</v>
      </c>
      <c r="O1034" s="3" t="s">
        <v>8</v>
      </c>
    </row>
    <row r="1035" spans="1:15" x14ac:dyDescent="0.35">
      <c r="A1035" s="5" t="str">
        <f>Loads[[#This Row],[Date]]&amp;Loads[[#This Row],[Product]]</f>
        <v>44226Product1</v>
      </c>
      <c r="B1035" s="5">
        <f>COUNTIF($A$1:A1035,Loads[[#This Row],[Load]])</f>
        <v>1</v>
      </c>
      <c r="C1035" s="3" t="str">
        <f>Loads[[#This Row],[Load]]&amp;Loads[[#This Row],[Count]]</f>
        <v>44226Product11</v>
      </c>
      <c r="D1035" s="90">
        <v>44226</v>
      </c>
      <c r="E1035" s="143">
        <v>0.97222222222222221</v>
      </c>
      <c r="F1035" s="1" t="s">
        <v>9</v>
      </c>
      <c r="G1035" s="2" t="s">
        <v>12</v>
      </c>
      <c r="H1035" s="2" t="s">
        <v>42</v>
      </c>
      <c r="I1035" s="1" t="s">
        <v>11</v>
      </c>
      <c r="J1035" s="1" t="s">
        <v>8</v>
      </c>
      <c r="K1035" s="89">
        <v>22980</v>
      </c>
      <c r="L1035" s="3">
        <v>7.86</v>
      </c>
      <c r="M1035" s="3">
        <v>20.420000000000002</v>
      </c>
      <c r="N1035" s="3" t="s">
        <v>8</v>
      </c>
      <c r="O1035" s="3" t="s">
        <v>8</v>
      </c>
    </row>
    <row r="1036" spans="1:15" x14ac:dyDescent="0.35">
      <c r="A1036" s="5" t="str">
        <f>Loads[[#This Row],[Date]]&amp;Loads[[#This Row],[Product]]</f>
        <v>44226Product1</v>
      </c>
      <c r="B1036" s="5">
        <f>COUNTIF($A$1:A1036,Loads[[#This Row],[Load]])</f>
        <v>2</v>
      </c>
      <c r="C1036" s="3" t="str">
        <f>Loads[[#This Row],[Load]]&amp;Loads[[#This Row],[Count]]</f>
        <v>44226Product12</v>
      </c>
      <c r="D1036" s="90">
        <v>44226</v>
      </c>
      <c r="E1036" s="143">
        <v>5.5555555555555552E-2</v>
      </c>
      <c r="F1036" s="1" t="s">
        <v>9</v>
      </c>
      <c r="G1036" s="2" t="s">
        <v>12</v>
      </c>
      <c r="H1036" s="2" t="s">
        <v>42</v>
      </c>
      <c r="I1036" s="1" t="s">
        <v>10</v>
      </c>
      <c r="J1036" s="1">
        <v>800</v>
      </c>
      <c r="K1036" s="89">
        <v>31660</v>
      </c>
      <c r="L1036" s="3">
        <v>9.3800000000000008</v>
      </c>
      <c r="M1036" s="3">
        <v>21.36</v>
      </c>
      <c r="N1036" s="3" t="s">
        <v>8</v>
      </c>
      <c r="O1036" s="3" t="s">
        <v>8</v>
      </c>
    </row>
    <row r="1037" spans="1:15" x14ac:dyDescent="0.35">
      <c r="A1037" s="5" t="str">
        <f>Loads[[#This Row],[Date]]&amp;Loads[[#This Row],[Product]]</f>
        <v>44226Product1</v>
      </c>
      <c r="B1037" s="5">
        <f>COUNTIF($A$1:A1037,Loads[[#This Row],[Load]])</f>
        <v>3</v>
      </c>
      <c r="C1037" s="3" t="str">
        <f>Loads[[#This Row],[Load]]&amp;Loads[[#This Row],[Count]]</f>
        <v>44226Product13</v>
      </c>
      <c r="D1037" s="90">
        <v>44226</v>
      </c>
      <c r="E1037" s="143">
        <v>9.7222222222222224E-2</v>
      </c>
      <c r="F1037" s="1" t="s">
        <v>9</v>
      </c>
      <c r="G1037" s="2" t="s">
        <v>12</v>
      </c>
      <c r="H1037" s="2" t="s">
        <v>42</v>
      </c>
      <c r="I1037" s="1" t="s">
        <v>11</v>
      </c>
      <c r="J1037" s="1" t="s">
        <v>8</v>
      </c>
      <c r="K1037" s="89">
        <v>31180</v>
      </c>
      <c r="L1037" s="3">
        <v>9.36</v>
      </c>
      <c r="M1037" s="3">
        <v>21.35</v>
      </c>
      <c r="N1037" s="3" t="s">
        <v>8</v>
      </c>
      <c r="O1037" s="3" t="s">
        <v>8</v>
      </c>
    </row>
    <row r="1038" spans="1:15" x14ac:dyDescent="0.35">
      <c r="A1038" s="5" t="str">
        <f>Loads[[#This Row],[Date]]&amp;Loads[[#This Row],[Product]]</f>
        <v>44226Product1</v>
      </c>
      <c r="B1038" s="5">
        <f>COUNTIF($A$1:A1038,Loads[[#This Row],[Load]])</f>
        <v>4</v>
      </c>
      <c r="C1038" s="3" t="str">
        <f>Loads[[#This Row],[Load]]&amp;Loads[[#This Row],[Count]]</f>
        <v>44226Product14</v>
      </c>
      <c r="D1038" s="90">
        <v>44226</v>
      </c>
      <c r="E1038" s="143">
        <v>0.27083333333333331</v>
      </c>
      <c r="F1038" s="1" t="s">
        <v>9</v>
      </c>
      <c r="G1038" s="2" t="s">
        <v>12</v>
      </c>
      <c r="H1038" s="2" t="s">
        <v>42</v>
      </c>
      <c r="I1038" s="1" t="s">
        <v>10</v>
      </c>
      <c r="J1038" s="1">
        <v>792</v>
      </c>
      <c r="K1038" s="89">
        <v>31260</v>
      </c>
      <c r="L1038" s="3">
        <v>9.2200000000000006</v>
      </c>
      <c r="M1038" s="3">
        <v>21.86</v>
      </c>
      <c r="N1038" s="3" t="s">
        <v>8</v>
      </c>
      <c r="O1038" s="3" t="s">
        <v>8</v>
      </c>
    </row>
    <row r="1039" spans="1:15" x14ac:dyDescent="0.35">
      <c r="A1039" s="5" t="str">
        <f>Loads[[#This Row],[Date]]&amp;Loads[[#This Row],[Product]]</f>
        <v>44226Product1</v>
      </c>
      <c r="B1039" s="5">
        <f>COUNTIF($A$1:A1039,Loads[[#This Row],[Load]])</f>
        <v>5</v>
      </c>
      <c r="C1039" s="3" t="str">
        <f>Loads[[#This Row],[Load]]&amp;Loads[[#This Row],[Count]]</f>
        <v>44226Product15</v>
      </c>
      <c r="D1039" s="90">
        <v>44226</v>
      </c>
      <c r="E1039" s="143">
        <v>0.95694444444444438</v>
      </c>
      <c r="F1039" s="1" t="s">
        <v>9</v>
      </c>
      <c r="G1039" s="2" t="s">
        <v>12</v>
      </c>
      <c r="H1039" s="2" t="s">
        <v>42</v>
      </c>
      <c r="I1039" s="1" t="s">
        <v>10</v>
      </c>
      <c r="J1039" s="1">
        <v>800</v>
      </c>
      <c r="K1039" s="89">
        <v>31620</v>
      </c>
      <c r="L1039" s="3">
        <v>8.36</v>
      </c>
      <c r="M1039" s="3">
        <v>21.63</v>
      </c>
      <c r="N1039" s="3" t="s">
        <v>8</v>
      </c>
      <c r="O1039" s="3" t="s">
        <v>8</v>
      </c>
    </row>
    <row r="1040" spans="1:15" x14ac:dyDescent="0.35">
      <c r="A1040" s="5" t="str">
        <f>Loads[[#This Row],[Date]]&amp;Loads[[#This Row],[Product]]</f>
        <v>44226Product1</v>
      </c>
      <c r="B1040" s="5">
        <f>COUNTIF($A$1:A1040,Loads[[#This Row],[Load]])</f>
        <v>6</v>
      </c>
      <c r="C1040" s="3" t="str">
        <f>Loads[[#This Row],[Load]]&amp;Loads[[#This Row],[Count]]</f>
        <v>44226Product16</v>
      </c>
      <c r="D1040" s="90">
        <v>44226</v>
      </c>
      <c r="E1040" s="143">
        <v>0.95833333333333337</v>
      </c>
      <c r="F1040" s="1" t="s">
        <v>9</v>
      </c>
      <c r="G1040" s="2" t="s">
        <v>12</v>
      </c>
      <c r="H1040" s="2" t="s">
        <v>42</v>
      </c>
      <c r="I1040" s="1" t="s">
        <v>10</v>
      </c>
      <c r="J1040" s="1">
        <v>657</v>
      </c>
      <c r="K1040" s="89">
        <v>26000</v>
      </c>
      <c r="L1040" s="3">
        <v>8.91</v>
      </c>
      <c r="M1040" s="3">
        <v>22.61</v>
      </c>
      <c r="N1040" s="3" t="s">
        <v>8</v>
      </c>
      <c r="O1040" s="3" t="s">
        <v>8</v>
      </c>
    </row>
    <row r="1041" spans="1:15" x14ac:dyDescent="0.35">
      <c r="A1041" s="5" t="str">
        <f>Loads[[#This Row],[Date]]&amp;Loads[[#This Row],[Product]]</f>
        <v>44226Product1</v>
      </c>
      <c r="B1041" s="5">
        <f>COUNTIF($A$1:A1041,Loads[[#This Row],[Load]])</f>
        <v>7</v>
      </c>
      <c r="C1041" s="3" t="str">
        <f>Loads[[#This Row],[Load]]&amp;Loads[[#This Row],[Count]]</f>
        <v>44226Product17</v>
      </c>
      <c r="D1041" s="90">
        <v>44226</v>
      </c>
      <c r="E1041" s="143">
        <v>0.95972222222222225</v>
      </c>
      <c r="F1041" s="1" t="s">
        <v>9</v>
      </c>
      <c r="G1041" s="2" t="s">
        <v>12</v>
      </c>
      <c r="H1041" s="2" t="s">
        <v>42</v>
      </c>
      <c r="I1041" s="1" t="s">
        <v>11</v>
      </c>
      <c r="J1041" s="1" t="s">
        <v>8</v>
      </c>
      <c r="K1041" s="89">
        <v>19940</v>
      </c>
      <c r="L1041" s="3">
        <v>8.99</v>
      </c>
      <c r="M1041" s="3">
        <v>22.33</v>
      </c>
      <c r="N1041" s="3" t="s">
        <v>8</v>
      </c>
      <c r="O1041" s="3" t="s">
        <v>8</v>
      </c>
    </row>
    <row r="1042" spans="1:15" x14ac:dyDescent="0.35">
      <c r="A1042" s="5" t="str">
        <f>Loads[[#This Row],[Date]]&amp;Loads[[#This Row],[Product]]</f>
        <v>44226Product1</v>
      </c>
      <c r="B1042" s="5">
        <f>COUNTIF($A$1:A1042,Loads[[#This Row],[Load]])</f>
        <v>8</v>
      </c>
      <c r="C1042" s="3" t="str">
        <f>Loads[[#This Row],[Load]]&amp;Loads[[#This Row],[Count]]</f>
        <v>44226Product18</v>
      </c>
      <c r="D1042" s="90">
        <v>44226</v>
      </c>
      <c r="E1042" s="143">
        <v>0.9604166666666667</v>
      </c>
      <c r="F1042" s="1" t="s">
        <v>9</v>
      </c>
      <c r="G1042" s="2" t="s">
        <v>12</v>
      </c>
      <c r="H1042" s="2" t="s">
        <v>42</v>
      </c>
      <c r="I1042" s="1" t="s">
        <v>11</v>
      </c>
      <c r="J1042" s="1" t="s">
        <v>8</v>
      </c>
      <c r="K1042" s="89">
        <v>21120</v>
      </c>
      <c r="L1042" s="3">
        <v>8.76</v>
      </c>
      <c r="M1042" s="3">
        <v>22</v>
      </c>
      <c r="N1042" s="3" t="s">
        <v>8</v>
      </c>
      <c r="O1042" s="3" t="s">
        <v>8</v>
      </c>
    </row>
    <row r="1043" spans="1:15" x14ac:dyDescent="0.35">
      <c r="A1043" s="5" t="str">
        <f>Loads[[#This Row],[Date]]&amp;Loads[[#This Row],[Product]]</f>
        <v>44226Product1</v>
      </c>
      <c r="B1043" s="5">
        <f>COUNTIF($A$1:A1043,Loads[[#This Row],[Load]])</f>
        <v>9</v>
      </c>
      <c r="C1043" s="3" t="str">
        <f>Loads[[#This Row],[Load]]&amp;Loads[[#This Row],[Count]]</f>
        <v>44226Product19</v>
      </c>
      <c r="D1043" s="90">
        <v>44226</v>
      </c>
      <c r="E1043" s="143">
        <v>0.96180555555555547</v>
      </c>
      <c r="F1043" s="1" t="s">
        <v>9</v>
      </c>
      <c r="G1043" s="2" t="s">
        <v>12</v>
      </c>
      <c r="H1043" s="2" t="s">
        <v>42</v>
      </c>
      <c r="I1043" s="1" t="s">
        <v>11</v>
      </c>
      <c r="J1043" s="1" t="s">
        <v>8</v>
      </c>
      <c r="K1043" s="89">
        <v>18640</v>
      </c>
      <c r="L1043" s="3">
        <v>9.5399999999999991</v>
      </c>
      <c r="M1043" s="3">
        <v>22.12</v>
      </c>
      <c r="N1043" s="3" t="s">
        <v>8</v>
      </c>
      <c r="O1043" s="3" t="s">
        <v>8</v>
      </c>
    </row>
    <row r="1044" spans="1:15" x14ac:dyDescent="0.35">
      <c r="A1044" s="5" t="str">
        <f>Loads[[#This Row],[Date]]&amp;Loads[[#This Row],[Product]]</f>
        <v>44226Product1</v>
      </c>
      <c r="B1044" s="5">
        <f>COUNTIF($A$1:A1044,Loads[[#This Row],[Load]])</f>
        <v>10</v>
      </c>
      <c r="C1044" s="3" t="str">
        <f>Loads[[#This Row],[Load]]&amp;Loads[[#This Row],[Count]]</f>
        <v>44226Product110</v>
      </c>
      <c r="D1044" s="90">
        <v>44226</v>
      </c>
      <c r="E1044" s="143">
        <v>0.96180555555555547</v>
      </c>
      <c r="F1044" s="1" t="s">
        <v>9</v>
      </c>
      <c r="G1044" s="2" t="s">
        <v>12</v>
      </c>
      <c r="H1044" s="2" t="s">
        <v>42</v>
      </c>
      <c r="I1044" s="1" t="s">
        <v>11</v>
      </c>
      <c r="J1044" s="1" t="s">
        <v>8</v>
      </c>
      <c r="K1044" s="89">
        <v>28180</v>
      </c>
      <c r="L1044" s="3">
        <v>9.2100000000000009</v>
      </c>
      <c r="M1044" s="3">
        <v>22.38</v>
      </c>
      <c r="N1044" s="3" t="s">
        <v>8</v>
      </c>
      <c r="O1044" s="3" t="s">
        <v>8</v>
      </c>
    </row>
    <row r="1045" spans="1:15" x14ac:dyDescent="0.35">
      <c r="A1045" s="5" t="str">
        <f>Loads[[#This Row],[Date]]&amp;Loads[[#This Row],[Product]]</f>
        <v>44226Product1</v>
      </c>
      <c r="B1045" s="5">
        <f>COUNTIF($A$1:A1045,Loads[[#This Row],[Load]])</f>
        <v>11</v>
      </c>
      <c r="C1045" s="3" t="str">
        <f>Loads[[#This Row],[Load]]&amp;Loads[[#This Row],[Count]]</f>
        <v>44226Product111</v>
      </c>
      <c r="D1045" s="90">
        <v>44226</v>
      </c>
      <c r="E1045" s="143">
        <v>0.96388888888888891</v>
      </c>
      <c r="F1045" s="1" t="s">
        <v>9</v>
      </c>
      <c r="G1045" s="2" t="s">
        <v>12</v>
      </c>
      <c r="H1045" s="2" t="s">
        <v>42</v>
      </c>
      <c r="I1045" s="1" t="s">
        <v>10</v>
      </c>
      <c r="J1045" s="1">
        <v>790</v>
      </c>
      <c r="K1045" s="89">
        <v>31660</v>
      </c>
      <c r="L1045" s="3">
        <v>9.7100000000000009</v>
      </c>
      <c r="M1045" s="3">
        <v>21.22</v>
      </c>
      <c r="N1045" s="3" t="s">
        <v>8</v>
      </c>
      <c r="O1045" s="3" t="s">
        <v>8</v>
      </c>
    </row>
    <row r="1046" spans="1:15" x14ac:dyDescent="0.35">
      <c r="A1046" s="5" t="str">
        <f>Loads[[#This Row],[Date]]&amp;Loads[[#This Row],[Product]]</f>
        <v>44226Product1</v>
      </c>
      <c r="B1046" s="5">
        <f>COUNTIF($A$1:A1046,Loads[[#This Row],[Load]])</f>
        <v>12</v>
      </c>
      <c r="C1046" s="3" t="str">
        <f>Loads[[#This Row],[Load]]&amp;Loads[[#This Row],[Count]]</f>
        <v>44226Product112</v>
      </c>
      <c r="D1046" s="90">
        <v>44226</v>
      </c>
      <c r="E1046" s="143">
        <v>0.96388888888888891</v>
      </c>
      <c r="F1046" s="1" t="s">
        <v>9</v>
      </c>
      <c r="G1046" s="2" t="s">
        <v>12</v>
      </c>
      <c r="H1046" s="2" t="s">
        <v>42</v>
      </c>
      <c r="I1046" s="1" t="s">
        <v>11</v>
      </c>
      <c r="J1046" s="1" t="s">
        <v>8</v>
      </c>
      <c r="K1046" s="89">
        <v>23920</v>
      </c>
      <c r="L1046" s="3">
        <v>9.48</v>
      </c>
      <c r="M1046" s="3">
        <v>22.13</v>
      </c>
      <c r="N1046" s="3" t="s">
        <v>8</v>
      </c>
      <c r="O1046" s="3" t="s">
        <v>8</v>
      </c>
    </row>
    <row r="1047" spans="1:15" x14ac:dyDescent="0.35">
      <c r="A1047" s="5" t="str">
        <f>Loads[[#This Row],[Date]]&amp;Loads[[#This Row],[Product]]</f>
        <v>44226Product1</v>
      </c>
      <c r="B1047" s="5">
        <f>COUNTIF($A$1:A1047,Loads[[#This Row],[Load]])</f>
        <v>13</v>
      </c>
      <c r="C1047" s="3" t="str">
        <f>Loads[[#This Row],[Load]]&amp;Loads[[#This Row],[Count]]</f>
        <v>44226Product113</v>
      </c>
      <c r="D1047" s="90">
        <v>44226</v>
      </c>
      <c r="E1047" s="143">
        <v>0.96458333333333324</v>
      </c>
      <c r="F1047" s="1" t="s">
        <v>9</v>
      </c>
      <c r="G1047" s="2" t="s">
        <v>12</v>
      </c>
      <c r="H1047" s="2" t="s">
        <v>42</v>
      </c>
      <c r="I1047" s="1" t="s">
        <v>10</v>
      </c>
      <c r="J1047" s="1">
        <v>795</v>
      </c>
      <c r="K1047" s="89">
        <v>31280</v>
      </c>
      <c r="L1047" s="3">
        <v>9.83</v>
      </c>
      <c r="M1047" s="3">
        <v>21.39</v>
      </c>
      <c r="N1047" s="3" t="s">
        <v>8</v>
      </c>
      <c r="O1047" s="3" t="s">
        <v>8</v>
      </c>
    </row>
    <row r="1048" spans="1:15" x14ac:dyDescent="0.35">
      <c r="A1048" s="5" t="str">
        <f>Loads[[#This Row],[Date]]&amp;Loads[[#This Row],[Product]]</f>
        <v>44226Product1</v>
      </c>
      <c r="B1048" s="5">
        <f>COUNTIF($A$1:A1048,Loads[[#This Row],[Load]])</f>
        <v>14</v>
      </c>
      <c r="C1048" s="3" t="str">
        <f>Loads[[#This Row],[Load]]&amp;Loads[[#This Row],[Count]]</f>
        <v>44226Product114</v>
      </c>
      <c r="D1048" s="90">
        <v>44226</v>
      </c>
      <c r="E1048" s="143">
        <v>0.98333333333333339</v>
      </c>
      <c r="F1048" s="1" t="s">
        <v>9</v>
      </c>
      <c r="G1048" s="2" t="s">
        <v>12</v>
      </c>
      <c r="H1048" s="2" t="s">
        <v>42</v>
      </c>
      <c r="I1048" s="1" t="s">
        <v>11</v>
      </c>
      <c r="J1048" s="1" t="s">
        <v>8</v>
      </c>
      <c r="K1048" s="89">
        <v>24380</v>
      </c>
      <c r="L1048" s="3">
        <v>8.51</v>
      </c>
      <c r="M1048" s="3">
        <v>21</v>
      </c>
      <c r="N1048" s="3" t="s">
        <v>8</v>
      </c>
      <c r="O1048" s="3" t="s">
        <v>8</v>
      </c>
    </row>
    <row r="1049" spans="1:15" x14ac:dyDescent="0.35">
      <c r="A1049" s="5" t="str">
        <f>Loads[[#This Row],[Date]]&amp;Loads[[#This Row],[Product]]</f>
        <v>44226Product1</v>
      </c>
      <c r="B1049" s="5">
        <f>COUNTIF($A$1:A1049,Loads[[#This Row],[Load]])</f>
        <v>15</v>
      </c>
      <c r="C1049" s="3" t="str">
        <f>Loads[[#This Row],[Load]]&amp;Loads[[#This Row],[Count]]</f>
        <v>44226Product115</v>
      </c>
      <c r="D1049" s="90">
        <v>44226</v>
      </c>
      <c r="E1049" s="143">
        <v>0.98402777777777783</v>
      </c>
      <c r="F1049" s="1" t="s">
        <v>9</v>
      </c>
      <c r="G1049" s="2" t="s">
        <v>12</v>
      </c>
      <c r="H1049" s="2" t="s">
        <v>42</v>
      </c>
      <c r="I1049" s="1" t="s">
        <v>11</v>
      </c>
      <c r="J1049" s="1" t="s">
        <v>8</v>
      </c>
      <c r="K1049" s="89">
        <v>32260</v>
      </c>
      <c r="L1049" s="3">
        <v>8.81</v>
      </c>
      <c r="M1049" s="3">
        <v>20.72</v>
      </c>
      <c r="N1049" s="3" t="s">
        <v>8</v>
      </c>
      <c r="O1049" s="3" t="s">
        <v>8</v>
      </c>
    </row>
    <row r="1050" spans="1:15" x14ac:dyDescent="0.35">
      <c r="A1050" s="5" t="str">
        <f>Loads[[#This Row],[Date]]&amp;Loads[[#This Row],[Product]]</f>
        <v>44227Product1</v>
      </c>
      <c r="B1050" s="5">
        <f>COUNTIF($A$1:A1050,Loads[[#This Row],[Load]])</f>
        <v>1</v>
      </c>
      <c r="C1050" s="3" t="str">
        <f>Loads[[#This Row],[Load]]&amp;Loads[[#This Row],[Count]]</f>
        <v>44227Product11</v>
      </c>
      <c r="D1050" s="90">
        <v>44227</v>
      </c>
      <c r="E1050" s="143">
        <v>0</v>
      </c>
      <c r="F1050" s="1" t="s">
        <v>9</v>
      </c>
      <c r="G1050" s="2" t="s">
        <v>12</v>
      </c>
      <c r="H1050" s="2" t="s">
        <v>42</v>
      </c>
      <c r="I1050" s="1" t="s">
        <v>11</v>
      </c>
      <c r="J1050" s="1" t="s">
        <v>8</v>
      </c>
      <c r="K1050" s="89">
        <v>24280</v>
      </c>
      <c r="L1050" s="3">
        <v>9.5</v>
      </c>
      <c r="M1050" s="3">
        <v>21.81</v>
      </c>
      <c r="N1050" s="3" t="s">
        <v>8</v>
      </c>
      <c r="O1050" s="3" t="s">
        <v>8</v>
      </c>
    </row>
    <row r="1051" spans="1:15" x14ac:dyDescent="0.35">
      <c r="A1051" s="5" t="str">
        <f>Loads[[#This Row],[Date]]&amp;Loads[[#This Row],[Product]]</f>
        <v>44227Product1</v>
      </c>
      <c r="B1051" s="5">
        <f>COUNTIF($A$1:A1051,Loads[[#This Row],[Load]])</f>
        <v>2</v>
      </c>
      <c r="C1051" s="3" t="str">
        <f>Loads[[#This Row],[Load]]&amp;Loads[[#This Row],[Count]]</f>
        <v>44227Product12</v>
      </c>
      <c r="D1051" s="90">
        <v>44227</v>
      </c>
      <c r="E1051" s="143">
        <v>9.7222222222222224E-2</v>
      </c>
      <c r="F1051" s="1" t="s">
        <v>9</v>
      </c>
      <c r="G1051" s="2" t="s">
        <v>12</v>
      </c>
      <c r="H1051" s="2" t="s">
        <v>42</v>
      </c>
      <c r="I1051" s="1" t="s">
        <v>11</v>
      </c>
      <c r="J1051" s="1" t="s">
        <v>8</v>
      </c>
      <c r="K1051" s="89">
        <v>27460</v>
      </c>
      <c r="L1051" s="3">
        <v>8.93</v>
      </c>
      <c r="M1051" s="3">
        <v>23.06</v>
      </c>
      <c r="N1051" s="3" t="s">
        <v>8</v>
      </c>
      <c r="O1051" s="3" t="s">
        <v>8</v>
      </c>
    </row>
    <row r="1052" spans="1:15" x14ac:dyDescent="0.35">
      <c r="A1052" s="5" t="str">
        <f>Loads[[#This Row],[Date]]&amp;Loads[[#This Row],[Product]]</f>
        <v>44227Product1</v>
      </c>
      <c r="B1052" s="5">
        <f>COUNTIF($A$1:A1052,Loads[[#This Row],[Load]])</f>
        <v>3</v>
      </c>
      <c r="C1052" s="3" t="str">
        <f>Loads[[#This Row],[Load]]&amp;Loads[[#This Row],[Count]]</f>
        <v>44227Product13</v>
      </c>
      <c r="D1052" s="90">
        <v>44227</v>
      </c>
      <c r="E1052" s="143">
        <v>0.14583333333333334</v>
      </c>
      <c r="F1052" s="1" t="s">
        <v>9</v>
      </c>
      <c r="G1052" s="2" t="s">
        <v>12</v>
      </c>
      <c r="H1052" s="2" t="s">
        <v>42</v>
      </c>
      <c r="I1052" s="1" t="s">
        <v>11</v>
      </c>
      <c r="J1052" s="1" t="s">
        <v>8</v>
      </c>
      <c r="K1052" s="89">
        <v>22280</v>
      </c>
      <c r="L1052" s="3">
        <v>9.18</v>
      </c>
      <c r="M1052" s="3">
        <v>22.99</v>
      </c>
      <c r="N1052" s="3" t="s">
        <v>8</v>
      </c>
      <c r="O1052" s="3" t="s">
        <v>8</v>
      </c>
    </row>
    <row r="1053" spans="1:15" x14ac:dyDescent="0.35">
      <c r="A1053" s="5" t="str">
        <f>Loads[[#This Row],[Date]]&amp;Loads[[#This Row],[Product]]</f>
        <v>44227Product1</v>
      </c>
      <c r="B1053" s="5">
        <f>COUNTIF($A$1:A1053,Loads[[#This Row],[Load]])</f>
        <v>4</v>
      </c>
      <c r="C1053" s="3" t="str">
        <f>Loads[[#This Row],[Load]]&amp;Loads[[#This Row],[Count]]</f>
        <v>44227Product14</v>
      </c>
      <c r="D1053" s="90">
        <v>44227</v>
      </c>
      <c r="E1053" s="143">
        <v>0.75624999999999998</v>
      </c>
      <c r="F1053" s="1" t="s">
        <v>9</v>
      </c>
      <c r="G1053" s="2" t="s">
        <v>12</v>
      </c>
      <c r="H1053" s="2" t="s">
        <v>42</v>
      </c>
      <c r="I1053" s="1" t="s">
        <v>11</v>
      </c>
      <c r="J1053" s="1" t="s">
        <v>8</v>
      </c>
      <c r="K1053" s="89">
        <v>31240</v>
      </c>
      <c r="L1053" s="3">
        <v>8.84</v>
      </c>
      <c r="M1053" s="3">
        <v>21.38</v>
      </c>
      <c r="N1053" s="3" t="s">
        <v>8</v>
      </c>
      <c r="O1053" s="3" t="s">
        <v>8</v>
      </c>
    </row>
    <row r="1054" spans="1:15" x14ac:dyDescent="0.35">
      <c r="A1054" s="5" t="str">
        <f>Loads[[#This Row],[Date]]&amp;Loads[[#This Row],[Product]]</f>
        <v>44227Product1</v>
      </c>
      <c r="B1054" s="5">
        <f>COUNTIF($A$1:A1054,Loads[[#This Row],[Load]])</f>
        <v>5</v>
      </c>
      <c r="C1054" s="3" t="str">
        <f>Loads[[#This Row],[Load]]&amp;Loads[[#This Row],[Count]]</f>
        <v>44227Product15</v>
      </c>
      <c r="D1054" s="90">
        <v>44227</v>
      </c>
      <c r="E1054" s="143">
        <v>0.75694444444444453</v>
      </c>
      <c r="F1054" s="1" t="s">
        <v>9</v>
      </c>
      <c r="G1054" s="2" t="s">
        <v>12</v>
      </c>
      <c r="H1054" s="2" t="s">
        <v>42</v>
      </c>
      <c r="I1054" s="1" t="s">
        <v>10</v>
      </c>
      <c r="J1054" s="1">
        <v>440</v>
      </c>
      <c r="K1054" s="89">
        <v>17500</v>
      </c>
      <c r="L1054" s="3">
        <v>8.93</v>
      </c>
      <c r="M1054" s="3">
        <v>21.76</v>
      </c>
      <c r="N1054" s="3" t="s">
        <v>8</v>
      </c>
      <c r="O1054" s="3" t="s">
        <v>8</v>
      </c>
    </row>
    <row r="1055" spans="1:15" x14ac:dyDescent="0.35">
      <c r="A1055" s="5" t="str">
        <f>Loads[[#This Row],[Date]]&amp;Loads[[#This Row],[Product]]</f>
        <v>44227Product1</v>
      </c>
      <c r="B1055" s="5">
        <f>COUNTIF($A$1:A1055,Loads[[#This Row],[Load]])</f>
        <v>6</v>
      </c>
      <c r="C1055" s="3" t="str">
        <f>Loads[[#This Row],[Load]]&amp;Loads[[#This Row],[Count]]</f>
        <v>44227Product16</v>
      </c>
      <c r="D1055" s="90">
        <v>44227</v>
      </c>
      <c r="E1055" s="143">
        <v>0.75763888888888886</v>
      </c>
      <c r="F1055" s="1" t="s">
        <v>9</v>
      </c>
      <c r="G1055" s="2" t="s">
        <v>12</v>
      </c>
      <c r="H1055" s="2" t="s">
        <v>42</v>
      </c>
      <c r="I1055" s="1" t="s">
        <v>10</v>
      </c>
      <c r="J1055" s="1">
        <v>800</v>
      </c>
      <c r="K1055" s="89">
        <v>31640</v>
      </c>
      <c r="L1055" s="3">
        <v>8.69</v>
      </c>
      <c r="M1055" s="3">
        <v>21.37</v>
      </c>
      <c r="N1055" s="3" t="s">
        <v>8</v>
      </c>
      <c r="O1055" s="3" t="s">
        <v>8</v>
      </c>
    </row>
    <row r="1056" spans="1:15" x14ac:dyDescent="0.35">
      <c r="A1056" s="5" t="str">
        <f>Loads[[#This Row],[Date]]&amp;Loads[[#This Row],[Product]]</f>
        <v>44227Product1</v>
      </c>
      <c r="B1056" s="5">
        <f>COUNTIF($A$1:A1056,Loads[[#This Row],[Load]])</f>
        <v>7</v>
      </c>
      <c r="C1056" s="3" t="str">
        <f>Loads[[#This Row],[Load]]&amp;Loads[[#This Row],[Count]]</f>
        <v>44227Product17</v>
      </c>
      <c r="D1056" s="90">
        <v>44227</v>
      </c>
      <c r="E1056" s="143">
        <v>0.7583333333333333</v>
      </c>
      <c r="F1056" s="1" t="s">
        <v>9</v>
      </c>
      <c r="G1056" s="2" t="s">
        <v>12</v>
      </c>
      <c r="H1056" s="2" t="s">
        <v>42</v>
      </c>
      <c r="I1056" s="1" t="s">
        <v>11</v>
      </c>
      <c r="J1056" s="1" t="s">
        <v>8</v>
      </c>
      <c r="K1056" s="89">
        <v>20240</v>
      </c>
      <c r="L1056" s="3">
        <v>8.92</v>
      </c>
      <c r="M1056" s="3">
        <v>21.75</v>
      </c>
      <c r="N1056" s="3" t="s">
        <v>8</v>
      </c>
      <c r="O1056" s="3" t="s">
        <v>8</v>
      </c>
    </row>
    <row r="1057" spans="1:15" x14ac:dyDescent="0.35">
      <c r="A1057" s="5" t="str">
        <f>Loads[[#This Row],[Date]]&amp;Loads[[#This Row],[Product]]</f>
        <v>44227Product1</v>
      </c>
      <c r="B1057" s="5">
        <f>COUNTIF($A$1:A1057,Loads[[#This Row],[Load]])</f>
        <v>8</v>
      </c>
      <c r="C1057" s="3" t="str">
        <f>Loads[[#This Row],[Load]]&amp;Loads[[#This Row],[Count]]</f>
        <v>44227Product18</v>
      </c>
      <c r="D1057" s="90">
        <v>44227</v>
      </c>
      <c r="E1057" s="143">
        <v>0.75902777777777775</v>
      </c>
      <c r="F1057" s="1" t="s">
        <v>9</v>
      </c>
      <c r="G1057" s="2" t="s">
        <v>12</v>
      </c>
      <c r="H1057" s="2" t="s">
        <v>42</v>
      </c>
      <c r="I1057" s="1" t="s">
        <v>11</v>
      </c>
      <c r="J1057" s="1" t="s">
        <v>8</v>
      </c>
      <c r="K1057" s="89">
        <v>25760</v>
      </c>
      <c r="L1057" s="3">
        <v>8.81</v>
      </c>
      <c r="M1057" s="3">
        <v>21.81</v>
      </c>
      <c r="N1057" s="3" t="s">
        <v>8</v>
      </c>
      <c r="O1057" s="3" t="s">
        <v>8</v>
      </c>
    </row>
    <row r="1058" spans="1:15" x14ac:dyDescent="0.35">
      <c r="A1058" s="5" t="str">
        <f>Loads[[#This Row],[Date]]&amp;Loads[[#This Row],[Product]]</f>
        <v>44227Product1</v>
      </c>
      <c r="B1058" s="5">
        <f>COUNTIF($A$1:A1058,Loads[[#This Row],[Load]])</f>
        <v>9</v>
      </c>
      <c r="C1058" s="3" t="str">
        <f>Loads[[#This Row],[Load]]&amp;Loads[[#This Row],[Count]]</f>
        <v>44227Product19</v>
      </c>
      <c r="D1058" s="90">
        <v>44227</v>
      </c>
      <c r="E1058" s="143">
        <v>0.73611111111111116</v>
      </c>
      <c r="F1058" s="1" t="s">
        <v>9</v>
      </c>
      <c r="G1058" s="2" t="s">
        <v>12</v>
      </c>
      <c r="H1058" s="2" t="s">
        <v>42</v>
      </c>
      <c r="I1058" s="1" t="s">
        <v>11</v>
      </c>
      <c r="J1058" s="1" t="s">
        <v>8</v>
      </c>
      <c r="K1058" s="89">
        <v>27620</v>
      </c>
      <c r="L1058" s="3">
        <v>9.49</v>
      </c>
      <c r="M1058" s="3">
        <v>21.2</v>
      </c>
      <c r="N1058" s="3" t="s">
        <v>8</v>
      </c>
      <c r="O1058" s="3" t="s">
        <v>8</v>
      </c>
    </row>
    <row r="1059" spans="1:15" x14ac:dyDescent="0.35">
      <c r="A1059" s="5" t="str">
        <f>Loads[[#This Row],[Date]]&amp;Loads[[#This Row],[Product]]</f>
        <v>44227Product1</v>
      </c>
      <c r="B1059" s="5">
        <f>COUNTIF($A$1:A1059,Loads[[#This Row],[Load]])</f>
        <v>10</v>
      </c>
      <c r="C1059" s="3" t="str">
        <f>Loads[[#This Row],[Load]]&amp;Loads[[#This Row],[Count]]</f>
        <v>44227Product110</v>
      </c>
      <c r="D1059" s="90">
        <v>44227</v>
      </c>
      <c r="E1059" s="143">
        <v>0.83333333333333337</v>
      </c>
      <c r="F1059" s="1" t="s">
        <v>9</v>
      </c>
      <c r="G1059" s="2" t="s">
        <v>12</v>
      </c>
      <c r="H1059" s="2" t="s">
        <v>42</v>
      </c>
      <c r="I1059" s="1" t="s">
        <v>10</v>
      </c>
      <c r="J1059" s="1">
        <v>800</v>
      </c>
      <c r="K1059" s="89">
        <v>31820</v>
      </c>
      <c r="L1059" s="3">
        <v>9.2899999999999991</v>
      </c>
      <c r="M1059" s="3">
        <v>21.02</v>
      </c>
      <c r="N1059" s="3" t="s">
        <v>8</v>
      </c>
      <c r="O1059" s="3" t="s">
        <v>8</v>
      </c>
    </row>
    <row r="1060" spans="1:15" x14ac:dyDescent="0.35">
      <c r="A1060" s="5" t="str">
        <f>Loads[[#This Row],[Date]]&amp;Loads[[#This Row],[Product]]</f>
        <v>44227Product1</v>
      </c>
      <c r="B1060" s="5">
        <f>COUNTIF($A$1:A1060,Loads[[#This Row],[Load]])</f>
        <v>11</v>
      </c>
      <c r="C1060" s="3" t="str">
        <f>Loads[[#This Row],[Load]]&amp;Loads[[#This Row],[Count]]</f>
        <v>44227Product111</v>
      </c>
      <c r="D1060" s="90">
        <v>44227</v>
      </c>
      <c r="E1060" s="143">
        <v>0.8125</v>
      </c>
      <c r="F1060" s="1" t="s">
        <v>9</v>
      </c>
      <c r="G1060" s="2" t="s">
        <v>12</v>
      </c>
      <c r="H1060" s="2" t="s">
        <v>42</v>
      </c>
      <c r="I1060" s="1" t="s">
        <v>11</v>
      </c>
      <c r="J1060" s="1" t="s">
        <v>8</v>
      </c>
      <c r="K1060" s="89">
        <v>24500</v>
      </c>
      <c r="L1060" s="3">
        <v>9.4499999999999993</v>
      </c>
      <c r="M1060" s="3">
        <v>21.49</v>
      </c>
      <c r="N1060" s="3" t="s">
        <v>8</v>
      </c>
      <c r="O1060" s="3" t="s">
        <v>8</v>
      </c>
    </row>
    <row r="1061" spans="1:15" x14ac:dyDescent="0.35">
      <c r="A1061" s="5" t="str">
        <f>Loads[[#This Row],[Date]]&amp;Loads[[#This Row],[Product]]</f>
        <v>44228Product1</v>
      </c>
      <c r="B1061" s="5">
        <f>COUNTIF($A$1:A1061,Loads[[#This Row],[Load]])</f>
        <v>1</v>
      </c>
      <c r="C1061" s="3" t="str">
        <f>Loads[[#This Row],[Load]]&amp;Loads[[#This Row],[Count]]</f>
        <v>44228Product11</v>
      </c>
      <c r="D1061" s="90">
        <v>44228</v>
      </c>
      <c r="E1061" s="143">
        <v>0.76250000000000007</v>
      </c>
      <c r="F1061" s="1" t="s">
        <v>9</v>
      </c>
      <c r="G1061" s="2" t="s">
        <v>12</v>
      </c>
      <c r="H1061" s="2" t="s">
        <v>42</v>
      </c>
      <c r="I1061" s="1" t="s">
        <v>11</v>
      </c>
      <c r="J1061" s="1" t="s">
        <v>8</v>
      </c>
      <c r="K1061" s="89">
        <v>30820</v>
      </c>
      <c r="L1061" s="3">
        <v>9.1199999999999992</v>
      </c>
      <c r="M1061" s="3">
        <v>21.16</v>
      </c>
      <c r="N1061" s="3" t="s">
        <v>8</v>
      </c>
      <c r="O1061" s="3" t="s">
        <v>8</v>
      </c>
    </row>
    <row r="1062" spans="1:15" x14ac:dyDescent="0.35">
      <c r="A1062" s="5" t="str">
        <f>Loads[[#This Row],[Date]]&amp;Loads[[#This Row],[Product]]</f>
        <v>44228Product1</v>
      </c>
      <c r="B1062" s="5">
        <f>COUNTIF($A$1:A1062,Loads[[#This Row],[Load]])</f>
        <v>2</v>
      </c>
      <c r="C1062" s="3" t="str">
        <f>Loads[[#This Row],[Load]]&amp;Loads[[#This Row],[Count]]</f>
        <v>44228Product12</v>
      </c>
      <c r="D1062" s="90">
        <v>44228</v>
      </c>
      <c r="E1062" s="143">
        <v>0.76250000000000007</v>
      </c>
      <c r="F1062" s="1" t="s">
        <v>9</v>
      </c>
      <c r="G1062" s="2" t="s">
        <v>12</v>
      </c>
      <c r="H1062" s="2" t="s">
        <v>42</v>
      </c>
      <c r="I1062" s="1" t="s">
        <v>11</v>
      </c>
      <c r="J1062" s="1" t="s">
        <v>8</v>
      </c>
      <c r="K1062" s="89">
        <v>24640</v>
      </c>
      <c r="L1062" s="3">
        <v>9.69</v>
      </c>
      <c r="M1062" s="3">
        <v>21.07</v>
      </c>
      <c r="N1062" s="3" t="s">
        <v>8</v>
      </c>
      <c r="O1062" s="3" t="s">
        <v>8</v>
      </c>
    </row>
    <row r="1063" spans="1:15" x14ac:dyDescent="0.35">
      <c r="A1063" s="5" t="str">
        <f>Loads[[#This Row],[Date]]&amp;Loads[[#This Row],[Product]]</f>
        <v>44228Product1</v>
      </c>
      <c r="B1063" s="5">
        <f>COUNTIF($A$1:A1063,Loads[[#This Row],[Load]])</f>
        <v>3</v>
      </c>
      <c r="C1063" s="3" t="str">
        <f>Loads[[#This Row],[Load]]&amp;Loads[[#This Row],[Count]]</f>
        <v>44228Product13</v>
      </c>
      <c r="D1063" s="90">
        <v>44228</v>
      </c>
      <c r="E1063" s="143">
        <v>0.7631944444444444</v>
      </c>
      <c r="F1063" s="1" t="s">
        <v>9</v>
      </c>
      <c r="G1063" s="2" t="s">
        <v>12</v>
      </c>
      <c r="H1063" s="2" t="s">
        <v>42</v>
      </c>
      <c r="I1063" s="1" t="s">
        <v>11</v>
      </c>
      <c r="J1063" s="1" t="s">
        <v>8</v>
      </c>
      <c r="K1063" s="89">
        <v>22160</v>
      </c>
      <c r="L1063" s="3">
        <v>10.220000000000001</v>
      </c>
      <c r="M1063" s="3">
        <v>21.5</v>
      </c>
      <c r="N1063" s="3" t="s">
        <v>8</v>
      </c>
      <c r="O1063" s="3" t="s">
        <v>8</v>
      </c>
    </row>
    <row r="1064" spans="1:15" x14ac:dyDescent="0.35">
      <c r="A1064" s="5" t="str">
        <f>Loads[[#This Row],[Date]]&amp;Loads[[#This Row],[Product]]</f>
        <v>44228Product1</v>
      </c>
      <c r="B1064" s="5">
        <f>COUNTIF($A$1:A1064,Loads[[#This Row],[Load]])</f>
        <v>4</v>
      </c>
      <c r="C1064" s="3" t="str">
        <f>Loads[[#This Row],[Load]]&amp;Loads[[#This Row],[Count]]</f>
        <v>44228Product14</v>
      </c>
      <c r="D1064" s="90">
        <v>44228</v>
      </c>
      <c r="E1064" s="143">
        <v>0.76388888888888884</v>
      </c>
      <c r="F1064" s="1" t="s">
        <v>9</v>
      </c>
      <c r="G1064" s="2" t="s">
        <v>12</v>
      </c>
      <c r="H1064" s="2" t="s">
        <v>42</v>
      </c>
      <c r="I1064" s="1" t="s">
        <v>10</v>
      </c>
      <c r="J1064" s="1">
        <v>325</v>
      </c>
      <c r="K1064" s="89">
        <v>12980</v>
      </c>
      <c r="L1064" s="3">
        <v>10.32</v>
      </c>
      <c r="M1064" s="3">
        <v>20.96</v>
      </c>
      <c r="N1064" s="3" t="s">
        <v>8</v>
      </c>
      <c r="O1064" s="3" t="s">
        <v>8</v>
      </c>
    </row>
    <row r="1065" spans="1:15" x14ac:dyDescent="0.35">
      <c r="A1065" s="5" t="str">
        <f>Loads[[#This Row],[Date]]&amp;Loads[[#This Row],[Product]]</f>
        <v>44228Product1</v>
      </c>
      <c r="B1065" s="5">
        <f>COUNTIF($A$1:A1065,Loads[[#This Row],[Load]])</f>
        <v>5</v>
      </c>
      <c r="C1065" s="3" t="str">
        <f>Loads[[#This Row],[Load]]&amp;Loads[[#This Row],[Count]]</f>
        <v>44228Product15</v>
      </c>
      <c r="D1065" s="90">
        <v>44228</v>
      </c>
      <c r="E1065" s="143">
        <v>0.76458333333333339</v>
      </c>
      <c r="F1065" s="1" t="s">
        <v>9</v>
      </c>
      <c r="G1065" s="2" t="s">
        <v>12</v>
      </c>
      <c r="H1065" s="2" t="s">
        <v>42</v>
      </c>
      <c r="I1065" s="1" t="s">
        <v>11</v>
      </c>
      <c r="J1065" s="1" t="s">
        <v>8</v>
      </c>
      <c r="K1065" s="89">
        <v>29940</v>
      </c>
      <c r="L1065" s="3">
        <v>10.4</v>
      </c>
      <c r="M1065" s="3">
        <v>21.44</v>
      </c>
      <c r="N1065" s="3" t="s">
        <v>8</v>
      </c>
      <c r="O1065" s="3" t="s">
        <v>8</v>
      </c>
    </row>
    <row r="1066" spans="1:15" x14ac:dyDescent="0.35">
      <c r="A1066" s="5" t="str">
        <f>Loads[[#This Row],[Date]]&amp;Loads[[#This Row],[Product]]</f>
        <v>44228Product1</v>
      </c>
      <c r="B1066" s="5">
        <f>COUNTIF($A$1:A1066,Loads[[#This Row],[Load]])</f>
        <v>6</v>
      </c>
      <c r="C1066" s="3" t="str">
        <f>Loads[[#This Row],[Load]]&amp;Loads[[#This Row],[Count]]</f>
        <v>44228Product16</v>
      </c>
      <c r="D1066" s="90">
        <v>44228</v>
      </c>
      <c r="E1066" s="143">
        <v>0.76527777777777783</v>
      </c>
      <c r="F1066" s="1" t="s">
        <v>9</v>
      </c>
      <c r="G1066" s="2" t="s">
        <v>12</v>
      </c>
      <c r="H1066" s="2" t="s">
        <v>42</v>
      </c>
      <c r="I1066" s="1" t="s">
        <v>11</v>
      </c>
      <c r="J1066" s="1" t="s">
        <v>8</v>
      </c>
      <c r="K1066" s="89">
        <v>22440</v>
      </c>
      <c r="L1066" s="3">
        <v>8</v>
      </c>
      <c r="M1066" s="3">
        <v>22.14</v>
      </c>
      <c r="N1066" s="3" t="s">
        <v>8</v>
      </c>
      <c r="O1066" s="3" t="s">
        <v>8</v>
      </c>
    </row>
    <row r="1067" spans="1:15" x14ac:dyDescent="0.35">
      <c r="A1067" s="5" t="str">
        <f>Loads[[#This Row],[Date]]&amp;Loads[[#This Row],[Product]]</f>
        <v>44228Product1</v>
      </c>
      <c r="B1067" s="5">
        <f>COUNTIF($A$1:A1067,Loads[[#This Row],[Load]])</f>
        <v>7</v>
      </c>
      <c r="C1067" s="3" t="str">
        <f>Loads[[#This Row],[Load]]&amp;Loads[[#This Row],[Count]]</f>
        <v>44228Product17</v>
      </c>
      <c r="D1067" s="90">
        <v>44228</v>
      </c>
      <c r="E1067" s="143">
        <v>0.76527777777777783</v>
      </c>
      <c r="F1067" s="1" t="s">
        <v>9</v>
      </c>
      <c r="G1067" s="2" t="s">
        <v>12</v>
      </c>
      <c r="H1067" s="2" t="s">
        <v>42</v>
      </c>
      <c r="I1067" s="1" t="s">
        <v>11</v>
      </c>
      <c r="J1067" s="1" t="s">
        <v>8</v>
      </c>
      <c r="K1067" s="89">
        <v>25920</v>
      </c>
      <c r="L1067" s="3">
        <v>8.14</v>
      </c>
      <c r="M1067" s="3">
        <v>21.97</v>
      </c>
      <c r="N1067" s="3" t="s">
        <v>8</v>
      </c>
      <c r="O1067" s="3" t="s">
        <v>8</v>
      </c>
    </row>
    <row r="1068" spans="1:15" x14ac:dyDescent="0.35">
      <c r="A1068" s="5" t="str">
        <f>Loads[[#This Row],[Date]]&amp;Loads[[#This Row],[Product]]</f>
        <v>44228Product1</v>
      </c>
      <c r="B1068" s="5">
        <f>COUNTIF($A$1:A1068,Loads[[#This Row],[Load]])</f>
        <v>8</v>
      </c>
      <c r="C1068" s="3" t="str">
        <f>Loads[[#This Row],[Load]]&amp;Loads[[#This Row],[Count]]</f>
        <v>44228Product18</v>
      </c>
      <c r="D1068" s="90">
        <v>44228</v>
      </c>
      <c r="E1068" s="143">
        <v>0.92708333333333337</v>
      </c>
      <c r="F1068" s="1" t="s">
        <v>9</v>
      </c>
      <c r="G1068" s="2" t="s">
        <v>12</v>
      </c>
      <c r="H1068" s="2" t="s">
        <v>42</v>
      </c>
      <c r="I1068" s="1" t="s">
        <v>11</v>
      </c>
      <c r="J1068" s="1" t="s">
        <v>8</v>
      </c>
      <c r="K1068" s="89">
        <v>26880</v>
      </c>
      <c r="L1068" s="3">
        <v>8.42</v>
      </c>
      <c r="M1068" s="3">
        <v>22.09</v>
      </c>
      <c r="N1068" s="3" t="s">
        <v>8</v>
      </c>
      <c r="O1068" s="3" t="s">
        <v>8</v>
      </c>
    </row>
    <row r="1069" spans="1:15" x14ac:dyDescent="0.35">
      <c r="A1069" s="5" t="str">
        <f>Loads[[#This Row],[Date]]&amp;Loads[[#This Row],[Product]]</f>
        <v>44228Product1</v>
      </c>
      <c r="B1069" s="5">
        <f>COUNTIF($A$1:A1069,Loads[[#This Row],[Load]])</f>
        <v>9</v>
      </c>
      <c r="C1069" s="3" t="str">
        <f>Loads[[#This Row],[Load]]&amp;Loads[[#This Row],[Count]]</f>
        <v>44228Product19</v>
      </c>
      <c r="D1069" s="90">
        <v>44228</v>
      </c>
      <c r="E1069" s="143">
        <v>0.9277777777777777</v>
      </c>
      <c r="F1069" s="1" t="s">
        <v>9</v>
      </c>
      <c r="G1069" s="2" t="s">
        <v>12</v>
      </c>
      <c r="H1069" s="2" t="s">
        <v>42</v>
      </c>
      <c r="I1069" s="1" t="s">
        <v>11</v>
      </c>
      <c r="J1069" s="1" t="s">
        <v>8</v>
      </c>
      <c r="K1069" s="89">
        <v>29720</v>
      </c>
      <c r="L1069" s="3">
        <v>8.0299999999999994</v>
      </c>
      <c r="M1069" s="3">
        <v>21.69</v>
      </c>
      <c r="N1069" s="3" t="s">
        <v>8</v>
      </c>
      <c r="O1069" s="3" t="s">
        <v>8</v>
      </c>
    </row>
    <row r="1070" spans="1:15" x14ac:dyDescent="0.35">
      <c r="A1070" s="5" t="str">
        <f>Loads[[#This Row],[Date]]&amp;Loads[[#This Row],[Product]]</f>
        <v>44228Product1</v>
      </c>
      <c r="B1070" s="5">
        <f>COUNTIF($A$1:A1070,Loads[[#This Row],[Load]])</f>
        <v>10</v>
      </c>
      <c r="C1070" s="3" t="str">
        <f>Loads[[#This Row],[Load]]&amp;Loads[[#This Row],[Count]]</f>
        <v>44228Product110</v>
      </c>
      <c r="D1070" s="90">
        <v>44228</v>
      </c>
      <c r="E1070" s="143">
        <v>0.63263888888888886</v>
      </c>
      <c r="F1070" s="1" t="s">
        <v>9</v>
      </c>
      <c r="G1070" s="2" t="s">
        <v>12</v>
      </c>
      <c r="H1070" s="2" t="s">
        <v>42</v>
      </c>
      <c r="I1070" s="1" t="s">
        <v>11</v>
      </c>
      <c r="J1070" s="1" t="s">
        <v>8</v>
      </c>
      <c r="K1070" s="89">
        <v>30280</v>
      </c>
      <c r="L1070" s="3">
        <v>6.55</v>
      </c>
      <c r="M1070" s="3">
        <v>24.97</v>
      </c>
      <c r="N1070" s="3" t="s">
        <v>8</v>
      </c>
      <c r="O1070" s="3" t="s">
        <v>8</v>
      </c>
    </row>
    <row r="1071" spans="1:15" x14ac:dyDescent="0.35">
      <c r="A1071" s="5" t="str">
        <f>Loads[[#This Row],[Date]]&amp;Loads[[#This Row],[Product]]</f>
        <v>44229Product1</v>
      </c>
      <c r="B1071" s="5">
        <f>COUNTIF($A$1:A1071,Loads[[#This Row],[Load]])</f>
        <v>1</v>
      </c>
      <c r="C1071" s="3" t="str">
        <f>Loads[[#This Row],[Load]]&amp;Loads[[#This Row],[Count]]</f>
        <v>44229Product11</v>
      </c>
      <c r="D1071" s="90">
        <v>44229</v>
      </c>
      <c r="E1071" s="143">
        <v>0.26250000000000001</v>
      </c>
      <c r="F1071" s="1" t="s">
        <v>9</v>
      </c>
      <c r="G1071" s="2" t="s">
        <v>12</v>
      </c>
      <c r="H1071" s="2" t="s">
        <v>42</v>
      </c>
      <c r="I1071" s="1" t="s">
        <v>11</v>
      </c>
      <c r="J1071" s="1" t="s">
        <v>8</v>
      </c>
      <c r="K1071" s="89">
        <v>24460</v>
      </c>
      <c r="L1071" s="3">
        <v>8.34</v>
      </c>
      <c r="M1071" s="3">
        <v>21.05</v>
      </c>
      <c r="N1071" s="3" t="s">
        <v>8</v>
      </c>
      <c r="O1071" s="3" t="s">
        <v>8</v>
      </c>
    </row>
    <row r="1072" spans="1:15" x14ac:dyDescent="0.35">
      <c r="A1072" s="5" t="str">
        <f>Loads[[#This Row],[Date]]&amp;Loads[[#This Row],[Product]]</f>
        <v>44229Product1</v>
      </c>
      <c r="B1072" s="5">
        <f>COUNTIF($A$1:A1072,Loads[[#This Row],[Load]])</f>
        <v>2</v>
      </c>
      <c r="C1072" s="3" t="str">
        <f>Loads[[#This Row],[Load]]&amp;Loads[[#This Row],[Count]]</f>
        <v>44229Product12</v>
      </c>
      <c r="D1072" s="90">
        <v>44229</v>
      </c>
      <c r="E1072" s="143">
        <v>0.37152777777777773</v>
      </c>
      <c r="F1072" s="1" t="s">
        <v>9</v>
      </c>
      <c r="G1072" s="2" t="s">
        <v>12</v>
      </c>
      <c r="H1072" s="2" t="s">
        <v>42</v>
      </c>
      <c r="I1072" s="1" t="s">
        <v>11</v>
      </c>
      <c r="J1072" s="1" t="s">
        <v>8</v>
      </c>
      <c r="K1072" s="89">
        <v>30600</v>
      </c>
      <c r="L1072" s="3">
        <v>8.1199999999999992</v>
      </c>
      <c r="M1072" s="3">
        <v>21.47</v>
      </c>
      <c r="N1072" s="3" t="s">
        <v>8</v>
      </c>
      <c r="O1072" s="3" t="s">
        <v>8</v>
      </c>
    </row>
    <row r="1073" spans="1:15" x14ac:dyDescent="0.35">
      <c r="A1073" s="5" t="str">
        <f>Loads[[#This Row],[Date]]&amp;Loads[[#This Row],[Product]]</f>
        <v>44229Product1</v>
      </c>
      <c r="B1073" s="5">
        <f>COUNTIF($A$1:A1073,Loads[[#This Row],[Load]])</f>
        <v>3</v>
      </c>
      <c r="C1073" s="3" t="str">
        <f>Loads[[#This Row],[Load]]&amp;Loads[[#This Row],[Count]]</f>
        <v>44229Product13</v>
      </c>
      <c r="D1073" s="90">
        <v>44229</v>
      </c>
      <c r="E1073" s="143">
        <v>0.40972222222222227</v>
      </c>
      <c r="F1073" s="1" t="s">
        <v>9</v>
      </c>
      <c r="G1073" s="2" t="s">
        <v>12</v>
      </c>
      <c r="H1073" s="2" t="s">
        <v>42</v>
      </c>
      <c r="I1073" s="1" t="s">
        <v>11</v>
      </c>
      <c r="J1073" s="1" t="s">
        <v>8</v>
      </c>
      <c r="K1073" s="89">
        <v>21620</v>
      </c>
      <c r="L1073" s="3">
        <v>4.68</v>
      </c>
      <c r="M1073" s="3">
        <v>22.49</v>
      </c>
      <c r="N1073" s="3" t="s">
        <v>8</v>
      </c>
      <c r="O1073" s="3" t="s">
        <v>8</v>
      </c>
    </row>
    <row r="1074" spans="1:15" x14ac:dyDescent="0.35">
      <c r="A1074" s="5" t="str">
        <f>Loads[[#This Row],[Date]]&amp;Loads[[#This Row],[Product]]</f>
        <v>44229Product1</v>
      </c>
      <c r="B1074" s="5">
        <f>COUNTIF($A$1:A1074,Loads[[#This Row],[Load]])</f>
        <v>4</v>
      </c>
      <c r="C1074" s="3" t="str">
        <f>Loads[[#This Row],[Load]]&amp;Loads[[#This Row],[Count]]</f>
        <v>44229Product14</v>
      </c>
      <c r="D1074" s="90">
        <v>44229</v>
      </c>
      <c r="E1074" s="143">
        <v>0.58333333333333337</v>
      </c>
      <c r="F1074" s="1" t="s">
        <v>9</v>
      </c>
      <c r="G1074" s="2" t="s">
        <v>12</v>
      </c>
      <c r="H1074" s="2" t="s">
        <v>42</v>
      </c>
      <c r="I1074" s="1" t="s">
        <v>10</v>
      </c>
      <c r="J1074" s="1">
        <v>350</v>
      </c>
      <c r="K1074" s="89">
        <v>13940</v>
      </c>
      <c r="L1074" s="3">
        <v>7.37</v>
      </c>
      <c r="M1074" s="3">
        <v>21.38</v>
      </c>
      <c r="N1074" s="3" t="s">
        <v>8</v>
      </c>
      <c r="O1074" s="3" t="s">
        <v>8</v>
      </c>
    </row>
    <row r="1075" spans="1:15" x14ac:dyDescent="0.35">
      <c r="A1075" s="5" t="str">
        <f>Loads[[#This Row],[Date]]&amp;Loads[[#This Row],[Product]]</f>
        <v>44229Product1</v>
      </c>
      <c r="B1075" s="5">
        <f>COUNTIF($A$1:A1075,Loads[[#This Row],[Load]])</f>
        <v>5</v>
      </c>
      <c r="C1075" s="3" t="str">
        <f>Loads[[#This Row],[Load]]&amp;Loads[[#This Row],[Count]]</f>
        <v>44229Product15</v>
      </c>
      <c r="D1075" s="90">
        <v>44229</v>
      </c>
      <c r="E1075" s="143">
        <v>0.63194444444444442</v>
      </c>
      <c r="F1075" s="1" t="s">
        <v>9</v>
      </c>
      <c r="G1075" s="2" t="s">
        <v>12</v>
      </c>
      <c r="H1075" s="2" t="s">
        <v>42</v>
      </c>
      <c r="I1075" s="1" t="s">
        <v>11</v>
      </c>
      <c r="J1075" s="1" t="s">
        <v>8</v>
      </c>
      <c r="K1075" s="89">
        <v>28840</v>
      </c>
      <c r="L1075" s="3">
        <v>8.75</v>
      </c>
      <c r="M1075" s="3">
        <v>20.02</v>
      </c>
      <c r="N1075" s="3" t="s">
        <v>8</v>
      </c>
      <c r="O1075" s="3" t="s">
        <v>8</v>
      </c>
    </row>
    <row r="1076" spans="1:15" x14ac:dyDescent="0.35">
      <c r="A1076" s="5" t="str">
        <f>Loads[[#This Row],[Date]]&amp;Loads[[#This Row],[Product]]</f>
        <v>44229Product1</v>
      </c>
      <c r="B1076" s="5">
        <f>COUNTIF($A$1:A1076,Loads[[#This Row],[Load]])</f>
        <v>6</v>
      </c>
      <c r="C1076" s="3" t="str">
        <f>Loads[[#This Row],[Load]]&amp;Loads[[#This Row],[Count]]</f>
        <v>44229Product16</v>
      </c>
      <c r="D1076" s="90">
        <v>44229</v>
      </c>
      <c r="E1076" s="143">
        <v>0.85416666666666663</v>
      </c>
      <c r="F1076" s="1" t="s">
        <v>9</v>
      </c>
      <c r="G1076" s="2" t="s">
        <v>12</v>
      </c>
      <c r="H1076" s="2" t="s">
        <v>42</v>
      </c>
      <c r="I1076" s="1" t="s">
        <v>11</v>
      </c>
      <c r="J1076" s="1" t="s">
        <v>8</v>
      </c>
      <c r="K1076" s="89">
        <v>28900</v>
      </c>
      <c r="L1076" s="3">
        <v>9.5500000000000007</v>
      </c>
      <c r="M1076" s="3">
        <v>22.03</v>
      </c>
      <c r="N1076" s="3" t="s">
        <v>8</v>
      </c>
      <c r="O1076" s="3" t="s">
        <v>8</v>
      </c>
    </row>
    <row r="1077" spans="1:15" x14ac:dyDescent="0.35">
      <c r="A1077" s="5" t="str">
        <f>Loads[[#This Row],[Date]]&amp;Loads[[#This Row],[Product]]</f>
        <v>44229Product1</v>
      </c>
      <c r="B1077" s="5">
        <f>COUNTIF($A$1:A1077,Loads[[#This Row],[Load]])</f>
        <v>7</v>
      </c>
      <c r="C1077" s="3" t="str">
        <f>Loads[[#This Row],[Load]]&amp;Loads[[#This Row],[Count]]</f>
        <v>44229Product17</v>
      </c>
      <c r="D1077" s="90">
        <v>44229</v>
      </c>
      <c r="E1077" s="143">
        <v>0.81944444444444453</v>
      </c>
      <c r="F1077" s="1" t="s">
        <v>9</v>
      </c>
      <c r="G1077" s="2" t="s">
        <v>12</v>
      </c>
      <c r="H1077" s="2" t="s">
        <v>42</v>
      </c>
      <c r="I1077" s="1" t="s">
        <v>11</v>
      </c>
      <c r="J1077" s="1" t="s">
        <v>8</v>
      </c>
      <c r="K1077" s="89">
        <v>33900</v>
      </c>
      <c r="L1077" s="3">
        <v>9.06</v>
      </c>
      <c r="M1077" s="3">
        <v>21.45</v>
      </c>
      <c r="N1077" s="3" t="s">
        <v>8</v>
      </c>
      <c r="O1077" s="3" t="s">
        <v>8</v>
      </c>
    </row>
    <row r="1078" spans="1:15" x14ac:dyDescent="0.35">
      <c r="A1078" s="5" t="str">
        <f>Loads[[#This Row],[Date]]&amp;Loads[[#This Row],[Product]]</f>
        <v>44229Product1</v>
      </c>
      <c r="B1078" s="5">
        <f>COUNTIF($A$1:A1078,Loads[[#This Row],[Load]])</f>
        <v>8</v>
      </c>
      <c r="C1078" s="3" t="str">
        <f>Loads[[#This Row],[Load]]&amp;Loads[[#This Row],[Count]]</f>
        <v>44229Product18</v>
      </c>
      <c r="D1078" s="90">
        <v>44229</v>
      </c>
      <c r="E1078" s="143">
        <v>0.73611111111111116</v>
      </c>
      <c r="F1078" s="1" t="s">
        <v>9</v>
      </c>
      <c r="G1078" s="2" t="s">
        <v>12</v>
      </c>
      <c r="H1078" s="2" t="s">
        <v>42</v>
      </c>
      <c r="I1078" s="1" t="s">
        <v>11</v>
      </c>
      <c r="J1078" s="1" t="s">
        <v>8</v>
      </c>
      <c r="K1078" s="89">
        <v>20220</v>
      </c>
      <c r="L1078" s="3">
        <v>7.62</v>
      </c>
      <c r="M1078" s="3">
        <v>20.440000000000001</v>
      </c>
      <c r="N1078" s="3" t="s">
        <v>8</v>
      </c>
      <c r="O1078" s="3" t="s">
        <v>8</v>
      </c>
    </row>
    <row r="1079" spans="1:15" x14ac:dyDescent="0.35">
      <c r="A1079" s="5" t="str">
        <f>Loads[[#This Row],[Date]]&amp;Loads[[#This Row],[Product]]</f>
        <v>44229Product1</v>
      </c>
      <c r="B1079" s="5">
        <f>COUNTIF($A$1:A1079,Loads[[#This Row],[Load]])</f>
        <v>9</v>
      </c>
      <c r="C1079" s="3" t="str">
        <f>Loads[[#This Row],[Load]]&amp;Loads[[#This Row],[Count]]</f>
        <v>44229Product19</v>
      </c>
      <c r="D1079" s="90">
        <v>44229</v>
      </c>
      <c r="E1079" s="143">
        <v>0.71527777777777779</v>
      </c>
      <c r="F1079" s="1" t="s">
        <v>9</v>
      </c>
      <c r="G1079" s="2" t="s">
        <v>12</v>
      </c>
      <c r="H1079" s="2" t="s">
        <v>42</v>
      </c>
      <c r="I1079" s="1" t="s">
        <v>11</v>
      </c>
      <c r="J1079" s="1" t="s">
        <v>8</v>
      </c>
      <c r="K1079" s="89">
        <v>20940</v>
      </c>
      <c r="L1079" s="3">
        <v>7.6</v>
      </c>
      <c r="M1079" s="3">
        <v>20.52</v>
      </c>
      <c r="N1079" s="3" t="s">
        <v>8</v>
      </c>
      <c r="O1079" s="3" t="s">
        <v>8</v>
      </c>
    </row>
    <row r="1080" spans="1:15" x14ac:dyDescent="0.35">
      <c r="A1080" s="5" t="str">
        <f>Loads[[#This Row],[Date]]&amp;Loads[[#This Row],[Product]]</f>
        <v>44229Product1</v>
      </c>
      <c r="B1080" s="5">
        <f>COUNTIF($A$1:A1080,Loads[[#This Row],[Load]])</f>
        <v>10</v>
      </c>
      <c r="C1080" s="3" t="str">
        <f>Loads[[#This Row],[Load]]&amp;Loads[[#This Row],[Count]]</f>
        <v>44229Product110</v>
      </c>
      <c r="D1080" s="90">
        <v>44229</v>
      </c>
      <c r="E1080" s="143">
        <v>0.70138888888888884</v>
      </c>
      <c r="F1080" s="1" t="s">
        <v>9</v>
      </c>
      <c r="G1080" s="2" t="s">
        <v>12</v>
      </c>
      <c r="H1080" s="2" t="s">
        <v>42</v>
      </c>
      <c r="I1080" s="1" t="s">
        <v>10</v>
      </c>
      <c r="J1080" s="1">
        <v>50</v>
      </c>
      <c r="K1080" s="89">
        <v>1980</v>
      </c>
      <c r="L1080" s="3">
        <v>6.94</v>
      </c>
      <c r="M1080" s="3">
        <v>20.54</v>
      </c>
      <c r="N1080" s="3" t="s">
        <v>8</v>
      </c>
      <c r="O1080" s="3" t="s">
        <v>8</v>
      </c>
    </row>
    <row r="1081" spans="1:15" x14ac:dyDescent="0.35">
      <c r="A1081" s="5" t="str">
        <f>Loads[[#This Row],[Date]]&amp;Loads[[#This Row],[Product]]</f>
        <v>44229Product1</v>
      </c>
      <c r="B1081" s="5">
        <f>COUNTIF($A$1:A1081,Loads[[#This Row],[Load]])</f>
        <v>11</v>
      </c>
      <c r="C1081" s="3" t="str">
        <f>Loads[[#This Row],[Load]]&amp;Loads[[#This Row],[Count]]</f>
        <v>44229Product111</v>
      </c>
      <c r="D1081" s="90">
        <v>44229</v>
      </c>
      <c r="E1081" s="143">
        <v>0.6875</v>
      </c>
      <c r="F1081" s="1" t="s">
        <v>9</v>
      </c>
      <c r="G1081" s="2" t="s">
        <v>12</v>
      </c>
      <c r="H1081" s="2" t="s">
        <v>42</v>
      </c>
      <c r="I1081" s="1" t="s">
        <v>11</v>
      </c>
      <c r="J1081" s="1" t="s">
        <v>8</v>
      </c>
      <c r="K1081" s="89">
        <v>24000</v>
      </c>
      <c r="L1081" s="3">
        <v>7.95</v>
      </c>
      <c r="M1081" s="3">
        <v>20.260000000000002</v>
      </c>
      <c r="N1081" s="3" t="s">
        <v>8</v>
      </c>
      <c r="O1081" s="3" t="s">
        <v>8</v>
      </c>
    </row>
    <row r="1082" spans="1:15" x14ac:dyDescent="0.35">
      <c r="A1082" s="5" t="str">
        <f>Loads[[#This Row],[Date]]&amp;Loads[[#This Row],[Product]]</f>
        <v>44229Product1</v>
      </c>
      <c r="B1082" s="5">
        <f>COUNTIF($A$1:A1082,Loads[[#This Row],[Load]])</f>
        <v>12</v>
      </c>
      <c r="C1082" s="3" t="str">
        <f>Loads[[#This Row],[Load]]&amp;Loads[[#This Row],[Count]]</f>
        <v>44229Product112</v>
      </c>
      <c r="D1082" s="90">
        <v>44229</v>
      </c>
      <c r="E1082" s="143">
        <v>0.66666666666666663</v>
      </c>
      <c r="F1082" s="1" t="s">
        <v>9</v>
      </c>
      <c r="G1082" s="2" t="s">
        <v>12</v>
      </c>
      <c r="H1082" s="2" t="s">
        <v>42</v>
      </c>
      <c r="I1082" s="1" t="s">
        <v>11</v>
      </c>
      <c r="J1082" s="1" t="s">
        <v>8</v>
      </c>
      <c r="K1082" s="89">
        <v>22600</v>
      </c>
      <c r="L1082" s="3">
        <v>7.29</v>
      </c>
      <c r="M1082" s="3">
        <v>20.79</v>
      </c>
      <c r="N1082" s="3" t="s">
        <v>8</v>
      </c>
      <c r="O1082" s="3" t="s">
        <v>8</v>
      </c>
    </row>
    <row r="1083" spans="1:15" x14ac:dyDescent="0.35">
      <c r="A1083" s="5" t="str">
        <f>Loads[[#This Row],[Date]]&amp;Loads[[#This Row],[Product]]</f>
        <v>44229Product1</v>
      </c>
      <c r="B1083" s="5">
        <f>COUNTIF($A$1:A1083,Loads[[#This Row],[Load]])</f>
        <v>13</v>
      </c>
      <c r="C1083" s="3" t="str">
        <f>Loads[[#This Row],[Load]]&amp;Loads[[#This Row],[Count]]</f>
        <v>44229Product113</v>
      </c>
      <c r="D1083" s="90">
        <v>44229</v>
      </c>
      <c r="E1083" s="143">
        <v>0.91666666666666663</v>
      </c>
      <c r="F1083" s="1" t="s">
        <v>9</v>
      </c>
      <c r="G1083" s="2" t="s">
        <v>12</v>
      </c>
      <c r="H1083" s="2" t="s">
        <v>42</v>
      </c>
      <c r="I1083" s="1" t="s">
        <v>11</v>
      </c>
      <c r="J1083" s="1" t="s">
        <v>8</v>
      </c>
      <c r="K1083" s="89">
        <v>29200</v>
      </c>
      <c r="L1083" s="3">
        <v>9.42</v>
      </c>
      <c r="M1083" s="3">
        <v>21.83</v>
      </c>
      <c r="N1083" s="3" t="s">
        <v>8</v>
      </c>
      <c r="O1083" s="3" t="s">
        <v>8</v>
      </c>
    </row>
    <row r="1084" spans="1:15" x14ac:dyDescent="0.35">
      <c r="A1084" s="5" t="str">
        <f>Loads[[#This Row],[Date]]&amp;Loads[[#This Row],[Product]]</f>
        <v>44230Product1</v>
      </c>
      <c r="B1084" s="5">
        <f>COUNTIF($A$1:A1084,Loads[[#This Row],[Load]])</f>
        <v>1</v>
      </c>
      <c r="C1084" s="3" t="str">
        <f>Loads[[#This Row],[Load]]&amp;Loads[[#This Row],[Count]]</f>
        <v>44230Product11</v>
      </c>
      <c r="D1084" s="90">
        <v>44230</v>
      </c>
      <c r="E1084" s="143">
        <v>4.027777777777778E-2</v>
      </c>
      <c r="F1084" s="1" t="s">
        <v>9</v>
      </c>
      <c r="G1084" s="2" t="s">
        <v>12</v>
      </c>
      <c r="H1084" s="2" t="s">
        <v>42</v>
      </c>
      <c r="I1084" s="1" t="s">
        <v>11</v>
      </c>
      <c r="J1084" s="1" t="s">
        <v>8</v>
      </c>
      <c r="K1084" s="89">
        <v>28240</v>
      </c>
      <c r="L1084" s="3">
        <v>8.89</v>
      </c>
      <c r="M1084" s="3">
        <v>19.32</v>
      </c>
      <c r="N1084" s="3" t="s">
        <v>8</v>
      </c>
      <c r="O1084" s="3" t="s">
        <v>8</v>
      </c>
    </row>
    <row r="1085" spans="1:15" x14ac:dyDescent="0.35">
      <c r="A1085" s="5" t="str">
        <f>Loads[[#This Row],[Date]]&amp;Loads[[#This Row],[Product]]</f>
        <v>44230Product1</v>
      </c>
      <c r="B1085" s="5">
        <f>COUNTIF($A$1:A1085,Loads[[#This Row],[Load]])</f>
        <v>2</v>
      </c>
      <c r="C1085" s="3" t="str">
        <f>Loads[[#This Row],[Load]]&amp;Loads[[#This Row],[Count]]</f>
        <v>44230Product12</v>
      </c>
      <c r="D1085" s="90">
        <v>44230</v>
      </c>
      <c r="E1085" s="143">
        <v>4.2361111111111106E-2</v>
      </c>
      <c r="F1085" s="1" t="s">
        <v>9</v>
      </c>
      <c r="G1085" s="2" t="s">
        <v>12</v>
      </c>
      <c r="H1085" s="2" t="s">
        <v>42</v>
      </c>
      <c r="I1085" s="1" t="s">
        <v>11</v>
      </c>
      <c r="J1085" s="1" t="s">
        <v>8</v>
      </c>
      <c r="K1085" s="89">
        <v>25620</v>
      </c>
      <c r="L1085" s="3">
        <v>9.2100000000000009</v>
      </c>
      <c r="M1085" s="3">
        <v>20.079999999999998</v>
      </c>
      <c r="N1085" s="3" t="s">
        <v>8</v>
      </c>
      <c r="O1085" s="3" t="s">
        <v>8</v>
      </c>
    </row>
    <row r="1086" spans="1:15" x14ac:dyDescent="0.35">
      <c r="A1086" s="5" t="str">
        <f>Loads[[#This Row],[Date]]&amp;Loads[[#This Row],[Product]]</f>
        <v>44230Product1</v>
      </c>
      <c r="B1086" s="5">
        <f>COUNTIF($A$1:A1086,Loads[[#This Row],[Load]])</f>
        <v>3</v>
      </c>
      <c r="C1086" s="3" t="str">
        <f>Loads[[#This Row],[Load]]&amp;Loads[[#This Row],[Count]]</f>
        <v>44230Product13</v>
      </c>
      <c r="D1086" s="90">
        <v>44230</v>
      </c>
      <c r="E1086" s="143">
        <v>4.3055555555555562E-2</v>
      </c>
      <c r="F1086" s="1" t="s">
        <v>9</v>
      </c>
      <c r="G1086" s="2" t="s">
        <v>12</v>
      </c>
      <c r="H1086" s="2" t="s">
        <v>42</v>
      </c>
      <c r="I1086" s="1" t="s">
        <v>11</v>
      </c>
      <c r="J1086" s="1" t="s">
        <v>8</v>
      </c>
      <c r="K1086" s="89">
        <v>30340</v>
      </c>
      <c r="L1086" s="3">
        <v>9.2799999999999994</v>
      </c>
      <c r="M1086" s="3">
        <v>20.309999999999999</v>
      </c>
      <c r="N1086" s="3" t="s">
        <v>8</v>
      </c>
      <c r="O1086" s="3" t="s">
        <v>8</v>
      </c>
    </row>
    <row r="1087" spans="1:15" x14ac:dyDescent="0.35">
      <c r="A1087" s="5" t="str">
        <f>Loads[[#This Row],[Date]]&amp;Loads[[#This Row],[Product]]</f>
        <v>44230Product1</v>
      </c>
      <c r="B1087" s="5">
        <f>COUNTIF($A$1:A1087,Loads[[#This Row],[Load]])</f>
        <v>4</v>
      </c>
      <c r="C1087" s="3" t="str">
        <f>Loads[[#This Row],[Load]]&amp;Loads[[#This Row],[Count]]</f>
        <v>44230Product14</v>
      </c>
      <c r="D1087" s="90">
        <v>44230</v>
      </c>
      <c r="E1087" s="143">
        <v>4.4444444444444446E-2</v>
      </c>
      <c r="F1087" s="1" t="s">
        <v>9</v>
      </c>
      <c r="G1087" s="2" t="s">
        <v>12</v>
      </c>
      <c r="H1087" s="2" t="s">
        <v>42</v>
      </c>
      <c r="I1087" s="1" t="s">
        <v>10</v>
      </c>
      <c r="J1087" s="1">
        <v>800</v>
      </c>
      <c r="K1087" s="89">
        <v>32040</v>
      </c>
      <c r="L1087" s="3">
        <v>8.5500000000000007</v>
      </c>
      <c r="M1087" s="3">
        <v>21.28</v>
      </c>
      <c r="N1087" s="3" t="s">
        <v>8</v>
      </c>
      <c r="O1087" s="3" t="s">
        <v>8</v>
      </c>
    </row>
    <row r="1088" spans="1:15" x14ac:dyDescent="0.35">
      <c r="A1088" s="5" t="str">
        <f>Loads[[#This Row],[Date]]&amp;Loads[[#This Row],[Product]]</f>
        <v>44230Product1</v>
      </c>
      <c r="B1088" s="5">
        <f>COUNTIF($A$1:A1088,Loads[[#This Row],[Load]])</f>
        <v>5</v>
      </c>
      <c r="C1088" s="3" t="str">
        <f>Loads[[#This Row],[Load]]&amp;Loads[[#This Row],[Count]]</f>
        <v>44230Product15</v>
      </c>
      <c r="D1088" s="90">
        <v>44230</v>
      </c>
      <c r="E1088" s="143">
        <v>4.5138888888888888E-2</v>
      </c>
      <c r="F1088" s="1" t="s">
        <v>9</v>
      </c>
      <c r="G1088" s="2" t="s">
        <v>12</v>
      </c>
      <c r="H1088" s="2" t="s">
        <v>42</v>
      </c>
      <c r="I1088" s="1" t="s">
        <v>10</v>
      </c>
      <c r="J1088" s="1">
        <v>200</v>
      </c>
      <c r="K1088" s="89">
        <v>7920</v>
      </c>
      <c r="L1088" s="3">
        <v>9.1199999999999992</v>
      </c>
      <c r="M1088" s="3">
        <v>20.68</v>
      </c>
      <c r="N1088" s="3" t="s">
        <v>8</v>
      </c>
      <c r="O1088" s="3" t="s">
        <v>8</v>
      </c>
    </row>
    <row r="1089" spans="1:15" x14ac:dyDescent="0.35">
      <c r="A1089" s="5" t="str">
        <f>Loads[[#This Row],[Date]]&amp;Loads[[#This Row],[Product]]</f>
        <v>44230Product1</v>
      </c>
      <c r="B1089" s="5">
        <f>COUNTIF($A$1:A1089,Loads[[#This Row],[Load]])</f>
        <v>6</v>
      </c>
      <c r="C1089" s="3" t="str">
        <f>Loads[[#This Row],[Load]]&amp;Loads[[#This Row],[Count]]</f>
        <v>44230Product16</v>
      </c>
      <c r="D1089" s="90">
        <v>44230</v>
      </c>
      <c r="E1089" s="143">
        <v>4.5833333333333337E-2</v>
      </c>
      <c r="F1089" s="1" t="s">
        <v>9</v>
      </c>
      <c r="G1089" s="2" t="s">
        <v>12</v>
      </c>
      <c r="H1089" s="2" t="s">
        <v>42</v>
      </c>
      <c r="I1089" s="1" t="s">
        <v>11</v>
      </c>
      <c r="J1089" s="1" t="s">
        <v>8</v>
      </c>
      <c r="K1089" s="89">
        <v>26880</v>
      </c>
      <c r="L1089" s="3">
        <v>8.6199999999999992</v>
      </c>
      <c r="M1089" s="3">
        <v>20.98</v>
      </c>
      <c r="N1089" s="3" t="s">
        <v>8</v>
      </c>
      <c r="O1089" s="3" t="s">
        <v>8</v>
      </c>
    </row>
    <row r="1090" spans="1:15" x14ac:dyDescent="0.35">
      <c r="A1090" s="5" t="str">
        <f>Loads[[#This Row],[Date]]&amp;Loads[[#This Row],[Product]]</f>
        <v>44230Product1</v>
      </c>
      <c r="B1090" s="5">
        <f>COUNTIF($A$1:A1090,Loads[[#This Row],[Load]])</f>
        <v>7</v>
      </c>
      <c r="C1090" s="3" t="str">
        <f>Loads[[#This Row],[Load]]&amp;Loads[[#This Row],[Count]]</f>
        <v>44230Product17</v>
      </c>
      <c r="D1090" s="90">
        <v>44230</v>
      </c>
      <c r="E1090" s="143">
        <v>5.4166666666666669E-2</v>
      </c>
      <c r="F1090" s="1" t="s">
        <v>9</v>
      </c>
      <c r="G1090" s="2" t="s">
        <v>12</v>
      </c>
      <c r="H1090" s="2" t="s">
        <v>42</v>
      </c>
      <c r="I1090" s="1" t="s">
        <v>11</v>
      </c>
      <c r="J1090" s="1" t="s">
        <v>8</v>
      </c>
      <c r="K1090" s="89">
        <v>19340</v>
      </c>
      <c r="L1090" s="3">
        <v>8.35</v>
      </c>
      <c r="M1090" s="3">
        <v>21.19</v>
      </c>
      <c r="N1090" s="3" t="s">
        <v>8</v>
      </c>
      <c r="O1090" s="3" t="s">
        <v>8</v>
      </c>
    </row>
    <row r="1091" spans="1:15" x14ac:dyDescent="0.35">
      <c r="A1091" s="5" t="str">
        <f>Loads[[#This Row],[Date]]&amp;Loads[[#This Row],[Product]]</f>
        <v>44230Product1</v>
      </c>
      <c r="B1091" s="5">
        <f>COUNTIF($A$1:A1091,Loads[[#This Row],[Load]])</f>
        <v>8</v>
      </c>
      <c r="C1091" s="3" t="str">
        <f>Loads[[#This Row],[Load]]&amp;Loads[[#This Row],[Count]]</f>
        <v>44230Product18</v>
      </c>
      <c r="D1091" s="90">
        <v>44230</v>
      </c>
      <c r="E1091" s="143">
        <v>5.4166666666666669E-2</v>
      </c>
      <c r="F1091" s="1" t="s">
        <v>9</v>
      </c>
      <c r="G1091" s="2" t="s">
        <v>12</v>
      </c>
      <c r="H1091" s="2" t="s">
        <v>42</v>
      </c>
      <c r="I1091" s="1" t="s">
        <v>10</v>
      </c>
      <c r="J1091" s="1">
        <v>785</v>
      </c>
      <c r="K1091" s="89">
        <v>31380</v>
      </c>
      <c r="L1091" s="3">
        <v>8.41</v>
      </c>
      <c r="M1091" s="3">
        <v>21.14</v>
      </c>
      <c r="N1091" s="3" t="s">
        <v>8</v>
      </c>
      <c r="O1091" s="3" t="s">
        <v>8</v>
      </c>
    </row>
    <row r="1092" spans="1:15" x14ac:dyDescent="0.35">
      <c r="A1092" s="5" t="str">
        <f>Loads[[#This Row],[Date]]&amp;Loads[[#This Row],[Product]]</f>
        <v>44230Product1</v>
      </c>
      <c r="B1092" s="5">
        <f>COUNTIF($A$1:A1092,Loads[[#This Row],[Load]])</f>
        <v>9</v>
      </c>
      <c r="C1092" s="3" t="str">
        <f>Loads[[#This Row],[Load]]&amp;Loads[[#This Row],[Count]]</f>
        <v>44230Product19</v>
      </c>
      <c r="D1092" s="90">
        <v>44230</v>
      </c>
      <c r="E1092" s="143">
        <v>5.8333333333333327E-2</v>
      </c>
      <c r="F1092" s="1" t="s">
        <v>9</v>
      </c>
      <c r="G1092" s="2" t="s">
        <v>12</v>
      </c>
      <c r="H1092" s="2" t="s">
        <v>42</v>
      </c>
      <c r="I1092" s="1" t="s">
        <v>10</v>
      </c>
      <c r="J1092" s="1">
        <v>435</v>
      </c>
      <c r="K1092" s="89">
        <v>17400</v>
      </c>
      <c r="L1092" s="3">
        <v>9.56</v>
      </c>
      <c r="M1092" s="3">
        <v>21.49</v>
      </c>
      <c r="N1092" s="3" t="s">
        <v>8</v>
      </c>
      <c r="O1092" s="3" t="s">
        <v>8</v>
      </c>
    </row>
    <row r="1093" spans="1:15" x14ac:dyDescent="0.35">
      <c r="A1093" s="5" t="str">
        <f>Loads[[#This Row],[Date]]&amp;Loads[[#This Row],[Product]]</f>
        <v>44230Product1</v>
      </c>
      <c r="B1093" s="5">
        <f>COUNTIF($A$1:A1093,Loads[[#This Row],[Load]])</f>
        <v>10</v>
      </c>
      <c r="C1093" s="3" t="str">
        <f>Loads[[#This Row],[Load]]&amp;Loads[[#This Row],[Count]]</f>
        <v>44230Product110</v>
      </c>
      <c r="D1093" s="90">
        <v>44230</v>
      </c>
      <c r="E1093" s="143">
        <v>5.9027777777777783E-2</v>
      </c>
      <c r="F1093" s="1" t="s">
        <v>9</v>
      </c>
      <c r="G1093" s="2" t="s">
        <v>12</v>
      </c>
      <c r="H1093" s="2" t="s">
        <v>42</v>
      </c>
      <c r="I1093" s="1" t="s">
        <v>11</v>
      </c>
      <c r="J1093" s="1" t="s">
        <v>8</v>
      </c>
      <c r="K1093" s="89">
        <v>33100</v>
      </c>
      <c r="L1093" s="3">
        <v>9.64</v>
      </c>
      <c r="M1093" s="3">
        <v>22.55</v>
      </c>
      <c r="N1093" s="3" t="s">
        <v>8</v>
      </c>
      <c r="O1093" s="3" t="s">
        <v>8</v>
      </c>
    </row>
    <row r="1094" spans="1:15" x14ac:dyDescent="0.35">
      <c r="A1094" s="5" t="str">
        <f>Loads[[#This Row],[Date]]&amp;Loads[[#This Row],[Product]]</f>
        <v>44231Product1</v>
      </c>
      <c r="B1094" s="5">
        <f>COUNTIF($A$1:A1094,Loads[[#This Row],[Load]])</f>
        <v>1</v>
      </c>
      <c r="C1094" s="3" t="str">
        <f>Loads[[#This Row],[Load]]&amp;Loads[[#This Row],[Count]]</f>
        <v>44231Product11</v>
      </c>
      <c r="D1094" s="90">
        <v>44231</v>
      </c>
      <c r="E1094" s="143">
        <v>0.29652777777777778</v>
      </c>
      <c r="F1094" s="1" t="s">
        <v>9</v>
      </c>
      <c r="G1094" s="2" t="s">
        <v>12</v>
      </c>
      <c r="H1094" s="2" t="s">
        <v>42</v>
      </c>
      <c r="I1094" s="1" t="s">
        <v>11</v>
      </c>
      <c r="J1094" s="1" t="s">
        <v>8</v>
      </c>
      <c r="K1094" s="89">
        <v>27720</v>
      </c>
      <c r="L1094" s="3">
        <v>7.65</v>
      </c>
      <c r="M1094" s="3">
        <v>20.54</v>
      </c>
      <c r="N1094" s="3" t="s">
        <v>8</v>
      </c>
      <c r="O1094" s="3" t="s">
        <v>8</v>
      </c>
    </row>
    <row r="1095" spans="1:15" x14ac:dyDescent="0.35">
      <c r="A1095" s="5" t="str">
        <f>Loads[[#This Row],[Date]]&amp;Loads[[#This Row],[Product]]</f>
        <v>44231Product1</v>
      </c>
      <c r="B1095" s="5">
        <f>COUNTIF($A$1:A1095,Loads[[#This Row],[Load]])</f>
        <v>2</v>
      </c>
      <c r="C1095" s="3" t="str">
        <f>Loads[[#This Row],[Load]]&amp;Loads[[#This Row],[Count]]</f>
        <v>44231Product12</v>
      </c>
      <c r="D1095" s="90">
        <v>44231</v>
      </c>
      <c r="E1095" s="143">
        <v>0.29791666666666666</v>
      </c>
      <c r="F1095" s="1" t="s">
        <v>9</v>
      </c>
      <c r="G1095" s="2" t="s">
        <v>12</v>
      </c>
      <c r="H1095" s="2" t="s">
        <v>42</v>
      </c>
      <c r="I1095" s="1" t="s">
        <v>11</v>
      </c>
      <c r="J1095" s="1" t="s">
        <v>8</v>
      </c>
      <c r="K1095" s="89">
        <v>23720</v>
      </c>
      <c r="L1095" s="3">
        <v>5.99</v>
      </c>
      <c r="M1095" s="3">
        <v>20.57</v>
      </c>
      <c r="N1095" s="3" t="s">
        <v>8</v>
      </c>
      <c r="O1095" s="3" t="s">
        <v>8</v>
      </c>
    </row>
    <row r="1096" spans="1:15" x14ac:dyDescent="0.35">
      <c r="A1096" s="5" t="str">
        <f>Loads[[#This Row],[Date]]&amp;Loads[[#This Row],[Product]]</f>
        <v>44231Product1</v>
      </c>
      <c r="B1096" s="5">
        <f>COUNTIF($A$1:A1096,Loads[[#This Row],[Load]])</f>
        <v>3</v>
      </c>
      <c r="C1096" s="3" t="str">
        <f>Loads[[#This Row],[Load]]&amp;Loads[[#This Row],[Count]]</f>
        <v>44231Product13</v>
      </c>
      <c r="D1096" s="90">
        <v>44231</v>
      </c>
      <c r="E1096" s="143">
        <v>6.3194444444444442E-2</v>
      </c>
      <c r="F1096" s="1" t="s">
        <v>9</v>
      </c>
      <c r="G1096" s="2" t="s">
        <v>12</v>
      </c>
      <c r="H1096" s="2" t="s">
        <v>42</v>
      </c>
      <c r="I1096" s="1" t="s">
        <v>10</v>
      </c>
      <c r="J1096" s="1">
        <v>790</v>
      </c>
      <c r="K1096" s="89">
        <v>31500</v>
      </c>
      <c r="L1096" s="3">
        <v>7.83</v>
      </c>
      <c r="M1096" s="3">
        <v>21.57</v>
      </c>
      <c r="N1096" s="3" t="s">
        <v>8</v>
      </c>
      <c r="O1096" s="3" t="s">
        <v>8</v>
      </c>
    </row>
    <row r="1097" spans="1:15" x14ac:dyDescent="0.35">
      <c r="A1097" s="5" t="str">
        <f>Loads[[#This Row],[Date]]&amp;Loads[[#This Row],[Product]]</f>
        <v>44231Product1</v>
      </c>
      <c r="B1097" s="5">
        <f>COUNTIF($A$1:A1097,Loads[[#This Row],[Load]])</f>
        <v>4</v>
      </c>
      <c r="C1097" s="3" t="str">
        <f>Loads[[#This Row],[Load]]&amp;Loads[[#This Row],[Count]]</f>
        <v>44231Product14</v>
      </c>
      <c r="D1097" s="90">
        <v>44231</v>
      </c>
      <c r="E1097" s="143">
        <v>6.5972222222222224E-2</v>
      </c>
      <c r="F1097" s="1" t="s">
        <v>9</v>
      </c>
      <c r="G1097" s="2" t="s">
        <v>12</v>
      </c>
      <c r="H1097" s="2" t="s">
        <v>42</v>
      </c>
      <c r="I1097" s="1" t="s">
        <v>11</v>
      </c>
      <c r="J1097" s="1" t="s">
        <v>8</v>
      </c>
      <c r="K1097" s="89">
        <v>27340</v>
      </c>
      <c r="L1097" s="3">
        <v>7.82</v>
      </c>
      <c r="M1097" s="3">
        <v>20.82</v>
      </c>
      <c r="N1097" s="3" t="s">
        <v>8</v>
      </c>
      <c r="O1097" s="3" t="s">
        <v>8</v>
      </c>
    </row>
    <row r="1098" spans="1:15" x14ac:dyDescent="0.35">
      <c r="A1098" s="5" t="str">
        <f>Loads[[#This Row],[Date]]&amp;Loads[[#This Row],[Product]]</f>
        <v>44231Product1</v>
      </c>
      <c r="B1098" s="5">
        <f>COUNTIF($A$1:A1098,Loads[[#This Row],[Load]])</f>
        <v>5</v>
      </c>
      <c r="C1098" s="3" t="str">
        <f>Loads[[#This Row],[Load]]&amp;Loads[[#This Row],[Count]]</f>
        <v>44231Product15</v>
      </c>
      <c r="D1098" s="90">
        <v>44231</v>
      </c>
      <c r="E1098" s="143">
        <v>6.7361111111111108E-2</v>
      </c>
      <c r="F1098" s="1" t="s">
        <v>9</v>
      </c>
      <c r="G1098" s="2" t="s">
        <v>12</v>
      </c>
      <c r="H1098" s="2" t="s">
        <v>42</v>
      </c>
      <c r="I1098" s="1" t="s">
        <v>11</v>
      </c>
      <c r="J1098" s="1" t="s">
        <v>8</v>
      </c>
      <c r="K1098" s="89">
        <v>18600</v>
      </c>
      <c r="L1098" s="3">
        <v>7.36</v>
      </c>
      <c r="M1098" s="3">
        <v>21.71</v>
      </c>
      <c r="N1098" s="3" t="s">
        <v>8</v>
      </c>
      <c r="O1098" s="3" t="s">
        <v>8</v>
      </c>
    </row>
    <row r="1099" spans="1:15" x14ac:dyDescent="0.35">
      <c r="A1099" s="5" t="str">
        <f>Loads[[#This Row],[Date]]&amp;Loads[[#This Row],[Product]]</f>
        <v>44231Product1</v>
      </c>
      <c r="B1099" s="5">
        <f>COUNTIF($A$1:A1099,Loads[[#This Row],[Load]])</f>
        <v>6</v>
      </c>
      <c r="C1099" s="3" t="str">
        <f>Loads[[#This Row],[Load]]&amp;Loads[[#This Row],[Count]]</f>
        <v>44231Product16</v>
      </c>
      <c r="D1099" s="90">
        <v>44231</v>
      </c>
      <c r="E1099" s="143">
        <v>6.7361111111111108E-2</v>
      </c>
      <c r="F1099" s="1" t="s">
        <v>9</v>
      </c>
      <c r="G1099" s="2" t="s">
        <v>12</v>
      </c>
      <c r="H1099" s="2" t="s">
        <v>42</v>
      </c>
      <c r="I1099" s="1" t="s">
        <v>11</v>
      </c>
      <c r="J1099" s="1" t="s">
        <v>8</v>
      </c>
      <c r="K1099" s="89">
        <v>19140</v>
      </c>
      <c r="L1099" s="3">
        <v>7.84</v>
      </c>
      <c r="M1099" s="3">
        <v>21.07</v>
      </c>
      <c r="N1099" s="3" t="s">
        <v>8</v>
      </c>
      <c r="O1099" s="3" t="s">
        <v>8</v>
      </c>
    </row>
    <row r="1100" spans="1:15" x14ac:dyDescent="0.35">
      <c r="A1100" s="5" t="str">
        <f>Loads[[#This Row],[Date]]&amp;Loads[[#This Row],[Product]]</f>
        <v>44231Product1</v>
      </c>
      <c r="B1100" s="5">
        <f>COUNTIF($A$1:A1100,Loads[[#This Row],[Load]])</f>
        <v>7</v>
      </c>
      <c r="C1100" s="3" t="str">
        <f>Loads[[#This Row],[Load]]&amp;Loads[[#This Row],[Count]]</f>
        <v>44231Product17</v>
      </c>
      <c r="D1100" s="90">
        <v>44231</v>
      </c>
      <c r="E1100" s="143">
        <v>6.8749999999999992E-2</v>
      </c>
      <c r="F1100" s="1" t="s">
        <v>9</v>
      </c>
      <c r="G1100" s="2" t="s">
        <v>12</v>
      </c>
      <c r="H1100" s="2" t="s">
        <v>42</v>
      </c>
      <c r="I1100" s="1" t="s">
        <v>11</v>
      </c>
      <c r="J1100" s="1" t="s">
        <v>8</v>
      </c>
      <c r="K1100" s="89">
        <v>19400</v>
      </c>
      <c r="L1100" s="3">
        <v>7.47</v>
      </c>
      <c r="M1100" s="3">
        <v>21.69</v>
      </c>
      <c r="N1100" s="3" t="s">
        <v>8</v>
      </c>
      <c r="O1100" s="3" t="s">
        <v>8</v>
      </c>
    </row>
    <row r="1101" spans="1:15" x14ac:dyDescent="0.35">
      <c r="A1101" s="5" t="str">
        <f>Loads[[#This Row],[Date]]&amp;Loads[[#This Row],[Product]]</f>
        <v>44231Product1</v>
      </c>
      <c r="B1101" s="5">
        <f>COUNTIF($A$1:A1101,Loads[[#This Row],[Load]])</f>
        <v>8</v>
      </c>
      <c r="C1101" s="3" t="str">
        <f>Loads[[#This Row],[Load]]&amp;Loads[[#This Row],[Count]]</f>
        <v>44231Product18</v>
      </c>
      <c r="D1101" s="90">
        <v>44231</v>
      </c>
      <c r="E1101" s="143">
        <v>7.0833333333333331E-2</v>
      </c>
      <c r="F1101" s="1" t="s">
        <v>9</v>
      </c>
      <c r="G1101" s="2" t="s">
        <v>12</v>
      </c>
      <c r="H1101" s="2" t="s">
        <v>42</v>
      </c>
      <c r="I1101" s="1" t="s">
        <v>11</v>
      </c>
      <c r="J1101" s="1" t="s">
        <v>8</v>
      </c>
      <c r="K1101" s="89">
        <v>32500</v>
      </c>
      <c r="L1101" s="3">
        <v>8.2799999999999994</v>
      </c>
      <c r="M1101" s="3">
        <v>20.62</v>
      </c>
      <c r="N1101" s="3" t="s">
        <v>8</v>
      </c>
      <c r="O1101" s="3" t="s">
        <v>8</v>
      </c>
    </row>
    <row r="1102" spans="1:15" x14ac:dyDescent="0.35">
      <c r="A1102" s="5" t="str">
        <f>Loads[[#This Row],[Date]]&amp;Loads[[#This Row],[Product]]</f>
        <v>44231Product1</v>
      </c>
      <c r="B1102" s="5">
        <f>COUNTIF($A$1:A1102,Loads[[#This Row],[Load]])</f>
        <v>9</v>
      </c>
      <c r="C1102" s="3" t="str">
        <f>Loads[[#This Row],[Load]]&amp;Loads[[#This Row],[Count]]</f>
        <v>44231Product19</v>
      </c>
      <c r="D1102" s="90">
        <v>44231</v>
      </c>
      <c r="E1102" s="143">
        <v>7.1527777777777787E-2</v>
      </c>
      <c r="F1102" s="1" t="s">
        <v>9</v>
      </c>
      <c r="G1102" s="2" t="s">
        <v>12</v>
      </c>
      <c r="H1102" s="2" t="s">
        <v>42</v>
      </c>
      <c r="I1102" s="1" t="s">
        <v>10</v>
      </c>
      <c r="J1102" s="1">
        <v>930</v>
      </c>
      <c r="K1102" s="89">
        <v>37220</v>
      </c>
      <c r="L1102" s="3">
        <v>7.64</v>
      </c>
      <c r="M1102" s="3">
        <v>20.54</v>
      </c>
      <c r="N1102" s="3" t="s">
        <v>8</v>
      </c>
      <c r="O1102" s="3" t="s">
        <v>8</v>
      </c>
    </row>
    <row r="1103" spans="1:15" x14ac:dyDescent="0.35">
      <c r="A1103" s="5" t="str">
        <f>Loads[[#This Row],[Date]]&amp;Loads[[#This Row],[Product]]</f>
        <v>44231Product1</v>
      </c>
      <c r="B1103" s="5">
        <f>COUNTIF($A$1:A1103,Loads[[#This Row],[Load]])</f>
        <v>10</v>
      </c>
      <c r="C1103" s="3" t="str">
        <f>Loads[[#This Row],[Load]]&amp;Loads[[#This Row],[Count]]</f>
        <v>44231Product110</v>
      </c>
      <c r="D1103" s="90">
        <v>44231</v>
      </c>
      <c r="E1103" s="143">
        <v>7.2222222222222229E-2</v>
      </c>
      <c r="F1103" s="1" t="s">
        <v>9</v>
      </c>
      <c r="G1103" s="2" t="s">
        <v>12</v>
      </c>
      <c r="H1103" s="2" t="s">
        <v>42</v>
      </c>
      <c r="I1103" s="1" t="s">
        <v>11</v>
      </c>
      <c r="J1103" s="1" t="s">
        <v>8</v>
      </c>
      <c r="K1103" s="89">
        <v>19220</v>
      </c>
      <c r="L1103" s="3">
        <v>7.75</v>
      </c>
      <c r="M1103" s="3">
        <v>20.94</v>
      </c>
      <c r="N1103" s="3" t="s">
        <v>8</v>
      </c>
      <c r="O1103" s="3" t="s">
        <v>8</v>
      </c>
    </row>
    <row r="1104" spans="1:15" x14ac:dyDescent="0.35">
      <c r="A1104" s="5" t="str">
        <f>Loads[[#This Row],[Date]]&amp;Loads[[#This Row],[Product]]</f>
        <v>44231Product1</v>
      </c>
      <c r="B1104" s="5">
        <f>COUNTIF($A$1:A1104,Loads[[#This Row],[Load]])</f>
        <v>11</v>
      </c>
      <c r="C1104" s="3" t="str">
        <f>Loads[[#This Row],[Load]]&amp;Loads[[#This Row],[Count]]</f>
        <v>44231Product111</v>
      </c>
      <c r="D1104" s="90">
        <v>44231</v>
      </c>
      <c r="E1104" s="143">
        <v>7.2916666666666671E-2</v>
      </c>
      <c r="F1104" s="1" t="s">
        <v>9</v>
      </c>
      <c r="G1104" s="2" t="s">
        <v>12</v>
      </c>
      <c r="H1104" s="2" t="s">
        <v>42</v>
      </c>
      <c r="I1104" s="1" t="s">
        <v>11</v>
      </c>
      <c r="J1104" s="1" t="s">
        <v>8</v>
      </c>
      <c r="K1104" s="89">
        <v>20900</v>
      </c>
      <c r="L1104" s="3">
        <v>7.73</v>
      </c>
      <c r="M1104" s="3">
        <v>20.67</v>
      </c>
      <c r="N1104" s="3" t="s">
        <v>8</v>
      </c>
      <c r="O1104" s="3" t="s">
        <v>8</v>
      </c>
    </row>
    <row r="1105" spans="1:15" x14ac:dyDescent="0.35">
      <c r="A1105" s="5" t="str">
        <f>Loads[[#This Row],[Date]]&amp;Loads[[#This Row],[Product]]</f>
        <v>44231Product1</v>
      </c>
      <c r="B1105" s="5">
        <f>COUNTIF($A$1:A1105,Loads[[#This Row],[Load]])</f>
        <v>12</v>
      </c>
      <c r="C1105" s="3" t="str">
        <f>Loads[[#This Row],[Load]]&amp;Loads[[#This Row],[Count]]</f>
        <v>44231Product112</v>
      </c>
      <c r="D1105" s="90">
        <v>44231</v>
      </c>
      <c r="E1105" s="143">
        <v>7.3611111111111113E-2</v>
      </c>
      <c r="F1105" s="1" t="s">
        <v>9</v>
      </c>
      <c r="G1105" s="2" t="s">
        <v>12</v>
      </c>
      <c r="H1105" s="2" t="s">
        <v>42</v>
      </c>
      <c r="I1105" s="1" t="s">
        <v>11</v>
      </c>
      <c r="J1105" s="1" t="s">
        <v>8</v>
      </c>
      <c r="K1105" s="89">
        <v>28240</v>
      </c>
      <c r="L1105" s="3">
        <v>7.66</v>
      </c>
      <c r="M1105" s="3">
        <v>21.46</v>
      </c>
      <c r="N1105" s="3" t="s">
        <v>8</v>
      </c>
      <c r="O1105" s="3" t="s">
        <v>8</v>
      </c>
    </row>
    <row r="1106" spans="1:15" x14ac:dyDescent="0.35">
      <c r="A1106" s="5" t="str">
        <f>Loads[[#This Row],[Date]]&amp;Loads[[#This Row],[Product]]</f>
        <v>44231Product1</v>
      </c>
      <c r="B1106" s="5">
        <f>COUNTIF($A$1:A1106,Loads[[#This Row],[Load]])</f>
        <v>13</v>
      </c>
      <c r="C1106" s="3" t="str">
        <f>Loads[[#This Row],[Load]]&amp;Loads[[#This Row],[Count]]</f>
        <v>44231Product113</v>
      </c>
      <c r="D1106" s="90">
        <v>44231</v>
      </c>
      <c r="E1106" s="143">
        <v>7.3611111111111113E-2</v>
      </c>
      <c r="F1106" s="1" t="s">
        <v>9</v>
      </c>
      <c r="G1106" s="2" t="s">
        <v>12</v>
      </c>
      <c r="H1106" s="2" t="s">
        <v>42</v>
      </c>
      <c r="I1106" s="1" t="s">
        <v>11</v>
      </c>
      <c r="J1106" s="1" t="s">
        <v>8</v>
      </c>
      <c r="K1106" s="89">
        <v>22620</v>
      </c>
      <c r="L1106" s="3">
        <v>7.88</v>
      </c>
      <c r="M1106" s="3">
        <v>21.15</v>
      </c>
      <c r="N1106" s="3" t="s">
        <v>8</v>
      </c>
      <c r="O1106" s="3" t="s">
        <v>8</v>
      </c>
    </row>
    <row r="1107" spans="1:15" x14ac:dyDescent="0.35">
      <c r="A1107" s="5" t="str">
        <f>Loads[[#This Row],[Date]]&amp;Loads[[#This Row],[Product]]</f>
        <v>44231Product1</v>
      </c>
      <c r="B1107" s="5">
        <f>COUNTIF($A$1:A1107,Loads[[#This Row],[Load]])</f>
        <v>14</v>
      </c>
      <c r="C1107" s="3" t="str">
        <f>Loads[[#This Row],[Load]]&amp;Loads[[#This Row],[Count]]</f>
        <v>44231Product114</v>
      </c>
      <c r="D1107" s="90">
        <v>44231</v>
      </c>
      <c r="E1107" s="143">
        <v>7.4999999999999997E-2</v>
      </c>
      <c r="F1107" s="1" t="s">
        <v>9</v>
      </c>
      <c r="G1107" s="2" t="s">
        <v>12</v>
      </c>
      <c r="H1107" s="2" t="s">
        <v>42</v>
      </c>
      <c r="I1107" s="1" t="s">
        <v>11</v>
      </c>
      <c r="J1107" s="1" t="s">
        <v>8</v>
      </c>
      <c r="K1107" s="89">
        <v>20020</v>
      </c>
      <c r="L1107" s="3">
        <v>7.65</v>
      </c>
      <c r="M1107" s="3">
        <v>20.86</v>
      </c>
      <c r="N1107" s="3" t="s">
        <v>8</v>
      </c>
      <c r="O1107" s="3" t="s">
        <v>8</v>
      </c>
    </row>
    <row r="1108" spans="1:15" x14ac:dyDescent="0.35">
      <c r="A1108" s="5" t="str">
        <f>Loads[[#This Row],[Date]]&amp;Loads[[#This Row],[Product]]</f>
        <v>44231Product1</v>
      </c>
      <c r="B1108" s="5">
        <f>COUNTIF($A$1:A1108,Loads[[#This Row],[Load]])</f>
        <v>15</v>
      </c>
      <c r="C1108" s="3" t="str">
        <f>Loads[[#This Row],[Load]]&amp;Loads[[#This Row],[Count]]</f>
        <v>44231Product115</v>
      </c>
      <c r="D1108" s="90">
        <v>44231</v>
      </c>
      <c r="E1108" s="143">
        <v>7.6388888888888895E-2</v>
      </c>
      <c r="F1108" s="1" t="s">
        <v>9</v>
      </c>
      <c r="G1108" s="2" t="s">
        <v>12</v>
      </c>
      <c r="H1108" s="2" t="s">
        <v>42</v>
      </c>
      <c r="I1108" s="1" t="s">
        <v>10</v>
      </c>
      <c r="J1108" s="1">
        <v>350</v>
      </c>
      <c r="K1108" s="89">
        <v>14060</v>
      </c>
      <c r="L1108" s="3">
        <v>8.09</v>
      </c>
      <c r="M1108" s="3">
        <v>19.37</v>
      </c>
      <c r="N1108" s="3" t="s">
        <v>8</v>
      </c>
      <c r="O1108" s="3" t="s">
        <v>8</v>
      </c>
    </row>
    <row r="1109" spans="1:15" x14ac:dyDescent="0.35">
      <c r="A1109" s="5" t="str">
        <f>Loads[[#This Row],[Date]]&amp;Loads[[#This Row],[Product]]</f>
        <v>44232Product1</v>
      </c>
      <c r="B1109" s="5">
        <f>COUNTIF($A$1:A1109,Loads[[#This Row],[Load]])</f>
        <v>1</v>
      </c>
      <c r="C1109" s="3" t="str">
        <f>Loads[[#This Row],[Load]]&amp;Loads[[#This Row],[Count]]</f>
        <v>44232Product11</v>
      </c>
      <c r="D1109" s="90">
        <v>44232</v>
      </c>
      <c r="E1109" s="143">
        <v>0.29166666666666669</v>
      </c>
      <c r="F1109" s="1" t="s">
        <v>9</v>
      </c>
      <c r="G1109" s="2" t="s">
        <v>12</v>
      </c>
      <c r="H1109" s="2" t="s">
        <v>42</v>
      </c>
      <c r="I1109" s="1" t="s">
        <v>10</v>
      </c>
      <c r="J1109" s="1">
        <v>125</v>
      </c>
      <c r="K1109" s="89">
        <v>4940</v>
      </c>
      <c r="L1109" s="3">
        <v>8.5399999999999991</v>
      </c>
      <c r="M1109" s="3">
        <v>20.74</v>
      </c>
      <c r="N1109" s="3" t="s">
        <v>8</v>
      </c>
      <c r="O1109" s="3" t="s">
        <v>8</v>
      </c>
    </row>
    <row r="1110" spans="1:15" x14ac:dyDescent="0.35">
      <c r="A1110" s="5" t="str">
        <f>Loads[[#This Row],[Date]]&amp;Loads[[#This Row],[Product]]</f>
        <v>44232Product1</v>
      </c>
      <c r="B1110" s="5">
        <f>COUNTIF($A$1:A1110,Loads[[#This Row],[Load]])</f>
        <v>2</v>
      </c>
      <c r="C1110" s="3" t="str">
        <f>Loads[[#This Row],[Load]]&amp;Loads[[#This Row],[Count]]</f>
        <v>44232Product12</v>
      </c>
      <c r="D1110" s="90">
        <v>44232</v>
      </c>
      <c r="E1110" s="143">
        <v>0.29236111111111113</v>
      </c>
      <c r="F1110" s="1" t="s">
        <v>9</v>
      </c>
      <c r="G1110" s="2" t="s">
        <v>12</v>
      </c>
      <c r="H1110" s="2" t="s">
        <v>42</v>
      </c>
      <c r="I1110" s="1" t="s">
        <v>10</v>
      </c>
      <c r="J1110" s="1">
        <v>790</v>
      </c>
      <c r="K1110" s="89">
        <v>31200</v>
      </c>
      <c r="L1110" s="3">
        <v>10.34</v>
      </c>
      <c r="M1110" s="3">
        <v>20.77</v>
      </c>
      <c r="N1110" s="3" t="s">
        <v>8</v>
      </c>
      <c r="O1110" s="3" t="s">
        <v>8</v>
      </c>
    </row>
    <row r="1111" spans="1:15" x14ac:dyDescent="0.35">
      <c r="A1111" s="5" t="str">
        <f>Loads[[#This Row],[Date]]&amp;Loads[[#This Row],[Product]]</f>
        <v>44232Product1</v>
      </c>
      <c r="B1111" s="5">
        <f>COUNTIF($A$1:A1111,Loads[[#This Row],[Load]])</f>
        <v>3</v>
      </c>
      <c r="C1111" s="3" t="str">
        <f>Loads[[#This Row],[Load]]&amp;Loads[[#This Row],[Count]]</f>
        <v>44232Product13</v>
      </c>
      <c r="D1111" s="90">
        <v>44232</v>
      </c>
      <c r="E1111" s="143">
        <v>0.29375000000000001</v>
      </c>
      <c r="F1111" s="1" t="s">
        <v>9</v>
      </c>
      <c r="G1111" s="2" t="s">
        <v>12</v>
      </c>
      <c r="H1111" s="2" t="s">
        <v>42</v>
      </c>
      <c r="I1111" s="1" t="s">
        <v>10</v>
      </c>
      <c r="J1111" s="1">
        <v>800</v>
      </c>
      <c r="K1111" s="89">
        <v>31580</v>
      </c>
      <c r="L1111" s="3">
        <v>9.14</v>
      </c>
      <c r="M1111" s="3">
        <v>21.54</v>
      </c>
      <c r="N1111" s="3" t="s">
        <v>8</v>
      </c>
      <c r="O1111" s="3" t="s">
        <v>8</v>
      </c>
    </row>
    <row r="1112" spans="1:15" x14ac:dyDescent="0.35">
      <c r="A1112" s="5" t="str">
        <f>Loads[[#This Row],[Date]]&amp;Loads[[#This Row],[Product]]</f>
        <v>44232Product1</v>
      </c>
      <c r="B1112" s="5">
        <f>COUNTIF($A$1:A1112,Loads[[#This Row],[Load]])</f>
        <v>4</v>
      </c>
      <c r="C1112" s="3" t="str">
        <f>Loads[[#This Row],[Load]]&amp;Loads[[#This Row],[Count]]</f>
        <v>44232Product14</v>
      </c>
      <c r="D1112" s="90">
        <v>44232</v>
      </c>
      <c r="E1112" s="143">
        <v>8.819444444444445E-2</v>
      </c>
      <c r="F1112" s="1" t="s">
        <v>9</v>
      </c>
      <c r="G1112" s="2" t="s">
        <v>12</v>
      </c>
      <c r="H1112" s="2" t="s">
        <v>42</v>
      </c>
      <c r="I1112" s="1" t="s">
        <v>11</v>
      </c>
      <c r="J1112" s="1" t="s">
        <v>8</v>
      </c>
      <c r="K1112" s="89">
        <v>23400</v>
      </c>
      <c r="L1112" s="3">
        <v>7.22</v>
      </c>
      <c r="M1112" s="3">
        <v>20.66</v>
      </c>
      <c r="N1112" s="3" t="s">
        <v>8</v>
      </c>
      <c r="O1112" s="3" t="s">
        <v>8</v>
      </c>
    </row>
    <row r="1113" spans="1:15" x14ac:dyDescent="0.35">
      <c r="A1113" s="5" t="str">
        <f>Loads[[#This Row],[Date]]&amp;Loads[[#This Row],[Product]]</f>
        <v>44232Product1</v>
      </c>
      <c r="B1113" s="5">
        <f>COUNTIF($A$1:A1113,Loads[[#This Row],[Load]])</f>
        <v>5</v>
      </c>
      <c r="C1113" s="3" t="str">
        <f>Loads[[#This Row],[Load]]&amp;Loads[[#This Row],[Count]]</f>
        <v>44232Product15</v>
      </c>
      <c r="D1113" s="90">
        <v>44232</v>
      </c>
      <c r="E1113" s="143">
        <v>8.8888888888888892E-2</v>
      </c>
      <c r="F1113" s="1" t="s">
        <v>9</v>
      </c>
      <c r="G1113" s="2" t="s">
        <v>12</v>
      </c>
      <c r="H1113" s="2" t="s">
        <v>42</v>
      </c>
      <c r="I1113" s="1" t="s">
        <v>10</v>
      </c>
      <c r="J1113" s="1">
        <v>782</v>
      </c>
      <c r="K1113" s="89">
        <v>30620</v>
      </c>
      <c r="L1113" s="3">
        <v>11.06</v>
      </c>
      <c r="M1113" s="3">
        <v>20.079999999999998</v>
      </c>
      <c r="N1113" s="3" t="s">
        <v>8</v>
      </c>
      <c r="O1113" s="3" t="s">
        <v>8</v>
      </c>
    </row>
    <row r="1114" spans="1:15" x14ac:dyDescent="0.35">
      <c r="A1114" s="5" t="str">
        <f>Loads[[#This Row],[Date]]&amp;Loads[[#This Row],[Product]]</f>
        <v>44232Product1</v>
      </c>
      <c r="B1114" s="5">
        <f>COUNTIF($A$1:A1114,Loads[[#This Row],[Load]])</f>
        <v>6</v>
      </c>
      <c r="C1114" s="3" t="str">
        <f>Loads[[#This Row],[Load]]&amp;Loads[[#This Row],[Count]]</f>
        <v>44232Product16</v>
      </c>
      <c r="D1114" s="90">
        <v>44232</v>
      </c>
      <c r="E1114" s="143">
        <v>9.0277777777777776E-2</v>
      </c>
      <c r="F1114" s="1" t="s">
        <v>9</v>
      </c>
      <c r="G1114" s="2" t="s">
        <v>12</v>
      </c>
      <c r="H1114" s="2" t="s">
        <v>42</v>
      </c>
      <c r="I1114" s="1" t="s">
        <v>11</v>
      </c>
      <c r="J1114" s="1" t="s">
        <v>8</v>
      </c>
      <c r="K1114" s="89">
        <v>28020</v>
      </c>
      <c r="L1114" s="3">
        <v>10.08</v>
      </c>
      <c r="M1114" s="3">
        <v>21.14</v>
      </c>
      <c r="N1114" s="3" t="s">
        <v>8</v>
      </c>
      <c r="O1114" s="3" t="s">
        <v>8</v>
      </c>
    </row>
    <row r="1115" spans="1:15" x14ac:dyDescent="0.35">
      <c r="A1115" s="5" t="str">
        <f>Loads[[#This Row],[Date]]&amp;Loads[[#This Row],[Product]]</f>
        <v>44232Product1</v>
      </c>
      <c r="B1115" s="5">
        <f>COUNTIF($A$1:A1115,Loads[[#This Row],[Load]])</f>
        <v>7</v>
      </c>
      <c r="C1115" s="3" t="str">
        <f>Loads[[#This Row],[Load]]&amp;Loads[[#This Row],[Count]]</f>
        <v>44232Product17</v>
      </c>
      <c r="D1115" s="90">
        <v>44232</v>
      </c>
      <c r="E1115" s="143">
        <v>9.0277777777777776E-2</v>
      </c>
      <c r="F1115" s="1" t="s">
        <v>9</v>
      </c>
      <c r="G1115" s="2" t="s">
        <v>12</v>
      </c>
      <c r="H1115" s="2" t="s">
        <v>42</v>
      </c>
      <c r="I1115" s="1" t="s">
        <v>11</v>
      </c>
      <c r="J1115" s="1" t="s">
        <v>8</v>
      </c>
      <c r="K1115" s="89">
        <v>24080</v>
      </c>
      <c r="L1115" s="3">
        <v>9.07</v>
      </c>
      <c r="M1115" s="3">
        <v>21.62</v>
      </c>
      <c r="N1115" s="3" t="s">
        <v>8</v>
      </c>
      <c r="O1115" s="3" t="s">
        <v>8</v>
      </c>
    </row>
    <row r="1116" spans="1:15" x14ac:dyDescent="0.35">
      <c r="A1116" s="5" t="str">
        <f>Loads[[#This Row],[Date]]&amp;Loads[[#This Row],[Product]]</f>
        <v>44232Product1</v>
      </c>
      <c r="B1116" s="5">
        <f>COUNTIF($A$1:A1116,Loads[[#This Row],[Load]])</f>
        <v>8</v>
      </c>
      <c r="C1116" s="3" t="str">
        <f>Loads[[#This Row],[Load]]&amp;Loads[[#This Row],[Count]]</f>
        <v>44232Product18</v>
      </c>
      <c r="D1116" s="90">
        <v>44232</v>
      </c>
      <c r="E1116" s="143">
        <v>9.1666666666666674E-2</v>
      </c>
      <c r="F1116" s="1" t="s">
        <v>9</v>
      </c>
      <c r="G1116" s="2" t="s">
        <v>12</v>
      </c>
      <c r="H1116" s="2" t="s">
        <v>42</v>
      </c>
      <c r="I1116" s="1" t="s">
        <v>11</v>
      </c>
      <c r="J1116" s="1" t="s">
        <v>8</v>
      </c>
      <c r="K1116" s="89">
        <v>18280</v>
      </c>
      <c r="L1116" s="3">
        <v>7.67</v>
      </c>
      <c r="M1116" s="3">
        <v>20.66</v>
      </c>
      <c r="N1116" s="3" t="s">
        <v>8</v>
      </c>
      <c r="O1116" s="3" t="s">
        <v>8</v>
      </c>
    </row>
    <row r="1117" spans="1:15" x14ac:dyDescent="0.35">
      <c r="A1117" s="5" t="str">
        <f>Loads[[#This Row],[Date]]&amp;Loads[[#This Row],[Product]]</f>
        <v>44232Product1</v>
      </c>
      <c r="B1117" s="5">
        <f>COUNTIF($A$1:A1117,Loads[[#This Row],[Load]])</f>
        <v>9</v>
      </c>
      <c r="C1117" s="3" t="str">
        <f>Loads[[#This Row],[Load]]&amp;Loads[[#This Row],[Count]]</f>
        <v>44232Product19</v>
      </c>
      <c r="D1117" s="90">
        <v>44232</v>
      </c>
      <c r="E1117" s="143">
        <v>9.3055555555555558E-2</v>
      </c>
      <c r="F1117" s="1" t="s">
        <v>9</v>
      </c>
      <c r="G1117" s="2" t="s">
        <v>12</v>
      </c>
      <c r="H1117" s="2" t="s">
        <v>42</v>
      </c>
      <c r="I1117" s="1" t="s">
        <v>11</v>
      </c>
      <c r="J1117" s="1" t="s">
        <v>8</v>
      </c>
      <c r="K1117" s="89">
        <v>19620</v>
      </c>
      <c r="L1117" s="3">
        <v>7.03</v>
      </c>
      <c r="M1117" s="3">
        <v>19.899999999999999</v>
      </c>
      <c r="N1117" s="3" t="s">
        <v>8</v>
      </c>
      <c r="O1117" s="3" t="s">
        <v>8</v>
      </c>
    </row>
    <row r="1118" spans="1:15" x14ac:dyDescent="0.35">
      <c r="A1118" s="5" t="str">
        <f>Loads[[#This Row],[Date]]&amp;Loads[[#This Row],[Product]]</f>
        <v>44232Product1</v>
      </c>
      <c r="B1118" s="5">
        <f>COUNTIF($A$1:A1118,Loads[[#This Row],[Load]])</f>
        <v>10</v>
      </c>
      <c r="C1118" s="3" t="str">
        <f>Loads[[#This Row],[Load]]&amp;Loads[[#This Row],[Count]]</f>
        <v>44232Product110</v>
      </c>
      <c r="D1118" s="90">
        <v>44232</v>
      </c>
      <c r="E1118" s="143">
        <v>9.375E-2</v>
      </c>
      <c r="F1118" s="1" t="s">
        <v>9</v>
      </c>
      <c r="G1118" s="2" t="s">
        <v>12</v>
      </c>
      <c r="H1118" s="2" t="s">
        <v>42</v>
      </c>
      <c r="I1118" s="1" t="s">
        <v>11</v>
      </c>
      <c r="J1118" s="1" t="s">
        <v>8</v>
      </c>
      <c r="K1118" s="89">
        <v>21740</v>
      </c>
      <c r="L1118" s="3">
        <v>7.11</v>
      </c>
      <c r="M1118" s="3">
        <v>20.3</v>
      </c>
      <c r="N1118" s="3" t="s">
        <v>8</v>
      </c>
      <c r="O1118" s="3" t="s">
        <v>8</v>
      </c>
    </row>
    <row r="1119" spans="1:15" x14ac:dyDescent="0.35">
      <c r="A1119" s="5" t="str">
        <f>Loads[[#This Row],[Date]]&amp;Loads[[#This Row],[Product]]</f>
        <v>44232Product1</v>
      </c>
      <c r="B1119" s="5">
        <f>COUNTIF($A$1:A1119,Loads[[#This Row],[Load]])</f>
        <v>11</v>
      </c>
      <c r="C1119" s="3" t="str">
        <f>Loads[[#This Row],[Load]]&amp;Loads[[#This Row],[Count]]</f>
        <v>44232Product111</v>
      </c>
      <c r="D1119" s="90">
        <v>44232</v>
      </c>
      <c r="E1119" s="143">
        <v>9.4444444444444442E-2</v>
      </c>
      <c r="F1119" s="1" t="s">
        <v>9</v>
      </c>
      <c r="G1119" s="2" t="s">
        <v>12</v>
      </c>
      <c r="H1119" s="2" t="s">
        <v>42</v>
      </c>
      <c r="I1119" s="1" t="s">
        <v>11</v>
      </c>
      <c r="J1119" s="1" t="s">
        <v>8</v>
      </c>
      <c r="K1119" s="89">
        <v>25320</v>
      </c>
      <c r="L1119" s="3">
        <v>7.4</v>
      </c>
      <c r="M1119" s="3">
        <v>20.71</v>
      </c>
      <c r="N1119" s="3" t="s">
        <v>8</v>
      </c>
      <c r="O1119" s="3" t="s">
        <v>8</v>
      </c>
    </row>
    <row r="1120" spans="1:15" x14ac:dyDescent="0.35">
      <c r="A1120" s="5" t="str">
        <f>Loads[[#This Row],[Date]]&amp;Loads[[#This Row],[Product]]</f>
        <v>44232Product1</v>
      </c>
      <c r="B1120" s="5">
        <f>COUNTIF($A$1:A1120,Loads[[#This Row],[Load]])</f>
        <v>12</v>
      </c>
      <c r="C1120" s="3" t="str">
        <f>Loads[[#This Row],[Load]]&amp;Loads[[#This Row],[Count]]</f>
        <v>44232Product112</v>
      </c>
      <c r="D1120" s="90">
        <v>44232</v>
      </c>
      <c r="E1120" s="143">
        <v>9.4444444444444442E-2</v>
      </c>
      <c r="F1120" s="1" t="s">
        <v>9</v>
      </c>
      <c r="G1120" s="2" t="s">
        <v>12</v>
      </c>
      <c r="H1120" s="2" t="s">
        <v>42</v>
      </c>
      <c r="I1120" s="1" t="s">
        <v>11</v>
      </c>
      <c r="J1120" s="1" t="s">
        <v>8</v>
      </c>
      <c r="K1120" s="89">
        <v>19240</v>
      </c>
      <c r="L1120" s="3">
        <v>6.77</v>
      </c>
      <c r="M1120" s="3">
        <v>21.57</v>
      </c>
      <c r="N1120" s="3" t="s">
        <v>8</v>
      </c>
      <c r="O1120" s="3" t="s">
        <v>8</v>
      </c>
    </row>
    <row r="1121" spans="1:15" x14ac:dyDescent="0.35">
      <c r="A1121" s="5" t="str">
        <f>Loads[[#This Row],[Date]]&amp;Loads[[#This Row],[Product]]</f>
        <v>44232Product1</v>
      </c>
      <c r="B1121" s="5">
        <f>COUNTIF($A$1:A1121,Loads[[#This Row],[Load]])</f>
        <v>13</v>
      </c>
      <c r="C1121" s="3" t="str">
        <f>Loads[[#This Row],[Load]]&amp;Loads[[#This Row],[Count]]</f>
        <v>44232Product113</v>
      </c>
      <c r="D1121" s="90">
        <v>44232</v>
      </c>
      <c r="E1121" s="143">
        <v>9.6527777777777768E-2</v>
      </c>
      <c r="F1121" s="1" t="s">
        <v>9</v>
      </c>
      <c r="G1121" s="2" t="s">
        <v>12</v>
      </c>
      <c r="H1121" s="2" t="s">
        <v>42</v>
      </c>
      <c r="I1121" s="1" t="s">
        <v>11</v>
      </c>
      <c r="J1121" s="1" t="s">
        <v>8</v>
      </c>
      <c r="K1121" s="89">
        <v>19360</v>
      </c>
      <c r="L1121" s="3">
        <v>7.64</v>
      </c>
      <c r="M1121" s="3">
        <v>20.12</v>
      </c>
      <c r="N1121" s="3" t="s">
        <v>8</v>
      </c>
      <c r="O1121" s="3" t="s">
        <v>8</v>
      </c>
    </row>
    <row r="1122" spans="1:15" x14ac:dyDescent="0.35">
      <c r="A1122" s="5" t="str">
        <f>Loads[[#This Row],[Date]]&amp;Loads[[#This Row],[Product]]</f>
        <v>44232Product1</v>
      </c>
      <c r="B1122" s="5">
        <f>COUNTIF($A$1:A1122,Loads[[#This Row],[Load]])</f>
        <v>14</v>
      </c>
      <c r="C1122" s="3" t="str">
        <f>Loads[[#This Row],[Load]]&amp;Loads[[#This Row],[Count]]</f>
        <v>44232Product114</v>
      </c>
      <c r="D1122" s="90">
        <v>44232</v>
      </c>
      <c r="E1122" s="143">
        <v>9.7222222222222224E-2</v>
      </c>
      <c r="F1122" s="1" t="s">
        <v>9</v>
      </c>
      <c r="G1122" s="2" t="s">
        <v>12</v>
      </c>
      <c r="H1122" s="2" t="s">
        <v>42</v>
      </c>
      <c r="I1122" s="1" t="s">
        <v>11</v>
      </c>
      <c r="J1122" s="1" t="s">
        <v>8</v>
      </c>
      <c r="K1122" s="89">
        <v>21520</v>
      </c>
      <c r="L1122" s="3">
        <v>8.18</v>
      </c>
      <c r="M1122" s="3">
        <v>21.01</v>
      </c>
      <c r="N1122" s="3" t="s">
        <v>8</v>
      </c>
      <c r="O1122" s="3" t="s">
        <v>8</v>
      </c>
    </row>
    <row r="1123" spans="1:15" x14ac:dyDescent="0.35">
      <c r="A1123" s="5" t="str">
        <f>Loads[[#This Row],[Date]]&amp;Loads[[#This Row],[Product]]</f>
        <v>44232Product1</v>
      </c>
      <c r="B1123" s="5">
        <f>COUNTIF($A$1:A1123,Loads[[#This Row],[Load]])</f>
        <v>15</v>
      </c>
      <c r="C1123" s="3" t="str">
        <f>Loads[[#This Row],[Load]]&amp;Loads[[#This Row],[Count]]</f>
        <v>44232Product115</v>
      </c>
      <c r="D1123" s="90">
        <v>44232</v>
      </c>
      <c r="E1123" s="143">
        <v>9.7916666666666666E-2</v>
      </c>
      <c r="F1123" s="1" t="s">
        <v>9</v>
      </c>
      <c r="G1123" s="2" t="s">
        <v>12</v>
      </c>
      <c r="H1123" s="2" t="s">
        <v>42</v>
      </c>
      <c r="I1123" s="1" t="s">
        <v>11</v>
      </c>
      <c r="J1123" s="1" t="s">
        <v>8</v>
      </c>
      <c r="K1123" s="89">
        <v>18960</v>
      </c>
      <c r="L1123" s="3">
        <v>7.9</v>
      </c>
      <c r="M1123" s="3">
        <v>20.09</v>
      </c>
      <c r="N1123" s="3" t="s">
        <v>8</v>
      </c>
      <c r="O1123" s="3" t="s">
        <v>8</v>
      </c>
    </row>
    <row r="1124" spans="1:15" x14ac:dyDescent="0.35">
      <c r="A1124" s="5" t="str">
        <f>Loads[[#This Row],[Date]]&amp;Loads[[#This Row],[Product]]</f>
        <v>44232Product1</v>
      </c>
      <c r="B1124" s="5">
        <f>COUNTIF($A$1:A1124,Loads[[#This Row],[Load]])</f>
        <v>16</v>
      </c>
      <c r="C1124" s="3" t="str">
        <f>Loads[[#This Row],[Load]]&amp;Loads[[#This Row],[Count]]</f>
        <v>44232Product116</v>
      </c>
      <c r="D1124" s="90">
        <v>44232</v>
      </c>
      <c r="E1124" s="143">
        <v>0.10277777777777779</v>
      </c>
      <c r="F1124" s="1" t="s">
        <v>9</v>
      </c>
      <c r="G1124" s="2" t="s">
        <v>12</v>
      </c>
      <c r="H1124" s="2" t="s">
        <v>42</v>
      </c>
      <c r="I1124" s="1" t="s">
        <v>11</v>
      </c>
      <c r="J1124" s="1" t="s">
        <v>8</v>
      </c>
      <c r="K1124" s="89">
        <v>32280</v>
      </c>
      <c r="L1124" s="3">
        <v>7.96</v>
      </c>
      <c r="M1124" s="3">
        <v>20.09</v>
      </c>
      <c r="N1124" s="3" t="s">
        <v>8</v>
      </c>
      <c r="O1124" s="3" t="s">
        <v>8</v>
      </c>
    </row>
    <row r="1125" spans="1:15" x14ac:dyDescent="0.35">
      <c r="A1125" s="5" t="str">
        <f>Loads[[#This Row],[Date]]&amp;Loads[[#This Row],[Product]]</f>
        <v>44232Product1</v>
      </c>
      <c r="B1125" s="5">
        <f>COUNTIF($A$1:A1125,Loads[[#This Row],[Load]])</f>
        <v>17</v>
      </c>
      <c r="C1125" s="3" t="str">
        <f>Loads[[#This Row],[Load]]&amp;Loads[[#This Row],[Count]]</f>
        <v>44232Product117</v>
      </c>
      <c r="D1125" s="90">
        <v>44232</v>
      </c>
      <c r="E1125" s="143">
        <v>0.10277777777777779</v>
      </c>
      <c r="F1125" s="1" t="s">
        <v>9</v>
      </c>
      <c r="G1125" s="2" t="s">
        <v>12</v>
      </c>
      <c r="H1125" s="2" t="s">
        <v>42</v>
      </c>
      <c r="I1125" s="1" t="s">
        <v>11</v>
      </c>
      <c r="J1125" s="1" t="s">
        <v>8</v>
      </c>
      <c r="K1125" s="89">
        <v>19040</v>
      </c>
      <c r="L1125" s="3">
        <v>7.76</v>
      </c>
      <c r="M1125" s="3">
        <v>20.71</v>
      </c>
      <c r="N1125" s="3" t="s">
        <v>8</v>
      </c>
      <c r="O1125" s="3" t="s">
        <v>8</v>
      </c>
    </row>
    <row r="1126" spans="1:15" x14ac:dyDescent="0.35">
      <c r="A1126" s="5" t="str">
        <f>Loads[[#This Row],[Date]]&amp;Loads[[#This Row],[Product]]</f>
        <v>44232Product1</v>
      </c>
      <c r="B1126" s="5">
        <f>COUNTIF($A$1:A1126,Loads[[#This Row],[Load]])</f>
        <v>18</v>
      </c>
      <c r="C1126" s="3" t="str">
        <f>Loads[[#This Row],[Load]]&amp;Loads[[#This Row],[Count]]</f>
        <v>44232Product118</v>
      </c>
      <c r="D1126" s="90">
        <v>44232</v>
      </c>
      <c r="E1126" s="143">
        <v>0.10347222222222223</v>
      </c>
      <c r="F1126" s="1" t="s">
        <v>9</v>
      </c>
      <c r="G1126" s="2" t="s">
        <v>12</v>
      </c>
      <c r="H1126" s="2" t="s">
        <v>42</v>
      </c>
      <c r="I1126" s="1" t="s">
        <v>11</v>
      </c>
      <c r="J1126" s="1" t="s">
        <v>8</v>
      </c>
      <c r="K1126" s="89">
        <v>20040</v>
      </c>
      <c r="L1126" s="3">
        <v>7.73</v>
      </c>
      <c r="M1126" s="3">
        <v>20.83</v>
      </c>
      <c r="N1126" s="3" t="s">
        <v>8</v>
      </c>
      <c r="O1126" s="3" t="s">
        <v>8</v>
      </c>
    </row>
    <row r="1127" spans="1:15" x14ac:dyDescent="0.35">
      <c r="A1127" s="5" t="str">
        <f>Loads[[#This Row],[Date]]&amp;Loads[[#This Row],[Product]]</f>
        <v>44232Product1</v>
      </c>
      <c r="B1127" s="5">
        <f>COUNTIF($A$1:A1127,Loads[[#This Row],[Load]])</f>
        <v>19</v>
      </c>
      <c r="C1127" s="3" t="str">
        <f>Loads[[#This Row],[Load]]&amp;Loads[[#This Row],[Count]]</f>
        <v>44232Product119</v>
      </c>
      <c r="D1127" s="90">
        <v>44232</v>
      </c>
      <c r="E1127" s="143">
        <v>0.10416666666666667</v>
      </c>
      <c r="F1127" s="1" t="s">
        <v>9</v>
      </c>
      <c r="G1127" s="2" t="s">
        <v>12</v>
      </c>
      <c r="H1127" s="2" t="s">
        <v>42</v>
      </c>
      <c r="I1127" s="1" t="s">
        <v>10</v>
      </c>
      <c r="J1127" s="1">
        <v>225</v>
      </c>
      <c r="K1127" s="89">
        <v>9040</v>
      </c>
      <c r="L1127" s="3">
        <v>8.77</v>
      </c>
      <c r="M1127" s="3">
        <v>20.93</v>
      </c>
      <c r="N1127" s="3" t="s">
        <v>8</v>
      </c>
      <c r="O1127" s="3" t="s">
        <v>8</v>
      </c>
    </row>
    <row r="1128" spans="1:15" x14ac:dyDescent="0.35">
      <c r="A1128" s="5" t="str">
        <f>Loads[[#This Row],[Date]]&amp;Loads[[#This Row],[Product]]</f>
        <v>44233Product1</v>
      </c>
      <c r="B1128" s="5">
        <f>COUNTIF($A$1:A1128,Loads[[#This Row],[Load]])</f>
        <v>1</v>
      </c>
      <c r="C1128" s="3" t="str">
        <f>Loads[[#This Row],[Load]]&amp;Loads[[#This Row],[Count]]</f>
        <v>44233Product11</v>
      </c>
      <c r="D1128" s="90">
        <v>44233</v>
      </c>
      <c r="E1128" s="143">
        <v>1.8749999999999999E-2</v>
      </c>
      <c r="F1128" s="1" t="s">
        <v>9</v>
      </c>
      <c r="G1128" s="2" t="s">
        <v>12</v>
      </c>
      <c r="H1128" s="2" t="s">
        <v>42</v>
      </c>
      <c r="I1128" s="1" t="s">
        <v>10</v>
      </c>
      <c r="J1128" s="1">
        <v>885</v>
      </c>
      <c r="K1128" s="89">
        <v>34700</v>
      </c>
      <c r="L1128" s="3">
        <v>9.44</v>
      </c>
      <c r="M1128" s="3">
        <v>20.309999999999999</v>
      </c>
      <c r="N1128" s="3" t="s">
        <v>8</v>
      </c>
      <c r="O1128" s="3" t="s">
        <v>8</v>
      </c>
    </row>
    <row r="1129" spans="1:15" x14ac:dyDescent="0.35">
      <c r="A1129" s="5" t="str">
        <f>Loads[[#This Row],[Date]]&amp;Loads[[#This Row],[Product]]</f>
        <v>44233Product1</v>
      </c>
      <c r="B1129" s="5">
        <f>COUNTIF($A$1:A1129,Loads[[#This Row],[Load]])</f>
        <v>2</v>
      </c>
      <c r="C1129" s="3" t="str">
        <f>Loads[[#This Row],[Load]]&amp;Loads[[#This Row],[Count]]</f>
        <v>44233Product12</v>
      </c>
      <c r="D1129" s="90">
        <v>44233</v>
      </c>
      <c r="E1129" s="143">
        <v>2.4305555555555556E-2</v>
      </c>
      <c r="F1129" s="1" t="s">
        <v>9</v>
      </c>
      <c r="G1129" s="2" t="s">
        <v>12</v>
      </c>
      <c r="H1129" s="2" t="s">
        <v>42</v>
      </c>
      <c r="I1129" s="1" t="s">
        <v>10</v>
      </c>
      <c r="J1129" s="1">
        <v>770</v>
      </c>
      <c r="K1129" s="89">
        <v>30320</v>
      </c>
      <c r="L1129" s="3">
        <v>9.19</v>
      </c>
      <c r="M1129" s="3">
        <v>21.03</v>
      </c>
      <c r="N1129" s="3" t="s">
        <v>8</v>
      </c>
      <c r="O1129" s="3" t="s">
        <v>8</v>
      </c>
    </row>
    <row r="1130" spans="1:15" x14ac:dyDescent="0.35">
      <c r="A1130" s="5" t="str">
        <f>Loads[[#This Row],[Date]]&amp;Loads[[#This Row],[Product]]</f>
        <v>44233Product1</v>
      </c>
      <c r="B1130" s="5">
        <f>COUNTIF($A$1:A1130,Loads[[#This Row],[Load]])</f>
        <v>3</v>
      </c>
      <c r="C1130" s="3" t="str">
        <f>Loads[[#This Row],[Load]]&amp;Loads[[#This Row],[Count]]</f>
        <v>44233Product13</v>
      </c>
      <c r="D1130" s="90">
        <v>44233</v>
      </c>
      <c r="E1130" s="143">
        <v>2.8472222222222222E-2</v>
      </c>
      <c r="F1130" s="1" t="s">
        <v>9</v>
      </c>
      <c r="G1130" s="2" t="s">
        <v>12</v>
      </c>
      <c r="H1130" s="2" t="s">
        <v>42</v>
      </c>
      <c r="I1130" s="1" t="s">
        <v>11</v>
      </c>
      <c r="J1130" s="1" t="s">
        <v>8</v>
      </c>
      <c r="K1130" s="89">
        <v>19440</v>
      </c>
      <c r="L1130" s="3">
        <v>9.09</v>
      </c>
      <c r="M1130" s="3">
        <v>21.08</v>
      </c>
      <c r="N1130" s="3" t="s">
        <v>8</v>
      </c>
      <c r="O1130" s="3" t="s">
        <v>8</v>
      </c>
    </row>
    <row r="1131" spans="1:15" x14ac:dyDescent="0.35">
      <c r="A1131" s="5" t="str">
        <f>Loads[[#This Row],[Date]]&amp;Loads[[#This Row],[Product]]</f>
        <v>44233Product1</v>
      </c>
      <c r="B1131" s="5">
        <f>COUNTIF($A$1:A1131,Loads[[#This Row],[Load]])</f>
        <v>4</v>
      </c>
      <c r="C1131" s="3" t="str">
        <f>Loads[[#This Row],[Load]]&amp;Loads[[#This Row],[Count]]</f>
        <v>44233Product14</v>
      </c>
      <c r="D1131" s="90">
        <v>44233</v>
      </c>
      <c r="E1131" s="143">
        <v>2.9166666666666664E-2</v>
      </c>
      <c r="F1131" s="1" t="s">
        <v>9</v>
      </c>
      <c r="G1131" s="2" t="s">
        <v>12</v>
      </c>
      <c r="H1131" s="2" t="s">
        <v>42</v>
      </c>
      <c r="I1131" s="1" t="s">
        <v>11</v>
      </c>
      <c r="J1131" s="1" t="s">
        <v>8</v>
      </c>
      <c r="K1131" s="89">
        <v>20960</v>
      </c>
      <c r="L1131" s="3">
        <v>9.07</v>
      </c>
      <c r="M1131" s="3">
        <v>21.18</v>
      </c>
      <c r="N1131" s="3" t="s">
        <v>8</v>
      </c>
      <c r="O1131" s="3" t="s">
        <v>8</v>
      </c>
    </row>
    <row r="1132" spans="1:15" x14ac:dyDescent="0.35">
      <c r="A1132" s="5" t="str">
        <f>Loads[[#This Row],[Date]]&amp;Loads[[#This Row],[Product]]</f>
        <v>44233Product1</v>
      </c>
      <c r="B1132" s="5">
        <f>COUNTIF($A$1:A1132,Loads[[#This Row],[Load]])</f>
        <v>5</v>
      </c>
      <c r="C1132" s="3" t="str">
        <f>Loads[[#This Row],[Load]]&amp;Loads[[#This Row],[Count]]</f>
        <v>44233Product15</v>
      </c>
      <c r="D1132" s="90">
        <v>44233</v>
      </c>
      <c r="E1132" s="143">
        <v>2.9861111111111113E-2</v>
      </c>
      <c r="F1132" s="1" t="s">
        <v>9</v>
      </c>
      <c r="G1132" s="2" t="s">
        <v>12</v>
      </c>
      <c r="H1132" s="2" t="s">
        <v>42</v>
      </c>
      <c r="I1132" s="1" t="s">
        <v>11</v>
      </c>
      <c r="J1132" s="1" t="s">
        <v>8</v>
      </c>
      <c r="K1132" s="89">
        <v>26540</v>
      </c>
      <c r="L1132" s="3">
        <v>9.1199999999999992</v>
      </c>
      <c r="M1132" s="3">
        <v>21.52</v>
      </c>
      <c r="N1132" s="3" t="s">
        <v>8</v>
      </c>
      <c r="O1132" s="3" t="s">
        <v>8</v>
      </c>
    </row>
    <row r="1133" spans="1:15" x14ac:dyDescent="0.35">
      <c r="A1133" s="5" t="str">
        <f>Loads[[#This Row],[Date]]&amp;Loads[[#This Row],[Product]]</f>
        <v>44233Product1</v>
      </c>
      <c r="B1133" s="5">
        <f>COUNTIF($A$1:A1133,Loads[[#This Row],[Load]])</f>
        <v>6</v>
      </c>
      <c r="C1133" s="3" t="str">
        <f>Loads[[#This Row],[Load]]&amp;Loads[[#This Row],[Count]]</f>
        <v>44233Product16</v>
      </c>
      <c r="D1133" s="90">
        <v>44233</v>
      </c>
      <c r="E1133" s="143">
        <v>3.0555555555555555E-2</v>
      </c>
      <c r="F1133" s="1" t="s">
        <v>9</v>
      </c>
      <c r="G1133" s="2" t="s">
        <v>12</v>
      </c>
      <c r="H1133" s="2" t="s">
        <v>42</v>
      </c>
      <c r="I1133" s="1" t="s">
        <v>10</v>
      </c>
      <c r="J1133" s="1">
        <v>648</v>
      </c>
      <c r="K1133" s="89">
        <v>25540</v>
      </c>
      <c r="L1133" s="3">
        <v>9.19</v>
      </c>
      <c r="M1133" s="3">
        <v>21.91</v>
      </c>
      <c r="N1133" s="3" t="s">
        <v>8</v>
      </c>
      <c r="O1133" s="3" t="s">
        <v>8</v>
      </c>
    </row>
    <row r="1134" spans="1:15" x14ac:dyDescent="0.35">
      <c r="A1134" s="5" t="str">
        <f>Loads[[#This Row],[Date]]&amp;Loads[[#This Row],[Product]]</f>
        <v>44233Product1</v>
      </c>
      <c r="B1134" s="5">
        <f>COUNTIF($A$1:A1134,Loads[[#This Row],[Load]])</f>
        <v>7</v>
      </c>
      <c r="C1134" s="3" t="str">
        <f>Loads[[#This Row],[Load]]&amp;Loads[[#This Row],[Count]]</f>
        <v>44233Product17</v>
      </c>
      <c r="D1134" s="90">
        <v>44233</v>
      </c>
      <c r="E1134" s="143">
        <v>3.4722222222222224E-2</v>
      </c>
      <c r="F1134" s="1" t="s">
        <v>9</v>
      </c>
      <c r="G1134" s="2" t="s">
        <v>12</v>
      </c>
      <c r="H1134" s="2" t="s">
        <v>42</v>
      </c>
      <c r="I1134" s="1" t="s">
        <v>11</v>
      </c>
      <c r="J1134" s="1" t="s">
        <v>8</v>
      </c>
      <c r="K1134" s="89">
        <v>29680</v>
      </c>
      <c r="L1134" s="3">
        <v>9.43</v>
      </c>
      <c r="M1134" s="3">
        <v>20.05</v>
      </c>
      <c r="N1134" s="3" t="s">
        <v>8</v>
      </c>
      <c r="O1134" s="3" t="s">
        <v>8</v>
      </c>
    </row>
    <row r="1135" spans="1:15" x14ac:dyDescent="0.35">
      <c r="A1135" s="5" t="str">
        <f>Loads[[#This Row],[Date]]&amp;Loads[[#This Row],[Product]]</f>
        <v>44233Product1</v>
      </c>
      <c r="B1135" s="5">
        <f>COUNTIF($A$1:A1135,Loads[[#This Row],[Load]])</f>
        <v>8</v>
      </c>
      <c r="C1135" s="3" t="str">
        <f>Loads[[#This Row],[Load]]&amp;Loads[[#This Row],[Count]]</f>
        <v>44233Product18</v>
      </c>
      <c r="D1135" s="90">
        <v>44233</v>
      </c>
      <c r="E1135" s="143">
        <v>3.4722222222222224E-2</v>
      </c>
      <c r="F1135" s="1" t="s">
        <v>9</v>
      </c>
      <c r="G1135" s="2" t="s">
        <v>12</v>
      </c>
      <c r="H1135" s="2" t="s">
        <v>42</v>
      </c>
      <c r="I1135" s="1" t="s">
        <v>11</v>
      </c>
      <c r="J1135" s="1" t="s">
        <v>8</v>
      </c>
      <c r="K1135" s="89">
        <v>24280</v>
      </c>
      <c r="L1135" s="3">
        <v>9.56</v>
      </c>
      <c r="M1135" s="3">
        <v>20.49</v>
      </c>
      <c r="N1135" s="3" t="s">
        <v>8</v>
      </c>
      <c r="O1135" s="3" t="s">
        <v>8</v>
      </c>
    </row>
    <row r="1136" spans="1:15" x14ac:dyDescent="0.35">
      <c r="A1136" s="5" t="str">
        <f>Loads[[#This Row],[Date]]&amp;Loads[[#This Row],[Product]]</f>
        <v>44234Product1</v>
      </c>
      <c r="B1136" s="5">
        <f>COUNTIF($A$1:A1136,Loads[[#This Row],[Load]])</f>
        <v>1</v>
      </c>
      <c r="C1136" s="3" t="str">
        <f>Loads[[#This Row],[Load]]&amp;Loads[[#This Row],[Count]]</f>
        <v>44234Product11</v>
      </c>
      <c r="D1136" s="90">
        <v>44234</v>
      </c>
      <c r="E1136" s="143">
        <v>2.9166666666666664E-2</v>
      </c>
      <c r="F1136" s="1" t="s">
        <v>9</v>
      </c>
      <c r="G1136" s="2" t="s">
        <v>12</v>
      </c>
      <c r="H1136" s="2" t="s">
        <v>42</v>
      </c>
      <c r="I1136" s="1" t="s">
        <v>11</v>
      </c>
      <c r="J1136" s="1" t="s">
        <v>8</v>
      </c>
      <c r="K1136" s="89">
        <v>19860</v>
      </c>
      <c r="L1136" s="3">
        <v>7.69</v>
      </c>
      <c r="M1136" s="3">
        <v>21.63</v>
      </c>
      <c r="N1136" s="3" t="s">
        <v>8</v>
      </c>
      <c r="O1136" s="3" t="s">
        <v>8</v>
      </c>
    </row>
    <row r="1137" spans="1:15" x14ac:dyDescent="0.35">
      <c r="A1137" s="5" t="str">
        <f>Loads[[#This Row],[Date]]&amp;Loads[[#This Row],[Product]]</f>
        <v>44234Product1</v>
      </c>
      <c r="B1137" s="5">
        <f>COUNTIF($A$1:A1137,Loads[[#This Row],[Load]])</f>
        <v>2</v>
      </c>
      <c r="C1137" s="3" t="str">
        <f>Loads[[#This Row],[Load]]&amp;Loads[[#This Row],[Count]]</f>
        <v>44234Product12</v>
      </c>
      <c r="D1137" s="90">
        <v>44234</v>
      </c>
      <c r="E1137" s="143">
        <v>3.0555555555555555E-2</v>
      </c>
      <c r="F1137" s="1" t="s">
        <v>9</v>
      </c>
      <c r="G1137" s="2" t="s">
        <v>12</v>
      </c>
      <c r="H1137" s="2" t="s">
        <v>42</v>
      </c>
      <c r="I1137" s="1" t="s">
        <v>11</v>
      </c>
      <c r="J1137" s="1" t="s">
        <v>8</v>
      </c>
      <c r="K1137" s="89">
        <v>25260</v>
      </c>
      <c r="L1137" s="3">
        <v>8.77</v>
      </c>
      <c r="M1137" s="3">
        <v>21.16</v>
      </c>
      <c r="N1137" s="3" t="s">
        <v>8</v>
      </c>
      <c r="O1137" s="3" t="s">
        <v>8</v>
      </c>
    </row>
    <row r="1138" spans="1:15" x14ac:dyDescent="0.35">
      <c r="A1138" s="5" t="str">
        <f>Loads[[#This Row],[Date]]&amp;Loads[[#This Row],[Product]]</f>
        <v>44234Product1</v>
      </c>
      <c r="B1138" s="5">
        <f>COUNTIF($A$1:A1138,Loads[[#This Row],[Load]])</f>
        <v>3</v>
      </c>
      <c r="C1138" s="3" t="str">
        <f>Loads[[#This Row],[Load]]&amp;Loads[[#This Row],[Count]]</f>
        <v>44234Product13</v>
      </c>
      <c r="D1138" s="90">
        <v>44234</v>
      </c>
      <c r="E1138" s="143">
        <v>3.125E-2</v>
      </c>
      <c r="F1138" s="1" t="s">
        <v>9</v>
      </c>
      <c r="G1138" s="2" t="s">
        <v>12</v>
      </c>
      <c r="H1138" s="2" t="s">
        <v>42</v>
      </c>
      <c r="I1138" s="1" t="s">
        <v>11</v>
      </c>
      <c r="J1138" s="1" t="s">
        <v>8</v>
      </c>
      <c r="K1138" s="89">
        <v>19320</v>
      </c>
      <c r="L1138" s="3">
        <v>7.46</v>
      </c>
      <c r="M1138" s="3">
        <v>23.21</v>
      </c>
      <c r="N1138" s="3" t="s">
        <v>8</v>
      </c>
      <c r="O1138" s="3" t="s">
        <v>8</v>
      </c>
    </row>
    <row r="1139" spans="1:15" x14ac:dyDescent="0.35">
      <c r="A1139" s="5" t="str">
        <f>Loads[[#This Row],[Date]]&amp;Loads[[#This Row],[Product]]</f>
        <v>44234Product1</v>
      </c>
      <c r="B1139" s="5">
        <f>COUNTIF($A$1:A1139,Loads[[#This Row],[Load]])</f>
        <v>4</v>
      </c>
      <c r="C1139" s="3" t="str">
        <f>Loads[[#This Row],[Load]]&amp;Loads[[#This Row],[Count]]</f>
        <v>44234Product14</v>
      </c>
      <c r="D1139" s="90">
        <v>44234</v>
      </c>
      <c r="E1139" s="143">
        <v>3.1944444444444449E-2</v>
      </c>
      <c r="F1139" s="1" t="s">
        <v>9</v>
      </c>
      <c r="G1139" s="2" t="s">
        <v>12</v>
      </c>
      <c r="H1139" s="2" t="s">
        <v>42</v>
      </c>
      <c r="I1139" s="1" t="s">
        <v>11</v>
      </c>
      <c r="J1139" s="1" t="s">
        <v>8</v>
      </c>
      <c r="K1139" s="89">
        <v>26000</v>
      </c>
      <c r="L1139" s="3">
        <v>7.74</v>
      </c>
      <c r="M1139" s="3">
        <v>22.11</v>
      </c>
      <c r="N1139" s="3" t="s">
        <v>8</v>
      </c>
      <c r="O1139" s="3" t="s">
        <v>8</v>
      </c>
    </row>
    <row r="1140" spans="1:15" x14ac:dyDescent="0.35">
      <c r="A1140" s="5" t="str">
        <f>Loads[[#This Row],[Date]]&amp;Loads[[#This Row],[Product]]</f>
        <v>44234Product1</v>
      </c>
      <c r="B1140" s="5">
        <f>COUNTIF($A$1:A1140,Loads[[#This Row],[Load]])</f>
        <v>5</v>
      </c>
      <c r="C1140" s="3" t="str">
        <f>Loads[[#This Row],[Load]]&amp;Loads[[#This Row],[Count]]</f>
        <v>44234Product15</v>
      </c>
      <c r="D1140" s="90">
        <v>44234</v>
      </c>
      <c r="E1140" s="143">
        <v>3.6805555555555557E-2</v>
      </c>
      <c r="F1140" s="1" t="s">
        <v>9</v>
      </c>
      <c r="G1140" s="2" t="s">
        <v>12</v>
      </c>
      <c r="H1140" s="2" t="s">
        <v>42</v>
      </c>
      <c r="I1140" s="1" t="s">
        <v>11</v>
      </c>
      <c r="J1140" s="1" t="s">
        <v>8</v>
      </c>
      <c r="K1140" s="89">
        <v>23240</v>
      </c>
      <c r="L1140" s="3">
        <v>9.36</v>
      </c>
      <c r="M1140" s="3">
        <v>22.11</v>
      </c>
      <c r="N1140" s="3" t="s">
        <v>8</v>
      </c>
      <c r="O1140" s="3" t="s">
        <v>8</v>
      </c>
    </row>
    <row r="1141" spans="1:15" x14ac:dyDescent="0.35">
      <c r="A1141" s="5" t="str">
        <f>Loads[[#This Row],[Date]]&amp;Loads[[#This Row],[Product]]</f>
        <v>44234Product1</v>
      </c>
      <c r="B1141" s="5">
        <f>COUNTIF($A$1:A1141,Loads[[#This Row],[Load]])</f>
        <v>6</v>
      </c>
      <c r="C1141" s="3" t="str">
        <f>Loads[[#This Row],[Load]]&amp;Loads[[#This Row],[Count]]</f>
        <v>44234Product16</v>
      </c>
      <c r="D1141" s="90">
        <v>44234</v>
      </c>
      <c r="E1141" s="143">
        <v>3.7499999999999999E-2</v>
      </c>
      <c r="F1141" s="1" t="s">
        <v>9</v>
      </c>
      <c r="G1141" s="2" t="s">
        <v>12</v>
      </c>
      <c r="H1141" s="2" t="s">
        <v>42</v>
      </c>
      <c r="I1141" s="1" t="s">
        <v>11</v>
      </c>
      <c r="J1141" s="1" t="s">
        <v>8</v>
      </c>
      <c r="K1141" s="89">
        <v>19240</v>
      </c>
      <c r="L1141" s="3">
        <v>6.66</v>
      </c>
      <c r="M1141" s="3">
        <v>20.99</v>
      </c>
      <c r="N1141" s="3" t="s">
        <v>8</v>
      </c>
      <c r="O1141" s="3" t="s">
        <v>8</v>
      </c>
    </row>
    <row r="1142" spans="1:15" x14ac:dyDescent="0.35">
      <c r="A1142" s="5" t="str">
        <f>Loads[[#This Row],[Date]]&amp;Loads[[#This Row],[Product]]</f>
        <v>44234Product1</v>
      </c>
      <c r="B1142" s="5">
        <f>COUNTIF($A$1:A1142,Loads[[#This Row],[Load]])</f>
        <v>7</v>
      </c>
      <c r="C1142" s="3" t="str">
        <f>Loads[[#This Row],[Load]]&amp;Loads[[#This Row],[Count]]</f>
        <v>44234Product17</v>
      </c>
      <c r="D1142" s="90">
        <v>44234</v>
      </c>
      <c r="E1142" s="143">
        <v>4.5138888888888888E-2</v>
      </c>
      <c r="F1142" s="1" t="s">
        <v>9</v>
      </c>
      <c r="G1142" s="2" t="s">
        <v>12</v>
      </c>
      <c r="H1142" s="2" t="s">
        <v>42</v>
      </c>
      <c r="I1142" s="1" t="s">
        <v>11</v>
      </c>
      <c r="J1142" s="1" t="s">
        <v>8</v>
      </c>
      <c r="K1142" s="89">
        <v>18520</v>
      </c>
      <c r="L1142" s="3">
        <v>6.47</v>
      </c>
      <c r="M1142" s="3">
        <v>20.77</v>
      </c>
      <c r="N1142" s="3" t="s">
        <v>8</v>
      </c>
      <c r="O1142" s="3" t="s">
        <v>8</v>
      </c>
    </row>
    <row r="1143" spans="1:15" x14ac:dyDescent="0.35">
      <c r="A1143" s="5" t="str">
        <f>Loads[[#This Row],[Date]]&amp;Loads[[#This Row],[Product]]</f>
        <v>44234Product1</v>
      </c>
      <c r="B1143" s="5">
        <f>COUNTIF($A$1:A1143,Loads[[#This Row],[Load]])</f>
        <v>8</v>
      </c>
      <c r="C1143" s="3" t="str">
        <f>Loads[[#This Row],[Load]]&amp;Loads[[#This Row],[Count]]</f>
        <v>44234Product18</v>
      </c>
      <c r="D1143" s="90">
        <v>44234</v>
      </c>
      <c r="E1143" s="143">
        <v>4.5833333333333337E-2</v>
      </c>
      <c r="F1143" s="1" t="s">
        <v>9</v>
      </c>
      <c r="G1143" s="2" t="s">
        <v>12</v>
      </c>
      <c r="H1143" s="2" t="s">
        <v>42</v>
      </c>
      <c r="I1143" s="1" t="s">
        <v>11</v>
      </c>
      <c r="J1143" s="1" t="s">
        <v>8</v>
      </c>
      <c r="K1143" s="89">
        <v>19500</v>
      </c>
      <c r="L1143" s="3">
        <v>6.87</v>
      </c>
      <c r="M1143" s="3">
        <v>21.33</v>
      </c>
      <c r="N1143" s="3" t="s">
        <v>8</v>
      </c>
      <c r="O1143" s="3" t="s">
        <v>8</v>
      </c>
    </row>
    <row r="1144" spans="1:15" x14ac:dyDescent="0.35">
      <c r="A1144" s="5" t="str">
        <f>Loads[[#This Row],[Date]]&amp;Loads[[#This Row],[Product]]</f>
        <v>44234Product1</v>
      </c>
      <c r="B1144" s="5">
        <f>COUNTIF($A$1:A1144,Loads[[#This Row],[Load]])</f>
        <v>9</v>
      </c>
      <c r="C1144" s="3" t="str">
        <f>Loads[[#This Row],[Load]]&amp;Loads[[#This Row],[Count]]</f>
        <v>44234Product19</v>
      </c>
      <c r="D1144" s="90">
        <v>44234</v>
      </c>
      <c r="E1144" s="143">
        <v>4.6527777777777779E-2</v>
      </c>
      <c r="F1144" s="1" t="s">
        <v>9</v>
      </c>
      <c r="G1144" s="2" t="s">
        <v>12</v>
      </c>
      <c r="H1144" s="2" t="s">
        <v>42</v>
      </c>
      <c r="I1144" s="1" t="s">
        <v>11</v>
      </c>
      <c r="J1144" s="1" t="s">
        <v>8</v>
      </c>
      <c r="K1144" s="89">
        <v>30620</v>
      </c>
      <c r="L1144" s="3">
        <v>9.3000000000000007</v>
      </c>
      <c r="M1144" s="3">
        <v>21.31</v>
      </c>
      <c r="N1144" s="3" t="s">
        <v>8</v>
      </c>
      <c r="O1144" s="3" t="s">
        <v>8</v>
      </c>
    </row>
    <row r="1145" spans="1:15" x14ac:dyDescent="0.35">
      <c r="A1145" s="5" t="str">
        <f>Loads[[#This Row],[Date]]&amp;Loads[[#This Row],[Product]]</f>
        <v>44234Product1</v>
      </c>
      <c r="B1145" s="5">
        <f>COUNTIF($A$1:A1145,Loads[[#This Row],[Load]])</f>
        <v>10</v>
      </c>
      <c r="C1145" s="3" t="str">
        <f>Loads[[#This Row],[Load]]&amp;Loads[[#This Row],[Count]]</f>
        <v>44234Product110</v>
      </c>
      <c r="D1145" s="90">
        <v>44234</v>
      </c>
      <c r="E1145" s="143">
        <v>4.7916666666666663E-2</v>
      </c>
      <c r="F1145" s="1" t="s">
        <v>9</v>
      </c>
      <c r="G1145" s="2" t="s">
        <v>12</v>
      </c>
      <c r="H1145" s="2" t="s">
        <v>42</v>
      </c>
      <c r="I1145" s="1" t="s">
        <v>11</v>
      </c>
      <c r="J1145" s="1" t="s">
        <v>8</v>
      </c>
      <c r="K1145" s="89">
        <v>17520</v>
      </c>
      <c r="L1145" s="3">
        <v>8.2799999999999994</v>
      </c>
      <c r="M1145" s="3">
        <v>22.11</v>
      </c>
      <c r="N1145" s="3" t="s">
        <v>8</v>
      </c>
      <c r="O1145" s="3" t="s">
        <v>8</v>
      </c>
    </row>
    <row r="1146" spans="1:15" x14ac:dyDescent="0.35">
      <c r="A1146" s="5" t="str">
        <f>Loads[[#This Row],[Date]]&amp;Loads[[#This Row],[Product]]</f>
        <v>44234Product1</v>
      </c>
      <c r="B1146" s="5">
        <f>COUNTIF($A$1:A1146,Loads[[#This Row],[Load]])</f>
        <v>11</v>
      </c>
      <c r="C1146" s="3" t="str">
        <f>Loads[[#This Row],[Load]]&amp;Loads[[#This Row],[Count]]</f>
        <v>44234Product111</v>
      </c>
      <c r="D1146" s="90">
        <v>44234</v>
      </c>
      <c r="E1146" s="143">
        <v>4.8611111111111112E-2</v>
      </c>
      <c r="F1146" s="1" t="s">
        <v>9</v>
      </c>
      <c r="G1146" s="2" t="s">
        <v>12</v>
      </c>
      <c r="H1146" s="2" t="s">
        <v>42</v>
      </c>
      <c r="I1146" s="1" t="s">
        <v>11</v>
      </c>
      <c r="J1146" s="1" t="s">
        <v>8</v>
      </c>
      <c r="K1146" s="89">
        <v>22740</v>
      </c>
      <c r="L1146" s="3">
        <v>8.77</v>
      </c>
      <c r="M1146" s="3">
        <v>22.18</v>
      </c>
      <c r="N1146" s="3" t="s">
        <v>8</v>
      </c>
      <c r="O1146" s="3" t="s">
        <v>8</v>
      </c>
    </row>
    <row r="1147" spans="1:15" x14ac:dyDescent="0.35">
      <c r="A1147" s="5" t="str">
        <f>Loads[[#This Row],[Date]]&amp;Loads[[#This Row],[Product]]</f>
        <v>44234Product1</v>
      </c>
      <c r="B1147" s="5">
        <f>COUNTIF($A$1:A1147,Loads[[#This Row],[Load]])</f>
        <v>12</v>
      </c>
      <c r="C1147" s="3" t="str">
        <f>Loads[[#This Row],[Load]]&amp;Loads[[#This Row],[Count]]</f>
        <v>44234Product112</v>
      </c>
      <c r="D1147" s="90">
        <v>44234</v>
      </c>
      <c r="E1147" s="143">
        <v>4.9305555555555554E-2</v>
      </c>
      <c r="F1147" s="1" t="s">
        <v>9</v>
      </c>
      <c r="G1147" s="2" t="s">
        <v>12</v>
      </c>
      <c r="H1147" s="2" t="s">
        <v>42</v>
      </c>
      <c r="I1147" s="1" t="s">
        <v>11</v>
      </c>
      <c r="J1147" s="1" t="s">
        <v>8</v>
      </c>
      <c r="K1147" s="89">
        <v>31580</v>
      </c>
      <c r="L1147" s="3">
        <v>8.16</v>
      </c>
      <c r="M1147" s="3">
        <v>22.11</v>
      </c>
      <c r="N1147" s="3" t="s">
        <v>8</v>
      </c>
      <c r="O1147" s="3" t="s">
        <v>8</v>
      </c>
    </row>
    <row r="1148" spans="1:15" x14ac:dyDescent="0.35">
      <c r="A1148" s="5" t="str">
        <f>Loads[[#This Row],[Date]]&amp;Loads[[#This Row],[Product]]</f>
        <v>44234Product1</v>
      </c>
      <c r="B1148" s="5">
        <f>COUNTIF($A$1:A1148,Loads[[#This Row],[Load]])</f>
        <v>13</v>
      </c>
      <c r="C1148" s="3" t="str">
        <f>Loads[[#This Row],[Load]]&amp;Loads[[#This Row],[Count]]</f>
        <v>44234Product113</v>
      </c>
      <c r="D1148" s="90">
        <v>44234</v>
      </c>
      <c r="E1148" s="143">
        <v>4.9999999999999996E-2</v>
      </c>
      <c r="F1148" s="1" t="s">
        <v>9</v>
      </c>
      <c r="G1148" s="2" t="s">
        <v>12</v>
      </c>
      <c r="H1148" s="2" t="s">
        <v>42</v>
      </c>
      <c r="I1148" s="1" t="s">
        <v>11</v>
      </c>
      <c r="J1148" s="1" t="s">
        <v>8</v>
      </c>
      <c r="K1148" s="89">
        <v>30120</v>
      </c>
      <c r="L1148" s="3">
        <v>8.8000000000000007</v>
      </c>
      <c r="M1148" s="3">
        <v>22.41</v>
      </c>
      <c r="N1148" s="3" t="s">
        <v>8</v>
      </c>
      <c r="O1148" s="3" t="s">
        <v>8</v>
      </c>
    </row>
    <row r="1149" spans="1:15" x14ac:dyDescent="0.35">
      <c r="A1149" s="5" t="str">
        <f>Loads[[#This Row],[Date]]&amp;Loads[[#This Row],[Product]]</f>
        <v>44234Product1</v>
      </c>
      <c r="B1149" s="5">
        <f>COUNTIF($A$1:A1149,Loads[[#This Row],[Load]])</f>
        <v>14</v>
      </c>
      <c r="C1149" s="3" t="str">
        <f>Loads[[#This Row],[Load]]&amp;Loads[[#This Row],[Count]]</f>
        <v>44234Product114</v>
      </c>
      <c r="D1149" s="90">
        <v>44234</v>
      </c>
      <c r="E1149" s="143">
        <v>5.1388888888888894E-2</v>
      </c>
      <c r="F1149" s="1" t="s">
        <v>9</v>
      </c>
      <c r="G1149" s="2" t="s">
        <v>12</v>
      </c>
      <c r="H1149" s="2" t="s">
        <v>42</v>
      </c>
      <c r="I1149" s="1" t="s">
        <v>11</v>
      </c>
      <c r="J1149" s="1" t="s">
        <v>8</v>
      </c>
      <c r="K1149" s="89">
        <v>21900</v>
      </c>
      <c r="L1149" s="3">
        <v>9.4499999999999993</v>
      </c>
      <c r="M1149" s="3">
        <v>22.04</v>
      </c>
      <c r="N1149" s="3" t="s">
        <v>8</v>
      </c>
      <c r="O1149" s="3" t="s">
        <v>8</v>
      </c>
    </row>
    <row r="1150" spans="1:15" x14ac:dyDescent="0.35">
      <c r="A1150" s="5" t="str">
        <f>Loads[[#This Row],[Date]]&amp;Loads[[#This Row],[Product]]</f>
        <v>44234Product1</v>
      </c>
      <c r="B1150" s="5">
        <f>COUNTIF($A$1:A1150,Loads[[#This Row],[Load]])</f>
        <v>15</v>
      </c>
      <c r="C1150" s="3" t="str">
        <f>Loads[[#This Row],[Load]]&amp;Loads[[#This Row],[Count]]</f>
        <v>44234Product115</v>
      </c>
      <c r="D1150" s="90">
        <v>44234</v>
      </c>
      <c r="E1150" s="143">
        <v>5.2083333333333336E-2</v>
      </c>
      <c r="F1150" s="1" t="s">
        <v>9</v>
      </c>
      <c r="G1150" s="2" t="s">
        <v>12</v>
      </c>
      <c r="H1150" s="2" t="s">
        <v>42</v>
      </c>
      <c r="I1150" s="1" t="s">
        <v>11</v>
      </c>
      <c r="J1150" s="1" t="s">
        <v>8</v>
      </c>
      <c r="K1150" s="89">
        <v>33600</v>
      </c>
      <c r="L1150" s="3">
        <v>9.32</v>
      </c>
      <c r="M1150" s="3">
        <v>22.14</v>
      </c>
      <c r="N1150" s="3" t="s">
        <v>8</v>
      </c>
      <c r="O1150" s="3" t="s">
        <v>8</v>
      </c>
    </row>
    <row r="1151" spans="1:15" x14ac:dyDescent="0.35">
      <c r="A1151" s="5" t="str">
        <f>Loads[[#This Row],[Date]]&amp;Loads[[#This Row],[Product]]</f>
        <v>44234Product1</v>
      </c>
      <c r="B1151" s="5">
        <f>COUNTIF($A$1:A1151,Loads[[#This Row],[Load]])</f>
        <v>16</v>
      </c>
      <c r="C1151" s="3" t="str">
        <f>Loads[[#This Row],[Load]]&amp;Loads[[#This Row],[Count]]</f>
        <v>44234Product116</v>
      </c>
      <c r="D1151" s="90">
        <v>44234</v>
      </c>
      <c r="E1151" s="143">
        <v>5.2777777777777778E-2</v>
      </c>
      <c r="F1151" s="1" t="s">
        <v>9</v>
      </c>
      <c r="G1151" s="2" t="s">
        <v>12</v>
      </c>
      <c r="H1151" s="2" t="s">
        <v>42</v>
      </c>
      <c r="I1151" s="1" t="s">
        <v>11</v>
      </c>
      <c r="J1151" s="1" t="s">
        <v>8</v>
      </c>
      <c r="K1151" s="89">
        <v>28580</v>
      </c>
      <c r="L1151" s="3">
        <v>9.6999999999999993</v>
      </c>
      <c r="M1151" s="3">
        <v>21.44</v>
      </c>
      <c r="N1151" s="3" t="s">
        <v>8</v>
      </c>
      <c r="O1151" s="3" t="s">
        <v>8</v>
      </c>
    </row>
    <row r="1152" spans="1:15" x14ac:dyDescent="0.35">
      <c r="A1152" s="5" t="str">
        <f>Loads[[#This Row],[Date]]&amp;Loads[[#This Row],[Product]]</f>
        <v>44234Product1</v>
      </c>
      <c r="B1152" s="5">
        <f>COUNTIF($A$1:A1152,Loads[[#This Row],[Load]])</f>
        <v>17</v>
      </c>
      <c r="C1152" s="3" t="str">
        <f>Loads[[#This Row],[Load]]&amp;Loads[[#This Row],[Count]]</f>
        <v>44234Product117</v>
      </c>
      <c r="D1152" s="90">
        <v>44234</v>
      </c>
      <c r="E1152" s="143">
        <v>5.4166666666666669E-2</v>
      </c>
      <c r="F1152" s="1" t="s">
        <v>9</v>
      </c>
      <c r="G1152" s="2" t="s">
        <v>12</v>
      </c>
      <c r="H1152" s="2" t="s">
        <v>42</v>
      </c>
      <c r="I1152" s="1" t="s">
        <v>10</v>
      </c>
      <c r="J1152" s="1">
        <v>330</v>
      </c>
      <c r="K1152" s="89">
        <v>12880</v>
      </c>
      <c r="L1152" s="3">
        <v>9.57</v>
      </c>
      <c r="M1152" s="3">
        <v>21.41</v>
      </c>
      <c r="N1152" s="3" t="s">
        <v>8</v>
      </c>
      <c r="O1152" s="3" t="s">
        <v>8</v>
      </c>
    </row>
    <row r="1153" spans="1:15" x14ac:dyDescent="0.35">
      <c r="A1153" s="5" t="str">
        <f>Loads[[#This Row],[Date]]&amp;Loads[[#This Row],[Product]]</f>
        <v>44235Product1</v>
      </c>
      <c r="B1153" s="5">
        <f>COUNTIF($A$1:A1153,Loads[[#This Row],[Load]])</f>
        <v>1</v>
      </c>
      <c r="C1153" s="3" t="str">
        <f>Loads[[#This Row],[Load]]&amp;Loads[[#This Row],[Count]]</f>
        <v>44235Product11</v>
      </c>
      <c r="D1153" s="90">
        <v>44235</v>
      </c>
      <c r="E1153" s="143">
        <v>0.24027777777777778</v>
      </c>
      <c r="F1153" s="1" t="s">
        <v>9</v>
      </c>
      <c r="G1153" s="2" t="s">
        <v>12</v>
      </c>
      <c r="H1153" s="2" t="s">
        <v>42</v>
      </c>
      <c r="I1153" s="1" t="s">
        <v>11</v>
      </c>
      <c r="J1153" s="1" t="s">
        <v>8</v>
      </c>
      <c r="K1153" s="89">
        <v>28700</v>
      </c>
      <c r="L1153" s="3">
        <v>9.0399999999999991</v>
      </c>
      <c r="M1153" s="3">
        <v>21.26</v>
      </c>
      <c r="N1153" s="3" t="s">
        <v>8</v>
      </c>
      <c r="O1153" s="3" t="s">
        <v>8</v>
      </c>
    </row>
    <row r="1154" spans="1:15" x14ac:dyDescent="0.35">
      <c r="A1154" s="5" t="str">
        <f>Loads[[#This Row],[Date]]&amp;Loads[[#This Row],[Product]]</f>
        <v>44235Product1</v>
      </c>
      <c r="B1154" s="5">
        <f>COUNTIF($A$1:A1154,Loads[[#This Row],[Load]])</f>
        <v>2</v>
      </c>
      <c r="C1154" s="3" t="str">
        <f>Loads[[#This Row],[Load]]&amp;Loads[[#This Row],[Count]]</f>
        <v>44235Product12</v>
      </c>
      <c r="D1154" s="90">
        <v>44235</v>
      </c>
      <c r="E1154" s="143">
        <v>0.24097222222222223</v>
      </c>
      <c r="F1154" s="1" t="s">
        <v>9</v>
      </c>
      <c r="G1154" s="2" t="s">
        <v>12</v>
      </c>
      <c r="H1154" s="2" t="s">
        <v>42</v>
      </c>
      <c r="I1154" s="1" t="s">
        <v>11</v>
      </c>
      <c r="J1154" s="1" t="s">
        <v>8</v>
      </c>
      <c r="K1154" s="89">
        <v>19040</v>
      </c>
      <c r="L1154" s="3">
        <v>7.84</v>
      </c>
      <c r="M1154" s="3">
        <v>21.53</v>
      </c>
      <c r="N1154" s="3" t="s">
        <v>8</v>
      </c>
      <c r="O1154" s="3" t="s">
        <v>8</v>
      </c>
    </row>
    <row r="1155" spans="1:15" x14ac:dyDescent="0.35">
      <c r="A1155" s="5" t="str">
        <f>Loads[[#This Row],[Date]]&amp;Loads[[#This Row],[Product]]</f>
        <v>44235Product1</v>
      </c>
      <c r="B1155" s="5">
        <f>COUNTIF($A$1:A1155,Loads[[#This Row],[Load]])</f>
        <v>3</v>
      </c>
      <c r="C1155" s="3" t="str">
        <f>Loads[[#This Row],[Load]]&amp;Loads[[#This Row],[Count]]</f>
        <v>44235Product13</v>
      </c>
      <c r="D1155" s="90">
        <v>44235</v>
      </c>
      <c r="E1155" s="143">
        <v>0.24374999999999999</v>
      </c>
      <c r="F1155" s="1" t="s">
        <v>9</v>
      </c>
      <c r="G1155" s="2" t="s">
        <v>12</v>
      </c>
      <c r="H1155" s="2" t="s">
        <v>42</v>
      </c>
      <c r="I1155" s="1" t="s">
        <v>11</v>
      </c>
      <c r="J1155" s="1" t="s">
        <v>8</v>
      </c>
      <c r="K1155" s="89">
        <v>18820</v>
      </c>
      <c r="L1155" s="3">
        <v>8.5299999999999994</v>
      </c>
      <c r="M1155" s="3">
        <v>21.36</v>
      </c>
      <c r="N1155" s="3" t="s">
        <v>8</v>
      </c>
      <c r="O1155" s="3" t="s">
        <v>8</v>
      </c>
    </row>
    <row r="1156" spans="1:15" x14ac:dyDescent="0.35">
      <c r="A1156" s="5" t="str">
        <f>Loads[[#This Row],[Date]]&amp;Loads[[#This Row],[Product]]</f>
        <v>44235Product1</v>
      </c>
      <c r="B1156" s="5">
        <f>COUNTIF($A$1:A1156,Loads[[#This Row],[Load]])</f>
        <v>4</v>
      </c>
      <c r="C1156" s="3" t="str">
        <f>Loads[[#This Row],[Load]]&amp;Loads[[#This Row],[Count]]</f>
        <v>44235Product14</v>
      </c>
      <c r="D1156" s="90">
        <v>44235</v>
      </c>
      <c r="E1156" s="143">
        <v>9.375E-2</v>
      </c>
      <c r="F1156" s="1" t="s">
        <v>9</v>
      </c>
      <c r="G1156" s="2" t="s">
        <v>12</v>
      </c>
      <c r="H1156" s="2" t="s">
        <v>42</v>
      </c>
      <c r="I1156" s="1" t="s">
        <v>10</v>
      </c>
      <c r="J1156" s="1">
        <v>575</v>
      </c>
      <c r="K1156" s="89">
        <v>22620</v>
      </c>
      <c r="L1156" s="3">
        <v>9.2799999999999994</v>
      </c>
      <c r="M1156" s="3">
        <v>20.65</v>
      </c>
      <c r="N1156" s="3" t="s">
        <v>8</v>
      </c>
      <c r="O1156" s="3" t="s">
        <v>8</v>
      </c>
    </row>
    <row r="1157" spans="1:15" x14ac:dyDescent="0.35">
      <c r="A1157" s="5" t="str">
        <f>Loads[[#This Row],[Date]]&amp;Loads[[#This Row],[Product]]</f>
        <v>44235Product1</v>
      </c>
      <c r="B1157" s="5">
        <f>COUNTIF($A$1:A1157,Loads[[#This Row],[Load]])</f>
        <v>5</v>
      </c>
      <c r="C1157" s="3" t="str">
        <f>Loads[[#This Row],[Load]]&amp;Loads[[#This Row],[Count]]</f>
        <v>44235Product15</v>
      </c>
      <c r="D1157" s="90">
        <v>44235</v>
      </c>
      <c r="E1157" s="143">
        <v>9.5138888888888884E-2</v>
      </c>
      <c r="F1157" s="1" t="s">
        <v>9</v>
      </c>
      <c r="G1157" s="2" t="s">
        <v>12</v>
      </c>
      <c r="H1157" s="2" t="s">
        <v>42</v>
      </c>
      <c r="I1157" s="1" t="s">
        <v>11</v>
      </c>
      <c r="J1157" s="1" t="s">
        <v>8</v>
      </c>
      <c r="K1157" s="89">
        <v>20840</v>
      </c>
      <c r="L1157" s="3">
        <v>8.57</v>
      </c>
      <c r="M1157" s="3">
        <v>21.36</v>
      </c>
      <c r="N1157" s="3" t="s">
        <v>8</v>
      </c>
      <c r="O1157" s="3" t="s">
        <v>8</v>
      </c>
    </row>
    <row r="1158" spans="1:15" x14ac:dyDescent="0.35">
      <c r="A1158" s="5" t="str">
        <f>Loads[[#This Row],[Date]]&amp;Loads[[#This Row],[Product]]</f>
        <v>44235Product1</v>
      </c>
      <c r="B1158" s="5">
        <f>COUNTIF($A$1:A1158,Loads[[#This Row],[Load]])</f>
        <v>6</v>
      </c>
      <c r="C1158" s="3" t="str">
        <f>Loads[[#This Row],[Load]]&amp;Loads[[#This Row],[Count]]</f>
        <v>44235Product16</v>
      </c>
      <c r="D1158" s="90">
        <v>44235</v>
      </c>
      <c r="E1158" s="143">
        <v>9.5833333333333326E-2</v>
      </c>
      <c r="F1158" s="1" t="s">
        <v>9</v>
      </c>
      <c r="G1158" s="2" t="s">
        <v>12</v>
      </c>
      <c r="H1158" s="2" t="s">
        <v>42</v>
      </c>
      <c r="I1158" s="1" t="s">
        <v>11</v>
      </c>
      <c r="J1158" s="1" t="s">
        <v>8</v>
      </c>
      <c r="K1158" s="89">
        <v>18900</v>
      </c>
      <c r="L1158" s="3">
        <v>8.6999999999999993</v>
      </c>
      <c r="M1158" s="3">
        <v>20.8</v>
      </c>
      <c r="N1158" s="3" t="s">
        <v>8</v>
      </c>
      <c r="O1158" s="3" t="s">
        <v>8</v>
      </c>
    </row>
    <row r="1159" spans="1:15" x14ac:dyDescent="0.35">
      <c r="A1159" s="5" t="str">
        <f>Loads[[#This Row],[Date]]&amp;Loads[[#This Row],[Product]]</f>
        <v>44235Product1</v>
      </c>
      <c r="B1159" s="5">
        <f>COUNTIF($A$1:A1159,Loads[[#This Row],[Load]])</f>
        <v>7</v>
      </c>
      <c r="C1159" s="3" t="str">
        <f>Loads[[#This Row],[Load]]&amp;Loads[[#This Row],[Count]]</f>
        <v>44235Product17</v>
      </c>
      <c r="D1159" s="90">
        <v>44235</v>
      </c>
      <c r="E1159" s="143">
        <v>9.6527777777777768E-2</v>
      </c>
      <c r="F1159" s="1" t="s">
        <v>9</v>
      </c>
      <c r="G1159" s="2" t="s">
        <v>12</v>
      </c>
      <c r="H1159" s="2" t="s">
        <v>42</v>
      </c>
      <c r="I1159" s="1" t="s">
        <v>11</v>
      </c>
      <c r="J1159" s="1" t="s">
        <v>8</v>
      </c>
      <c r="K1159" s="89">
        <v>18420</v>
      </c>
      <c r="L1159" s="3">
        <v>8.91</v>
      </c>
      <c r="M1159" s="3">
        <v>21.16</v>
      </c>
      <c r="N1159" s="3" t="s">
        <v>8</v>
      </c>
      <c r="O1159" s="3" t="s">
        <v>8</v>
      </c>
    </row>
    <row r="1160" spans="1:15" x14ac:dyDescent="0.35">
      <c r="A1160" s="5" t="str">
        <f>Loads[[#This Row],[Date]]&amp;Loads[[#This Row],[Product]]</f>
        <v>44235Product1</v>
      </c>
      <c r="B1160" s="5">
        <f>COUNTIF($A$1:A1160,Loads[[#This Row],[Load]])</f>
        <v>8</v>
      </c>
      <c r="C1160" s="3" t="str">
        <f>Loads[[#This Row],[Load]]&amp;Loads[[#This Row],[Count]]</f>
        <v>44235Product18</v>
      </c>
      <c r="D1160" s="90">
        <v>44235</v>
      </c>
      <c r="E1160" s="143">
        <v>9.6527777777777768E-2</v>
      </c>
      <c r="F1160" s="1" t="s">
        <v>9</v>
      </c>
      <c r="G1160" s="2" t="s">
        <v>12</v>
      </c>
      <c r="H1160" s="2" t="s">
        <v>42</v>
      </c>
      <c r="I1160" s="1" t="s">
        <v>11</v>
      </c>
      <c r="J1160" s="1" t="s">
        <v>8</v>
      </c>
      <c r="K1160" s="89">
        <v>19760</v>
      </c>
      <c r="L1160" s="3">
        <v>8.86</v>
      </c>
      <c r="M1160" s="3">
        <v>20.6</v>
      </c>
      <c r="N1160" s="3" t="s">
        <v>8</v>
      </c>
      <c r="O1160" s="3" t="s">
        <v>8</v>
      </c>
    </row>
    <row r="1161" spans="1:15" x14ac:dyDescent="0.35">
      <c r="A1161" s="5" t="str">
        <f>Loads[[#This Row],[Date]]&amp;Loads[[#This Row],[Product]]</f>
        <v>44235Product1</v>
      </c>
      <c r="B1161" s="5">
        <f>COUNTIF($A$1:A1161,Loads[[#This Row],[Load]])</f>
        <v>9</v>
      </c>
      <c r="C1161" s="3" t="str">
        <f>Loads[[#This Row],[Load]]&amp;Loads[[#This Row],[Count]]</f>
        <v>44235Product19</v>
      </c>
      <c r="D1161" s="90">
        <v>44235</v>
      </c>
      <c r="E1161" s="143">
        <v>9.7222222222222224E-2</v>
      </c>
      <c r="F1161" s="1" t="s">
        <v>9</v>
      </c>
      <c r="G1161" s="2" t="s">
        <v>12</v>
      </c>
      <c r="H1161" s="2" t="s">
        <v>42</v>
      </c>
      <c r="I1161" s="1" t="s">
        <v>11</v>
      </c>
      <c r="J1161" s="1" t="s">
        <v>8</v>
      </c>
      <c r="K1161" s="89">
        <v>19840</v>
      </c>
      <c r="L1161" s="3">
        <v>8.8800000000000008</v>
      </c>
      <c r="M1161" s="3">
        <v>21.56</v>
      </c>
      <c r="N1161" s="3" t="s">
        <v>8</v>
      </c>
      <c r="O1161" s="3" t="s">
        <v>8</v>
      </c>
    </row>
    <row r="1162" spans="1:15" x14ac:dyDescent="0.35">
      <c r="A1162" s="5" t="str">
        <f>Loads[[#This Row],[Date]]&amp;Loads[[#This Row],[Product]]</f>
        <v>44235Product1</v>
      </c>
      <c r="B1162" s="5">
        <f>COUNTIF($A$1:A1162,Loads[[#This Row],[Load]])</f>
        <v>10</v>
      </c>
      <c r="C1162" s="3" t="str">
        <f>Loads[[#This Row],[Load]]&amp;Loads[[#This Row],[Count]]</f>
        <v>44235Product110</v>
      </c>
      <c r="D1162" s="90">
        <v>44235</v>
      </c>
      <c r="E1162" s="143">
        <v>9.7916666666666666E-2</v>
      </c>
      <c r="F1162" s="1" t="s">
        <v>9</v>
      </c>
      <c r="G1162" s="2" t="s">
        <v>12</v>
      </c>
      <c r="H1162" s="2" t="s">
        <v>42</v>
      </c>
      <c r="I1162" s="1" t="s">
        <v>11</v>
      </c>
      <c r="J1162" s="1" t="s">
        <v>8</v>
      </c>
      <c r="K1162" s="89">
        <v>19220</v>
      </c>
      <c r="L1162" s="3">
        <v>9.35</v>
      </c>
      <c r="M1162" s="3">
        <v>21</v>
      </c>
      <c r="N1162" s="3" t="s">
        <v>8</v>
      </c>
      <c r="O1162" s="3" t="s">
        <v>8</v>
      </c>
    </row>
    <row r="1163" spans="1:15" x14ac:dyDescent="0.35">
      <c r="A1163" s="5" t="str">
        <f>Loads[[#This Row],[Date]]&amp;Loads[[#This Row],[Product]]</f>
        <v>44235Product1</v>
      </c>
      <c r="B1163" s="5">
        <f>COUNTIF($A$1:A1163,Loads[[#This Row],[Load]])</f>
        <v>11</v>
      </c>
      <c r="C1163" s="3" t="str">
        <f>Loads[[#This Row],[Load]]&amp;Loads[[#This Row],[Count]]</f>
        <v>44235Product111</v>
      </c>
      <c r="D1163" s="90">
        <v>44235</v>
      </c>
      <c r="E1163" s="143">
        <v>9.8611111111111108E-2</v>
      </c>
      <c r="F1163" s="1" t="s">
        <v>9</v>
      </c>
      <c r="G1163" s="2" t="s">
        <v>12</v>
      </c>
      <c r="H1163" s="2" t="s">
        <v>42</v>
      </c>
      <c r="I1163" s="1" t="s">
        <v>11</v>
      </c>
      <c r="J1163" s="1" t="s">
        <v>8</v>
      </c>
      <c r="K1163" s="89">
        <v>16780</v>
      </c>
      <c r="L1163" s="3">
        <v>9.2100000000000009</v>
      </c>
      <c r="M1163" s="3">
        <v>21.16</v>
      </c>
      <c r="N1163" s="3" t="s">
        <v>8</v>
      </c>
      <c r="O1163" s="3" t="s">
        <v>8</v>
      </c>
    </row>
    <row r="1164" spans="1:15" x14ac:dyDescent="0.35">
      <c r="A1164" s="5" t="str">
        <f>Loads[[#This Row],[Date]]&amp;Loads[[#This Row],[Product]]</f>
        <v>44235Product1</v>
      </c>
      <c r="B1164" s="5">
        <f>COUNTIF($A$1:A1164,Loads[[#This Row],[Load]])</f>
        <v>12</v>
      </c>
      <c r="C1164" s="3" t="str">
        <f>Loads[[#This Row],[Load]]&amp;Loads[[#This Row],[Count]]</f>
        <v>44235Product112</v>
      </c>
      <c r="D1164" s="90">
        <v>44235</v>
      </c>
      <c r="E1164" s="143">
        <v>9.930555555555555E-2</v>
      </c>
      <c r="F1164" s="1" t="s">
        <v>9</v>
      </c>
      <c r="G1164" s="2" t="s">
        <v>12</v>
      </c>
      <c r="H1164" s="2" t="s">
        <v>42</v>
      </c>
      <c r="I1164" s="1" t="s">
        <v>11</v>
      </c>
      <c r="J1164" s="1" t="s">
        <v>8</v>
      </c>
      <c r="K1164" s="89">
        <v>17860</v>
      </c>
      <c r="L1164" s="3">
        <v>9.0500000000000007</v>
      </c>
      <c r="M1164" s="3">
        <v>20.58</v>
      </c>
      <c r="N1164" s="3" t="s">
        <v>8</v>
      </c>
      <c r="O1164" s="3" t="s">
        <v>8</v>
      </c>
    </row>
    <row r="1165" spans="1:15" x14ac:dyDescent="0.35">
      <c r="A1165" s="5" t="str">
        <f>Loads[[#This Row],[Date]]&amp;Loads[[#This Row],[Product]]</f>
        <v>44235Product1</v>
      </c>
      <c r="B1165" s="5">
        <f>COUNTIF($A$1:A1165,Loads[[#This Row],[Load]])</f>
        <v>13</v>
      </c>
      <c r="C1165" s="3" t="str">
        <f>Loads[[#This Row],[Load]]&amp;Loads[[#This Row],[Count]]</f>
        <v>44235Product113</v>
      </c>
      <c r="D1165" s="90">
        <v>44235</v>
      </c>
      <c r="E1165" s="143">
        <v>9.930555555555555E-2</v>
      </c>
      <c r="F1165" s="1" t="s">
        <v>9</v>
      </c>
      <c r="G1165" s="2" t="s">
        <v>12</v>
      </c>
      <c r="H1165" s="2" t="s">
        <v>42</v>
      </c>
      <c r="I1165" s="1" t="s">
        <v>11</v>
      </c>
      <c r="J1165" s="1" t="s">
        <v>8</v>
      </c>
      <c r="K1165" s="89">
        <v>18420</v>
      </c>
      <c r="L1165" s="3">
        <v>8.86</v>
      </c>
      <c r="M1165" s="3">
        <v>21.49</v>
      </c>
      <c r="N1165" s="3" t="s">
        <v>8</v>
      </c>
      <c r="O1165" s="3" t="s">
        <v>8</v>
      </c>
    </row>
    <row r="1166" spans="1:15" x14ac:dyDescent="0.35">
      <c r="A1166" s="5" t="str">
        <f>Loads[[#This Row],[Date]]&amp;Loads[[#This Row],[Product]]</f>
        <v>44235Product1</v>
      </c>
      <c r="B1166" s="5">
        <f>COUNTIF($A$1:A1166,Loads[[#This Row],[Load]])</f>
        <v>14</v>
      </c>
      <c r="C1166" s="3" t="str">
        <f>Loads[[#This Row],[Load]]&amp;Loads[[#This Row],[Count]]</f>
        <v>44235Product114</v>
      </c>
      <c r="D1166" s="90">
        <v>44235</v>
      </c>
      <c r="E1166" s="143">
        <v>9.9999999999999992E-2</v>
      </c>
      <c r="F1166" s="1" t="s">
        <v>9</v>
      </c>
      <c r="G1166" s="2" t="s">
        <v>12</v>
      </c>
      <c r="H1166" s="2" t="s">
        <v>42</v>
      </c>
      <c r="I1166" s="1" t="s">
        <v>11</v>
      </c>
      <c r="J1166" s="1" t="s">
        <v>8</v>
      </c>
      <c r="K1166" s="89">
        <v>20500</v>
      </c>
      <c r="L1166" s="3">
        <v>8.85</v>
      </c>
      <c r="M1166" s="3">
        <v>21.23</v>
      </c>
      <c r="N1166" s="3" t="s">
        <v>8</v>
      </c>
      <c r="O1166" s="3" t="s">
        <v>8</v>
      </c>
    </row>
    <row r="1167" spans="1:15" x14ac:dyDescent="0.35">
      <c r="A1167" s="5" t="str">
        <f>Loads[[#This Row],[Date]]&amp;Loads[[#This Row],[Product]]</f>
        <v>44235Product1</v>
      </c>
      <c r="B1167" s="5">
        <f>COUNTIF($A$1:A1167,Loads[[#This Row],[Load]])</f>
        <v>15</v>
      </c>
      <c r="C1167" s="3" t="str">
        <f>Loads[[#This Row],[Load]]&amp;Loads[[#This Row],[Count]]</f>
        <v>44235Product115</v>
      </c>
      <c r="D1167" s="90">
        <v>44235</v>
      </c>
      <c r="E1167" s="143">
        <v>0.10069444444444443</v>
      </c>
      <c r="F1167" s="1" t="s">
        <v>9</v>
      </c>
      <c r="G1167" s="2" t="s">
        <v>12</v>
      </c>
      <c r="H1167" s="2" t="s">
        <v>42</v>
      </c>
      <c r="I1167" s="1" t="s">
        <v>11</v>
      </c>
      <c r="J1167" s="1" t="s">
        <v>8</v>
      </c>
      <c r="K1167" s="89">
        <v>22560</v>
      </c>
      <c r="L1167" s="3">
        <v>9.7200000000000006</v>
      </c>
      <c r="M1167" s="3">
        <v>20.73</v>
      </c>
      <c r="N1167" s="3" t="s">
        <v>8</v>
      </c>
      <c r="O1167" s="3" t="s">
        <v>8</v>
      </c>
    </row>
    <row r="1168" spans="1:15" x14ac:dyDescent="0.35">
      <c r="A1168" s="5" t="str">
        <f>Loads[[#This Row],[Date]]&amp;Loads[[#This Row],[Product]]</f>
        <v>44235Product1</v>
      </c>
      <c r="B1168" s="5">
        <f>COUNTIF($A$1:A1168,Loads[[#This Row],[Load]])</f>
        <v>16</v>
      </c>
      <c r="C1168" s="3" t="str">
        <f>Loads[[#This Row],[Load]]&amp;Loads[[#This Row],[Count]]</f>
        <v>44235Product116</v>
      </c>
      <c r="D1168" s="90">
        <v>44235</v>
      </c>
      <c r="E1168" s="143">
        <v>0.10069444444444443</v>
      </c>
      <c r="F1168" s="1" t="s">
        <v>9</v>
      </c>
      <c r="G1168" s="2" t="s">
        <v>12</v>
      </c>
      <c r="H1168" s="2" t="s">
        <v>42</v>
      </c>
      <c r="I1168" s="1" t="s">
        <v>11</v>
      </c>
      <c r="J1168" s="1" t="s">
        <v>8</v>
      </c>
      <c r="K1168" s="89">
        <v>16900</v>
      </c>
      <c r="L1168" s="3">
        <v>9.8000000000000007</v>
      </c>
      <c r="M1168" s="3">
        <v>20.77</v>
      </c>
      <c r="N1168" s="3" t="s">
        <v>8</v>
      </c>
      <c r="O1168" s="3" t="s">
        <v>8</v>
      </c>
    </row>
    <row r="1169" spans="1:15" x14ac:dyDescent="0.35">
      <c r="A1169" s="5" t="str">
        <f>Loads[[#This Row],[Date]]&amp;Loads[[#This Row],[Product]]</f>
        <v>44235Product1</v>
      </c>
      <c r="B1169" s="5">
        <f>COUNTIF($A$1:A1169,Loads[[#This Row],[Load]])</f>
        <v>17</v>
      </c>
      <c r="C1169" s="3" t="str">
        <f>Loads[[#This Row],[Load]]&amp;Loads[[#This Row],[Count]]</f>
        <v>44235Product117</v>
      </c>
      <c r="D1169" s="90">
        <v>44235</v>
      </c>
      <c r="E1169" s="143">
        <v>0.1013888888888889</v>
      </c>
      <c r="F1169" s="1" t="s">
        <v>9</v>
      </c>
      <c r="G1169" s="2" t="s">
        <v>12</v>
      </c>
      <c r="H1169" s="2" t="s">
        <v>42</v>
      </c>
      <c r="I1169" s="1" t="s">
        <v>11</v>
      </c>
      <c r="J1169" s="1" t="s">
        <v>8</v>
      </c>
      <c r="K1169" s="89">
        <v>18640</v>
      </c>
      <c r="L1169" s="3">
        <v>9.85</v>
      </c>
      <c r="M1169" s="3">
        <v>20.89</v>
      </c>
      <c r="N1169" s="3" t="s">
        <v>8</v>
      </c>
      <c r="O1169" s="3" t="s">
        <v>8</v>
      </c>
    </row>
    <row r="1170" spans="1:15" x14ac:dyDescent="0.35">
      <c r="A1170" s="5" t="str">
        <f>Loads[[#This Row],[Date]]&amp;Loads[[#This Row],[Product]]</f>
        <v>44235Product1</v>
      </c>
      <c r="B1170" s="5">
        <f>COUNTIF($A$1:A1170,Loads[[#This Row],[Load]])</f>
        <v>18</v>
      </c>
      <c r="C1170" s="3" t="str">
        <f>Loads[[#This Row],[Load]]&amp;Loads[[#This Row],[Count]]</f>
        <v>44235Product118</v>
      </c>
      <c r="D1170" s="90">
        <v>44235</v>
      </c>
      <c r="E1170" s="143">
        <v>0.10208333333333335</v>
      </c>
      <c r="F1170" s="1" t="s">
        <v>9</v>
      </c>
      <c r="G1170" s="2" t="s">
        <v>12</v>
      </c>
      <c r="H1170" s="2" t="s">
        <v>42</v>
      </c>
      <c r="I1170" s="1" t="s">
        <v>11</v>
      </c>
      <c r="J1170" s="1" t="s">
        <v>8</v>
      </c>
      <c r="K1170" s="89">
        <v>22580</v>
      </c>
      <c r="L1170" s="3">
        <v>9.67</v>
      </c>
      <c r="M1170" s="3">
        <v>20.65</v>
      </c>
      <c r="N1170" s="3" t="s">
        <v>8</v>
      </c>
      <c r="O1170" s="3" t="s">
        <v>8</v>
      </c>
    </row>
    <row r="1171" spans="1:15" x14ac:dyDescent="0.35">
      <c r="A1171" s="5" t="str">
        <f>Loads[[#This Row],[Date]]&amp;Loads[[#This Row],[Product]]</f>
        <v>44235Product1</v>
      </c>
      <c r="B1171" s="5">
        <f>COUNTIF($A$1:A1171,Loads[[#This Row],[Load]])</f>
        <v>19</v>
      </c>
      <c r="C1171" s="3" t="str">
        <f>Loads[[#This Row],[Load]]&amp;Loads[[#This Row],[Count]]</f>
        <v>44235Product119</v>
      </c>
      <c r="D1171" s="90">
        <v>44235</v>
      </c>
      <c r="E1171" s="143">
        <v>0.10208333333333335</v>
      </c>
      <c r="F1171" s="1" t="s">
        <v>9</v>
      </c>
      <c r="G1171" s="2" t="s">
        <v>12</v>
      </c>
      <c r="H1171" s="2" t="s">
        <v>42</v>
      </c>
      <c r="I1171" s="1" t="s">
        <v>11</v>
      </c>
      <c r="J1171" s="1" t="s">
        <v>8</v>
      </c>
      <c r="K1171" s="89">
        <v>21960</v>
      </c>
      <c r="L1171" s="3">
        <v>9.86</v>
      </c>
      <c r="M1171" s="3">
        <v>20.5</v>
      </c>
      <c r="N1171" s="3" t="s">
        <v>8</v>
      </c>
      <c r="O1171" s="3" t="s">
        <v>8</v>
      </c>
    </row>
    <row r="1172" spans="1:15" x14ac:dyDescent="0.35">
      <c r="A1172" s="5" t="str">
        <f>Loads[[#This Row],[Date]]&amp;Loads[[#This Row],[Product]]</f>
        <v>44235Product1</v>
      </c>
      <c r="B1172" s="5">
        <f>COUNTIF($A$1:A1172,Loads[[#This Row],[Load]])</f>
        <v>20</v>
      </c>
      <c r="C1172" s="3" t="str">
        <f>Loads[[#This Row],[Load]]&amp;Loads[[#This Row],[Count]]</f>
        <v>44235Product120</v>
      </c>
      <c r="D1172" s="90">
        <v>44235</v>
      </c>
      <c r="E1172" s="143">
        <v>0.10416666666666667</v>
      </c>
      <c r="F1172" s="1" t="s">
        <v>9</v>
      </c>
      <c r="G1172" s="2" t="s">
        <v>12</v>
      </c>
      <c r="H1172" s="2" t="s">
        <v>42</v>
      </c>
      <c r="I1172" s="1" t="s">
        <v>11</v>
      </c>
      <c r="J1172" s="1" t="s">
        <v>8</v>
      </c>
      <c r="K1172" s="89">
        <v>20520</v>
      </c>
      <c r="L1172" s="3">
        <v>9.4700000000000006</v>
      </c>
      <c r="M1172" s="3">
        <v>21.86</v>
      </c>
      <c r="N1172" s="3" t="s">
        <v>8</v>
      </c>
      <c r="O1172" s="3" t="s">
        <v>8</v>
      </c>
    </row>
    <row r="1173" spans="1:15" x14ac:dyDescent="0.35">
      <c r="A1173" s="5" t="str">
        <f>Loads[[#This Row],[Date]]&amp;Loads[[#This Row],[Product]]</f>
        <v>44235Product1</v>
      </c>
      <c r="B1173" s="5">
        <f>COUNTIF($A$1:A1173,Loads[[#This Row],[Load]])</f>
        <v>21</v>
      </c>
      <c r="C1173" s="3" t="str">
        <f>Loads[[#This Row],[Load]]&amp;Loads[[#This Row],[Count]]</f>
        <v>44235Product121</v>
      </c>
      <c r="D1173" s="90">
        <v>44235</v>
      </c>
      <c r="E1173" s="143">
        <v>0.10486111111111111</v>
      </c>
      <c r="F1173" s="1" t="s">
        <v>9</v>
      </c>
      <c r="G1173" s="2" t="s">
        <v>12</v>
      </c>
      <c r="H1173" s="2" t="s">
        <v>42</v>
      </c>
      <c r="I1173" s="1" t="s">
        <v>11</v>
      </c>
      <c r="J1173" s="1" t="s">
        <v>8</v>
      </c>
      <c r="K1173" s="89">
        <v>20540</v>
      </c>
      <c r="L1173" s="3">
        <v>9.31</v>
      </c>
      <c r="M1173" s="3">
        <v>21.86</v>
      </c>
      <c r="N1173" s="3" t="s">
        <v>8</v>
      </c>
      <c r="O1173" s="3" t="s">
        <v>8</v>
      </c>
    </row>
    <row r="1174" spans="1:15" x14ac:dyDescent="0.35">
      <c r="A1174" s="5" t="str">
        <f>Loads[[#This Row],[Date]]&amp;Loads[[#This Row],[Product]]</f>
        <v>44235Product1</v>
      </c>
      <c r="B1174" s="5">
        <f>COUNTIF($A$1:A1174,Loads[[#This Row],[Load]])</f>
        <v>22</v>
      </c>
      <c r="C1174" s="3" t="str">
        <f>Loads[[#This Row],[Load]]&amp;Loads[[#This Row],[Count]]</f>
        <v>44235Product122</v>
      </c>
      <c r="D1174" s="90">
        <v>44235</v>
      </c>
      <c r="E1174" s="143">
        <v>0.10486111111111111</v>
      </c>
      <c r="F1174" s="1" t="s">
        <v>9</v>
      </c>
      <c r="G1174" s="2" t="s">
        <v>12</v>
      </c>
      <c r="H1174" s="2" t="s">
        <v>42</v>
      </c>
      <c r="I1174" s="1" t="s">
        <v>11</v>
      </c>
      <c r="J1174" s="1" t="s">
        <v>8</v>
      </c>
      <c r="K1174" s="89">
        <v>29540</v>
      </c>
      <c r="L1174" s="3">
        <v>9.7200000000000006</v>
      </c>
      <c r="M1174" s="3">
        <v>21.19</v>
      </c>
      <c r="N1174" s="3" t="s">
        <v>8</v>
      </c>
      <c r="O1174" s="3" t="s">
        <v>8</v>
      </c>
    </row>
    <row r="1175" spans="1:15" x14ac:dyDescent="0.35">
      <c r="A1175" s="5" t="str">
        <f>Loads[[#This Row],[Date]]&amp;Loads[[#This Row],[Product]]</f>
        <v>44235Product1</v>
      </c>
      <c r="B1175" s="5">
        <f>COUNTIF($A$1:A1175,Loads[[#This Row],[Load]])</f>
        <v>23</v>
      </c>
      <c r="C1175" s="3" t="str">
        <f>Loads[[#This Row],[Load]]&amp;Loads[[#This Row],[Count]]</f>
        <v>44235Product123</v>
      </c>
      <c r="D1175" s="90">
        <v>44235</v>
      </c>
      <c r="E1175" s="143">
        <v>0.10555555555555556</v>
      </c>
      <c r="F1175" s="1" t="s">
        <v>9</v>
      </c>
      <c r="G1175" s="2" t="s">
        <v>12</v>
      </c>
      <c r="H1175" s="2" t="s">
        <v>42</v>
      </c>
      <c r="I1175" s="1" t="s">
        <v>10</v>
      </c>
      <c r="J1175" s="1">
        <v>808</v>
      </c>
      <c r="K1175" s="89">
        <v>31560</v>
      </c>
      <c r="L1175" s="3">
        <v>9.0500000000000007</v>
      </c>
      <c r="M1175" s="3">
        <v>21.38</v>
      </c>
      <c r="N1175" s="3" t="s">
        <v>8</v>
      </c>
      <c r="O1175" s="3" t="s">
        <v>8</v>
      </c>
    </row>
    <row r="1176" spans="1:15" x14ac:dyDescent="0.35">
      <c r="A1176" s="5" t="str">
        <f>Loads[[#This Row],[Date]]&amp;Loads[[#This Row],[Product]]</f>
        <v>44236Product1</v>
      </c>
      <c r="B1176" s="5">
        <f>COUNTIF($A$1:A1176,Loads[[#This Row],[Load]])</f>
        <v>1</v>
      </c>
      <c r="C1176" s="3" t="str">
        <f>Loads[[#This Row],[Load]]&amp;Loads[[#This Row],[Count]]</f>
        <v>44236Product11</v>
      </c>
      <c r="D1176" s="90">
        <v>44236</v>
      </c>
      <c r="E1176" s="143">
        <v>4.3055555555555562E-2</v>
      </c>
      <c r="F1176" s="1" t="s">
        <v>9</v>
      </c>
      <c r="G1176" s="2" t="s">
        <v>12</v>
      </c>
      <c r="H1176" s="2" t="s">
        <v>42</v>
      </c>
      <c r="I1176" s="1" t="s">
        <v>11</v>
      </c>
      <c r="J1176" s="1" t="s">
        <v>8</v>
      </c>
      <c r="K1176" s="89">
        <v>28660</v>
      </c>
      <c r="L1176" s="3">
        <v>7.92</v>
      </c>
      <c r="M1176" s="3">
        <v>22.47</v>
      </c>
      <c r="N1176" s="3" t="s">
        <v>8</v>
      </c>
      <c r="O1176" s="3" t="s">
        <v>8</v>
      </c>
    </row>
    <row r="1177" spans="1:15" x14ac:dyDescent="0.35">
      <c r="A1177" s="5" t="str">
        <f>Loads[[#This Row],[Date]]&amp;Loads[[#This Row],[Product]]</f>
        <v>44236Product1</v>
      </c>
      <c r="B1177" s="5">
        <f>COUNTIF($A$1:A1177,Loads[[#This Row],[Load]])</f>
        <v>2</v>
      </c>
      <c r="C1177" s="3" t="str">
        <f>Loads[[#This Row],[Load]]&amp;Loads[[#This Row],[Count]]</f>
        <v>44236Product12</v>
      </c>
      <c r="D1177" s="90">
        <v>44236</v>
      </c>
      <c r="E1177" s="143">
        <v>4.3750000000000004E-2</v>
      </c>
      <c r="F1177" s="1" t="s">
        <v>9</v>
      </c>
      <c r="G1177" s="2" t="s">
        <v>12</v>
      </c>
      <c r="H1177" s="2" t="s">
        <v>42</v>
      </c>
      <c r="I1177" s="1" t="s">
        <v>11</v>
      </c>
      <c r="J1177" s="1" t="s">
        <v>8</v>
      </c>
      <c r="K1177" s="89">
        <v>14020</v>
      </c>
      <c r="L1177" s="3">
        <v>8.52</v>
      </c>
      <c r="M1177" s="3">
        <v>22.25</v>
      </c>
      <c r="N1177" s="3" t="s">
        <v>8</v>
      </c>
      <c r="O1177" s="3" t="s">
        <v>8</v>
      </c>
    </row>
    <row r="1178" spans="1:15" x14ac:dyDescent="0.35">
      <c r="A1178" s="5" t="str">
        <f>Loads[[#This Row],[Date]]&amp;Loads[[#This Row],[Product]]</f>
        <v>44236Product1</v>
      </c>
      <c r="B1178" s="5">
        <f>COUNTIF($A$1:A1178,Loads[[#This Row],[Load]])</f>
        <v>3</v>
      </c>
      <c r="C1178" s="3" t="str">
        <f>Loads[[#This Row],[Load]]&amp;Loads[[#This Row],[Count]]</f>
        <v>44236Product13</v>
      </c>
      <c r="D1178" s="90">
        <v>44236</v>
      </c>
      <c r="E1178" s="143">
        <v>4.4444444444444446E-2</v>
      </c>
      <c r="F1178" s="1" t="s">
        <v>9</v>
      </c>
      <c r="G1178" s="2" t="s">
        <v>12</v>
      </c>
      <c r="H1178" s="2" t="s">
        <v>42</v>
      </c>
      <c r="I1178" s="1" t="s">
        <v>10</v>
      </c>
      <c r="J1178" s="1">
        <v>468</v>
      </c>
      <c r="K1178" s="89">
        <v>18380</v>
      </c>
      <c r="L1178" s="3">
        <v>8.34</v>
      </c>
      <c r="M1178" s="3">
        <v>21.65</v>
      </c>
      <c r="N1178" s="3" t="s">
        <v>8</v>
      </c>
      <c r="O1178" s="3" t="s">
        <v>8</v>
      </c>
    </row>
    <row r="1179" spans="1:15" x14ac:dyDescent="0.35">
      <c r="A1179" s="5" t="str">
        <f>Loads[[#This Row],[Date]]&amp;Loads[[#This Row],[Product]]</f>
        <v>44236Product1</v>
      </c>
      <c r="B1179" s="5">
        <f>COUNTIF($A$1:A1179,Loads[[#This Row],[Load]])</f>
        <v>4</v>
      </c>
      <c r="C1179" s="3" t="str">
        <f>Loads[[#This Row],[Load]]&amp;Loads[[#This Row],[Count]]</f>
        <v>44236Product14</v>
      </c>
      <c r="D1179" s="90">
        <v>44236</v>
      </c>
      <c r="E1179" s="143">
        <v>4.5138888888888888E-2</v>
      </c>
      <c r="F1179" s="1" t="s">
        <v>9</v>
      </c>
      <c r="G1179" s="2" t="s">
        <v>12</v>
      </c>
      <c r="H1179" s="2" t="s">
        <v>42</v>
      </c>
      <c r="I1179" s="1" t="s">
        <v>10</v>
      </c>
      <c r="J1179" s="1">
        <v>770</v>
      </c>
      <c r="K1179" s="89">
        <v>30260</v>
      </c>
      <c r="L1179" s="3">
        <v>8.6999999999999993</v>
      </c>
      <c r="M1179" s="3">
        <v>22.86</v>
      </c>
      <c r="N1179" s="3" t="s">
        <v>8</v>
      </c>
      <c r="O1179" s="3" t="s">
        <v>8</v>
      </c>
    </row>
    <row r="1180" spans="1:15" x14ac:dyDescent="0.35">
      <c r="A1180" s="5" t="str">
        <f>Loads[[#This Row],[Date]]&amp;Loads[[#This Row],[Product]]</f>
        <v>44236Product1</v>
      </c>
      <c r="B1180" s="5">
        <f>COUNTIF($A$1:A1180,Loads[[#This Row],[Load]])</f>
        <v>5</v>
      </c>
      <c r="C1180" s="3" t="str">
        <f>Loads[[#This Row],[Load]]&amp;Loads[[#This Row],[Count]]</f>
        <v>44236Product15</v>
      </c>
      <c r="D1180" s="90">
        <v>44236</v>
      </c>
      <c r="E1180" s="143">
        <v>4.5138888888888888E-2</v>
      </c>
      <c r="F1180" s="1" t="s">
        <v>9</v>
      </c>
      <c r="G1180" s="2" t="s">
        <v>12</v>
      </c>
      <c r="H1180" s="2" t="s">
        <v>42</v>
      </c>
      <c r="I1180" s="1" t="s">
        <v>11</v>
      </c>
      <c r="J1180" s="1" t="s">
        <v>8</v>
      </c>
      <c r="K1180" s="89">
        <v>14040</v>
      </c>
      <c r="L1180" s="3">
        <v>8.8800000000000008</v>
      </c>
      <c r="M1180" s="3">
        <v>21.23</v>
      </c>
      <c r="N1180" s="3" t="s">
        <v>8</v>
      </c>
      <c r="O1180" s="3" t="s">
        <v>8</v>
      </c>
    </row>
    <row r="1181" spans="1:15" x14ac:dyDescent="0.35">
      <c r="A1181" s="5" t="str">
        <f>Loads[[#This Row],[Date]]&amp;Loads[[#This Row],[Product]]</f>
        <v>44236Product1</v>
      </c>
      <c r="B1181" s="5">
        <f>COUNTIF($A$1:A1181,Loads[[#This Row],[Load]])</f>
        <v>6</v>
      </c>
      <c r="C1181" s="3" t="str">
        <f>Loads[[#This Row],[Load]]&amp;Loads[[#This Row],[Count]]</f>
        <v>44236Product16</v>
      </c>
      <c r="D1181" s="90">
        <v>44236</v>
      </c>
      <c r="E1181" s="143">
        <v>4.5833333333333337E-2</v>
      </c>
      <c r="F1181" s="1" t="s">
        <v>9</v>
      </c>
      <c r="G1181" s="2" t="s">
        <v>12</v>
      </c>
      <c r="H1181" s="2" t="s">
        <v>42</v>
      </c>
      <c r="I1181" s="1" t="s">
        <v>11</v>
      </c>
      <c r="J1181" s="1" t="s">
        <v>8</v>
      </c>
      <c r="K1181" s="89">
        <v>18700</v>
      </c>
      <c r="L1181" s="3">
        <v>8.93</v>
      </c>
      <c r="M1181" s="3">
        <v>20.95</v>
      </c>
      <c r="N1181" s="3" t="s">
        <v>8</v>
      </c>
      <c r="O1181" s="3" t="s">
        <v>8</v>
      </c>
    </row>
    <row r="1182" spans="1:15" x14ac:dyDescent="0.35">
      <c r="A1182" s="5" t="str">
        <f>Loads[[#This Row],[Date]]&amp;Loads[[#This Row],[Product]]</f>
        <v>44237Product1</v>
      </c>
      <c r="B1182" s="5">
        <f>COUNTIF($A$1:A1182,Loads[[#This Row],[Load]])</f>
        <v>1</v>
      </c>
      <c r="C1182" s="3" t="str">
        <f>Loads[[#This Row],[Load]]&amp;Loads[[#This Row],[Count]]</f>
        <v>44237Product11</v>
      </c>
      <c r="D1182" s="90">
        <v>44237</v>
      </c>
      <c r="E1182" s="143">
        <v>5.7638888888888885E-2</v>
      </c>
      <c r="F1182" s="1" t="s">
        <v>9</v>
      </c>
      <c r="G1182" s="2" t="s">
        <v>12</v>
      </c>
      <c r="H1182" s="2" t="s">
        <v>42</v>
      </c>
      <c r="I1182" s="1" t="s">
        <v>11</v>
      </c>
      <c r="J1182" s="1" t="s">
        <v>8</v>
      </c>
      <c r="K1182" s="89">
        <v>18580</v>
      </c>
      <c r="L1182" s="3">
        <v>7.67</v>
      </c>
      <c r="M1182" s="3">
        <v>19.54</v>
      </c>
      <c r="N1182" s="3" t="s">
        <v>8</v>
      </c>
      <c r="O1182" s="3" t="s">
        <v>8</v>
      </c>
    </row>
    <row r="1183" spans="1:15" x14ac:dyDescent="0.35">
      <c r="A1183" s="5" t="str">
        <f>Loads[[#This Row],[Date]]&amp;Loads[[#This Row],[Product]]</f>
        <v>44237Product1</v>
      </c>
      <c r="B1183" s="5">
        <f>COUNTIF($A$1:A1183,Loads[[#This Row],[Load]])</f>
        <v>2</v>
      </c>
      <c r="C1183" s="3" t="str">
        <f>Loads[[#This Row],[Load]]&amp;Loads[[#This Row],[Count]]</f>
        <v>44237Product12</v>
      </c>
      <c r="D1183" s="90">
        <v>44237</v>
      </c>
      <c r="E1183" s="143">
        <v>5.8333333333333327E-2</v>
      </c>
      <c r="F1183" s="1" t="s">
        <v>9</v>
      </c>
      <c r="G1183" s="2" t="s">
        <v>12</v>
      </c>
      <c r="H1183" s="2" t="s">
        <v>42</v>
      </c>
      <c r="I1183" s="1" t="s">
        <v>10</v>
      </c>
      <c r="J1183" s="1">
        <v>470</v>
      </c>
      <c r="K1183" s="89">
        <v>18900</v>
      </c>
      <c r="L1183" s="3">
        <v>7.66</v>
      </c>
      <c r="M1183" s="3">
        <v>19.93</v>
      </c>
      <c r="N1183" s="3" t="s">
        <v>8</v>
      </c>
      <c r="O1183" s="3" t="s">
        <v>8</v>
      </c>
    </row>
    <row r="1184" spans="1:15" x14ac:dyDescent="0.35">
      <c r="A1184" s="5" t="str">
        <f>Loads[[#This Row],[Date]]&amp;Loads[[#This Row],[Product]]</f>
        <v>44237Product1</v>
      </c>
      <c r="B1184" s="5">
        <f>COUNTIF($A$1:A1184,Loads[[#This Row],[Load]])</f>
        <v>3</v>
      </c>
      <c r="C1184" s="3" t="str">
        <f>Loads[[#This Row],[Load]]&amp;Loads[[#This Row],[Count]]</f>
        <v>44237Product13</v>
      </c>
      <c r="D1184" s="90">
        <v>44237</v>
      </c>
      <c r="E1184" s="143">
        <v>5.9027777777777783E-2</v>
      </c>
      <c r="F1184" s="1" t="s">
        <v>9</v>
      </c>
      <c r="G1184" s="2" t="s">
        <v>12</v>
      </c>
      <c r="H1184" s="2" t="s">
        <v>42</v>
      </c>
      <c r="I1184" s="1" t="s">
        <v>11</v>
      </c>
      <c r="J1184" s="1" t="s">
        <v>8</v>
      </c>
      <c r="K1184" s="89">
        <v>31560</v>
      </c>
      <c r="L1184" s="3">
        <v>5.53</v>
      </c>
      <c r="M1184" s="3">
        <v>19.61</v>
      </c>
      <c r="N1184" s="3" t="s">
        <v>8</v>
      </c>
      <c r="O1184" s="3" t="s">
        <v>8</v>
      </c>
    </row>
    <row r="1185" spans="1:15" x14ac:dyDescent="0.35">
      <c r="A1185" s="5" t="str">
        <f>Loads[[#This Row],[Date]]&amp;Loads[[#This Row],[Product]]</f>
        <v>44237Product1</v>
      </c>
      <c r="B1185" s="5">
        <f>COUNTIF($A$1:A1185,Loads[[#This Row],[Load]])</f>
        <v>4</v>
      </c>
      <c r="C1185" s="3" t="str">
        <f>Loads[[#This Row],[Load]]&amp;Loads[[#This Row],[Count]]</f>
        <v>44237Product14</v>
      </c>
      <c r="D1185" s="90">
        <v>44237</v>
      </c>
      <c r="E1185" s="143">
        <v>5.9722222222222225E-2</v>
      </c>
      <c r="F1185" s="1" t="s">
        <v>9</v>
      </c>
      <c r="G1185" s="2" t="s">
        <v>12</v>
      </c>
      <c r="H1185" s="2" t="s">
        <v>42</v>
      </c>
      <c r="I1185" s="1" t="s">
        <v>11</v>
      </c>
      <c r="J1185" s="1" t="s">
        <v>8</v>
      </c>
      <c r="K1185" s="89">
        <v>21940</v>
      </c>
      <c r="L1185" s="3">
        <v>6.22</v>
      </c>
      <c r="M1185" s="3">
        <v>20.420000000000002</v>
      </c>
      <c r="N1185" s="3" t="s">
        <v>8</v>
      </c>
      <c r="O1185" s="3" t="s">
        <v>8</v>
      </c>
    </row>
    <row r="1186" spans="1:15" x14ac:dyDescent="0.35">
      <c r="A1186" s="5" t="str">
        <f>Loads[[#This Row],[Date]]&amp;Loads[[#This Row],[Product]]</f>
        <v>44237Product1</v>
      </c>
      <c r="B1186" s="5">
        <f>COUNTIF($A$1:A1186,Loads[[#This Row],[Load]])</f>
        <v>5</v>
      </c>
      <c r="C1186" s="3" t="str">
        <f>Loads[[#This Row],[Load]]&amp;Loads[[#This Row],[Count]]</f>
        <v>44237Product15</v>
      </c>
      <c r="D1186" s="90">
        <v>44237</v>
      </c>
      <c r="E1186" s="143">
        <v>5.9722222222222225E-2</v>
      </c>
      <c r="F1186" s="1" t="s">
        <v>9</v>
      </c>
      <c r="G1186" s="2" t="s">
        <v>12</v>
      </c>
      <c r="H1186" s="2" t="s">
        <v>42</v>
      </c>
      <c r="I1186" s="1" t="s">
        <v>11</v>
      </c>
      <c r="J1186" s="1" t="s">
        <v>8</v>
      </c>
      <c r="K1186" s="89">
        <v>19520</v>
      </c>
      <c r="L1186" s="3">
        <v>6.13</v>
      </c>
      <c r="M1186" s="3">
        <v>19.64</v>
      </c>
      <c r="N1186" s="3" t="s">
        <v>8</v>
      </c>
      <c r="O1186" s="3" t="s">
        <v>8</v>
      </c>
    </row>
    <row r="1187" spans="1:15" x14ac:dyDescent="0.35">
      <c r="A1187" s="5" t="str">
        <f>Loads[[#This Row],[Date]]&amp;Loads[[#This Row],[Product]]</f>
        <v>44237Product1</v>
      </c>
      <c r="B1187" s="5">
        <f>COUNTIF($A$1:A1187,Loads[[#This Row],[Load]])</f>
        <v>6</v>
      </c>
      <c r="C1187" s="3" t="str">
        <f>Loads[[#This Row],[Load]]&amp;Loads[[#This Row],[Count]]</f>
        <v>44237Product16</v>
      </c>
      <c r="D1187" s="90">
        <v>44237</v>
      </c>
      <c r="E1187" s="143">
        <v>6.0416666666666667E-2</v>
      </c>
      <c r="F1187" s="1" t="s">
        <v>9</v>
      </c>
      <c r="G1187" s="2" t="s">
        <v>12</v>
      </c>
      <c r="H1187" s="2" t="s">
        <v>42</v>
      </c>
      <c r="I1187" s="1" t="s">
        <v>11</v>
      </c>
      <c r="J1187" s="1" t="s">
        <v>8</v>
      </c>
      <c r="K1187" s="89">
        <v>11640</v>
      </c>
      <c r="L1187" s="3">
        <v>6.36</v>
      </c>
      <c r="M1187" s="3">
        <v>19.91</v>
      </c>
      <c r="N1187" s="3" t="s">
        <v>8</v>
      </c>
      <c r="O1187" s="3" t="s">
        <v>8</v>
      </c>
    </row>
    <row r="1188" spans="1:15" x14ac:dyDescent="0.35">
      <c r="A1188" s="5" t="str">
        <f>Loads[[#This Row],[Date]]&amp;Loads[[#This Row],[Product]]</f>
        <v>44237Product1</v>
      </c>
      <c r="B1188" s="5">
        <f>COUNTIF($A$1:A1188,Loads[[#This Row],[Load]])</f>
        <v>7</v>
      </c>
      <c r="C1188" s="3" t="str">
        <f>Loads[[#This Row],[Load]]&amp;Loads[[#This Row],[Count]]</f>
        <v>44237Product17</v>
      </c>
      <c r="D1188" s="90">
        <v>44237</v>
      </c>
      <c r="E1188" s="143">
        <v>6.1111111111111116E-2</v>
      </c>
      <c r="F1188" s="1" t="s">
        <v>9</v>
      </c>
      <c r="G1188" s="2" t="s">
        <v>12</v>
      </c>
      <c r="H1188" s="2" t="s">
        <v>42</v>
      </c>
      <c r="I1188" s="1" t="s">
        <v>10</v>
      </c>
      <c r="J1188" s="1">
        <v>100</v>
      </c>
      <c r="K1188" s="89">
        <v>3980</v>
      </c>
      <c r="L1188" s="3">
        <v>6.33</v>
      </c>
      <c r="M1188" s="3">
        <v>19.97</v>
      </c>
      <c r="N1188" s="3" t="s">
        <v>8</v>
      </c>
      <c r="O1188" s="3" t="s">
        <v>8</v>
      </c>
    </row>
    <row r="1189" spans="1:15" x14ac:dyDescent="0.35">
      <c r="A1189" s="5" t="str">
        <f>Loads[[#This Row],[Date]]&amp;Loads[[#This Row],[Product]]</f>
        <v>44237Product1</v>
      </c>
      <c r="B1189" s="5">
        <f>COUNTIF($A$1:A1189,Loads[[#This Row],[Load]])</f>
        <v>8</v>
      </c>
      <c r="C1189" s="3" t="str">
        <f>Loads[[#This Row],[Load]]&amp;Loads[[#This Row],[Count]]</f>
        <v>44237Product18</v>
      </c>
      <c r="D1189" s="90">
        <v>44237</v>
      </c>
      <c r="E1189" s="143">
        <v>6.1805555555555558E-2</v>
      </c>
      <c r="F1189" s="1" t="s">
        <v>9</v>
      </c>
      <c r="G1189" s="2" t="s">
        <v>12</v>
      </c>
      <c r="H1189" s="2" t="s">
        <v>42</v>
      </c>
      <c r="I1189" s="1" t="s">
        <v>11</v>
      </c>
      <c r="J1189" s="1" t="s">
        <v>8</v>
      </c>
      <c r="K1189" s="89">
        <v>24920</v>
      </c>
      <c r="L1189" s="3">
        <v>6.36</v>
      </c>
      <c r="M1189" s="3">
        <v>20.45</v>
      </c>
      <c r="N1189" s="3" t="s">
        <v>8</v>
      </c>
      <c r="O1189" s="3" t="s">
        <v>8</v>
      </c>
    </row>
    <row r="1190" spans="1:15" x14ac:dyDescent="0.35">
      <c r="A1190" s="5" t="str">
        <f>Loads[[#This Row],[Date]]&amp;Loads[[#This Row],[Product]]</f>
        <v>44237Product1</v>
      </c>
      <c r="B1190" s="5">
        <f>COUNTIF($A$1:A1190,Loads[[#This Row],[Load]])</f>
        <v>9</v>
      </c>
      <c r="C1190" s="3" t="str">
        <f>Loads[[#This Row],[Load]]&amp;Loads[[#This Row],[Count]]</f>
        <v>44237Product19</v>
      </c>
      <c r="D1190" s="90">
        <v>44237</v>
      </c>
      <c r="E1190" s="143">
        <v>6.25E-2</v>
      </c>
      <c r="F1190" s="1" t="s">
        <v>9</v>
      </c>
      <c r="G1190" s="2" t="s">
        <v>12</v>
      </c>
      <c r="H1190" s="2" t="s">
        <v>42</v>
      </c>
      <c r="I1190" s="1" t="s">
        <v>11</v>
      </c>
      <c r="J1190" s="1" t="s">
        <v>8</v>
      </c>
      <c r="K1190" s="89">
        <v>20640</v>
      </c>
      <c r="L1190" s="3">
        <v>6.54</v>
      </c>
      <c r="M1190" s="3">
        <v>20.52</v>
      </c>
      <c r="N1190" s="3" t="s">
        <v>8</v>
      </c>
      <c r="O1190" s="3" t="s">
        <v>8</v>
      </c>
    </row>
    <row r="1191" spans="1:15" x14ac:dyDescent="0.35">
      <c r="A1191" s="5" t="str">
        <f>Loads[[#This Row],[Date]]&amp;Loads[[#This Row],[Product]]</f>
        <v>44237Product1</v>
      </c>
      <c r="B1191" s="5">
        <f>COUNTIF($A$1:A1191,Loads[[#This Row],[Load]])</f>
        <v>10</v>
      </c>
      <c r="C1191" s="3" t="str">
        <f>Loads[[#This Row],[Load]]&amp;Loads[[#This Row],[Count]]</f>
        <v>44237Product110</v>
      </c>
      <c r="D1191" s="90">
        <v>44237</v>
      </c>
      <c r="E1191" s="143">
        <v>6.3194444444444442E-2</v>
      </c>
      <c r="F1191" s="1" t="s">
        <v>9</v>
      </c>
      <c r="G1191" s="2" t="s">
        <v>12</v>
      </c>
      <c r="H1191" s="2" t="s">
        <v>42</v>
      </c>
      <c r="I1191" s="1" t="s">
        <v>11</v>
      </c>
      <c r="J1191" s="1" t="s">
        <v>8</v>
      </c>
      <c r="K1191" s="89">
        <v>32180</v>
      </c>
      <c r="L1191" s="3">
        <v>6.39</v>
      </c>
      <c r="M1191" s="3">
        <v>20.36</v>
      </c>
      <c r="N1191" s="3" t="s">
        <v>8</v>
      </c>
      <c r="O1191" s="3" t="s">
        <v>8</v>
      </c>
    </row>
    <row r="1192" spans="1:15" x14ac:dyDescent="0.35">
      <c r="A1192" s="5" t="str">
        <f>Loads[[#This Row],[Date]]&amp;Loads[[#This Row],[Product]]</f>
        <v>44238Product1</v>
      </c>
      <c r="B1192" s="5">
        <f>COUNTIF($A$1:A1192,Loads[[#This Row],[Load]])</f>
        <v>1</v>
      </c>
      <c r="C1192" s="3" t="str">
        <f>Loads[[#This Row],[Load]]&amp;Loads[[#This Row],[Count]]</f>
        <v>44238Product11</v>
      </c>
      <c r="D1192" s="90">
        <v>44238</v>
      </c>
      <c r="E1192" s="143">
        <v>0.99513888888888891</v>
      </c>
      <c r="F1192" s="1" t="s">
        <v>9</v>
      </c>
      <c r="G1192" s="2" t="s">
        <v>12</v>
      </c>
      <c r="H1192" s="2" t="s">
        <v>42</v>
      </c>
      <c r="I1192" s="1" t="s">
        <v>10</v>
      </c>
      <c r="J1192" s="1">
        <v>655</v>
      </c>
      <c r="K1192" s="89">
        <v>26220</v>
      </c>
      <c r="L1192" s="3">
        <v>8.5500000000000007</v>
      </c>
      <c r="M1192" s="3">
        <v>20.58</v>
      </c>
      <c r="N1192" s="3" t="s">
        <v>8</v>
      </c>
      <c r="O1192" s="3" t="s">
        <v>8</v>
      </c>
    </row>
    <row r="1193" spans="1:15" x14ac:dyDescent="0.35">
      <c r="A1193" s="5" t="str">
        <f>Loads[[#This Row],[Date]]&amp;Loads[[#This Row],[Product]]</f>
        <v>44238Product1</v>
      </c>
      <c r="B1193" s="5">
        <f>COUNTIF($A$1:A1193,Loads[[#This Row],[Load]])</f>
        <v>2</v>
      </c>
      <c r="C1193" s="3" t="str">
        <f>Loads[[#This Row],[Load]]&amp;Loads[[#This Row],[Count]]</f>
        <v>44238Product12</v>
      </c>
      <c r="D1193" s="90">
        <v>44238</v>
      </c>
      <c r="E1193" s="143">
        <v>5.6944444444444443E-2</v>
      </c>
      <c r="F1193" s="1" t="s">
        <v>9</v>
      </c>
      <c r="G1193" s="2" t="s">
        <v>12</v>
      </c>
      <c r="H1193" s="2" t="s">
        <v>42</v>
      </c>
      <c r="I1193" s="1" t="s">
        <v>11</v>
      </c>
      <c r="J1193" s="1" t="s">
        <v>8</v>
      </c>
      <c r="K1193" s="89">
        <v>21760</v>
      </c>
      <c r="L1193" s="3">
        <v>6.37</v>
      </c>
      <c r="M1193" s="3">
        <v>20.57</v>
      </c>
      <c r="N1193" s="3" t="s">
        <v>8</v>
      </c>
      <c r="O1193" s="3" t="s">
        <v>8</v>
      </c>
    </row>
    <row r="1194" spans="1:15" x14ac:dyDescent="0.35">
      <c r="A1194" s="5" t="str">
        <f>Loads[[#This Row],[Date]]&amp;Loads[[#This Row],[Product]]</f>
        <v>44238Product1</v>
      </c>
      <c r="B1194" s="5">
        <f>COUNTIF($A$1:A1194,Loads[[#This Row],[Load]])</f>
        <v>3</v>
      </c>
      <c r="C1194" s="3" t="str">
        <f>Loads[[#This Row],[Load]]&amp;Loads[[#This Row],[Count]]</f>
        <v>44238Product13</v>
      </c>
      <c r="D1194" s="90">
        <v>44238</v>
      </c>
      <c r="E1194" s="143">
        <v>5.7638888888888885E-2</v>
      </c>
      <c r="F1194" s="1" t="s">
        <v>9</v>
      </c>
      <c r="G1194" s="2" t="s">
        <v>12</v>
      </c>
      <c r="H1194" s="2" t="s">
        <v>42</v>
      </c>
      <c r="I1194" s="1" t="s">
        <v>10</v>
      </c>
      <c r="J1194" s="1">
        <v>675</v>
      </c>
      <c r="K1194" s="89">
        <v>27000</v>
      </c>
      <c r="L1194" s="3">
        <v>5.91</v>
      </c>
      <c r="M1194" s="3">
        <v>20.87</v>
      </c>
      <c r="N1194" s="3" t="s">
        <v>8</v>
      </c>
      <c r="O1194" s="3" t="s">
        <v>8</v>
      </c>
    </row>
    <row r="1195" spans="1:15" x14ac:dyDescent="0.35">
      <c r="A1195" s="5" t="str">
        <f>Loads[[#This Row],[Date]]&amp;Loads[[#This Row],[Product]]</f>
        <v>44238Product1</v>
      </c>
      <c r="B1195" s="5">
        <f>COUNTIF($A$1:A1195,Loads[[#This Row],[Load]])</f>
        <v>4</v>
      </c>
      <c r="C1195" s="3" t="str">
        <f>Loads[[#This Row],[Load]]&amp;Loads[[#This Row],[Count]]</f>
        <v>44238Product14</v>
      </c>
      <c r="D1195" s="90">
        <v>44238</v>
      </c>
      <c r="E1195" s="143">
        <v>5.8333333333333327E-2</v>
      </c>
      <c r="F1195" s="1" t="s">
        <v>9</v>
      </c>
      <c r="G1195" s="2" t="s">
        <v>12</v>
      </c>
      <c r="H1195" s="2" t="s">
        <v>42</v>
      </c>
      <c r="I1195" s="1" t="s">
        <v>10</v>
      </c>
      <c r="J1195" s="1">
        <v>782</v>
      </c>
      <c r="K1195" s="89">
        <v>37140</v>
      </c>
      <c r="L1195" s="3">
        <v>7.4</v>
      </c>
      <c r="M1195" s="3">
        <v>21.69</v>
      </c>
      <c r="N1195" s="3" t="s">
        <v>8</v>
      </c>
      <c r="O1195" s="3" t="s">
        <v>8</v>
      </c>
    </row>
    <row r="1196" spans="1:15" x14ac:dyDescent="0.35">
      <c r="A1196" s="5" t="str">
        <f>Loads[[#This Row],[Date]]&amp;Loads[[#This Row],[Product]]</f>
        <v>44238Product1</v>
      </c>
      <c r="B1196" s="5">
        <f>COUNTIF($A$1:A1196,Loads[[#This Row],[Load]])</f>
        <v>5</v>
      </c>
      <c r="C1196" s="3" t="str">
        <f>Loads[[#This Row],[Load]]&amp;Loads[[#This Row],[Count]]</f>
        <v>44238Product15</v>
      </c>
      <c r="D1196" s="90">
        <v>44238</v>
      </c>
      <c r="E1196" s="143">
        <v>5.9027777777777783E-2</v>
      </c>
      <c r="F1196" s="1" t="s">
        <v>9</v>
      </c>
      <c r="G1196" s="2" t="s">
        <v>12</v>
      </c>
      <c r="H1196" s="2" t="s">
        <v>42</v>
      </c>
      <c r="I1196" s="1" t="s">
        <v>11</v>
      </c>
      <c r="J1196" s="1" t="s">
        <v>8</v>
      </c>
      <c r="K1196" s="89">
        <v>25020</v>
      </c>
      <c r="L1196" s="3">
        <v>7.7</v>
      </c>
      <c r="M1196" s="3">
        <v>21.4</v>
      </c>
      <c r="N1196" s="3" t="s">
        <v>8</v>
      </c>
      <c r="O1196" s="3" t="s">
        <v>8</v>
      </c>
    </row>
    <row r="1197" spans="1:15" x14ac:dyDescent="0.35">
      <c r="A1197" s="5" t="str">
        <f>Loads[[#This Row],[Date]]&amp;Loads[[#This Row],[Product]]</f>
        <v>44238Product1</v>
      </c>
      <c r="B1197" s="5">
        <f>COUNTIF($A$1:A1197,Loads[[#This Row],[Load]])</f>
        <v>6</v>
      </c>
      <c r="C1197" s="3" t="str">
        <f>Loads[[#This Row],[Load]]&amp;Loads[[#This Row],[Count]]</f>
        <v>44238Product16</v>
      </c>
      <c r="D1197" s="90">
        <v>44238</v>
      </c>
      <c r="E1197" s="143">
        <v>5.9027777777777783E-2</v>
      </c>
      <c r="F1197" s="1" t="s">
        <v>9</v>
      </c>
      <c r="G1197" s="2" t="s">
        <v>12</v>
      </c>
      <c r="H1197" s="2" t="s">
        <v>42</v>
      </c>
      <c r="I1197" s="1" t="s">
        <v>10</v>
      </c>
      <c r="J1197" s="1">
        <v>780</v>
      </c>
      <c r="K1197" s="89">
        <v>31280</v>
      </c>
      <c r="L1197" s="3">
        <v>7.71</v>
      </c>
      <c r="M1197" s="3">
        <v>21.57</v>
      </c>
      <c r="N1197" s="3" t="s">
        <v>8</v>
      </c>
      <c r="O1197" s="3" t="s">
        <v>8</v>
      </c>
    </row>
    <row r="1198" spans="1:15" x14ac:dyDescent="0.35">
      <c r="A1198" s="5" t="str">
        <f>Loads[[#This Row],[Date]]&amp;Loads[[#This Row],[Product]]</f>
        <v>44238Product1</v>
      </c>
      <c r="B1198" s="5">
        <f>COUNTIF($A$1:A1198,Loads[[#This Row],[Load]])</f>
        <v>7</v>
      </c>
      <c r="C1198" s="3" t="str">
        <f>Loads[[#This Row],[Load]]&amp;Loads[[#This Row],[Count]]</f>
        <v>44238Product17</v>
      </c>
      <c r="D1198" s="90">
        <v>44238</v>
      </c>
      <c r="E1198" s="143">
        <v>5.9722222222222225E-2</v>
      </c>
      <c r="F1198" s="1" t="s">
        <v>9</v>
      </c>
      <c r="G1198" s="2" t="s">
        <v>12</v>
      </c>
      <c r="H1198" s="2" t="s">
        <v>42</v>
      </c>
      <c r="I1198" s="1" t="s">
        <v>11</v>
      </c>
      <c r="J1198" s="1" t="s">
        <v>8</v>
      </c>
      <c r="K1198" s="89">
        <v>17320</v>
      </c>
      <c r="L1198" s="3">
        <v>8.0500000000000007</v>
      </c>
      <c r="M1198" s="3">
        <v>21.36</v>
      </c>
      <c r="N1198" s="3" t="s">
        <v>8</v>
      </c>
      <c r="O1198" s="3" t="s">
        <v>8</v>
      </c>
    </row>
    <row r="1199" spans="1:15" x14ac:dyDescent="0.35">
      <c r="A1199" s="5" t="str">
        <f>Loads[[#This Row],[Date]]&amp;Loads[[#This Row],[Product]]</f>
        <v>44238Product1</v>
      </c>
      <c r="B1199" s="5">
        <f>COUNTIF($A$1:A1199,Loads[[#This Row],[Load]])</f>
        <v>8</v>
      </c>
      <c r="C1199" s="3" t="str">
        <f>Loads[[#This Row],[Load]]&amp;Loads[[#This Row],[Count]]</f>
        <v>44238Product18</v>
      </c>
      <c r="D1199" s="90">
        <v>44238</v>
      </c>
      <c r="E1199" s="143">
        <v>5.9722222222222225E-2</v>
      </c>
      <c r="F1199" s="1" t="s">
        <v>9</v>
      </c>
      <c r="G1199" s="2" t="s">
        <v>12</v>
      </c>
      <c r="H1199" s="2" t="s">
        <v>42</v>
      </c>
      <c r="I1199" s="1" t="s">
        <v>11</v>
      </c>
      <c r="J1199" s="1" t="s">
        <v>8</v>
      </c>
      <c r="K1199" s="89">
        <v>21140</v>
      </c>
      <c r="L1199" s="3">
        <v>8.11</v>
      </c>
      <c r="M1199" s="3">
        <v>21.09</v>
      </c>
      <c r="N1199" s="3" t="s">
        <v>8</v>
      </c>
      <c r="O1199" s="3" t="s">
        <v>8</v>
      </c>
    </row>
    <row r="1200" spans="1:15" x14ac:dyDescent="0.35">
      <c r="A1200" s="5" t="str">
        <f>Loads[[#This Row],[Date]]&amp;Loads[[#This Row],[Product]]</f>
        <v>44238Product1</v>
      </c>
      <c r="B1200" s="5">
        <f>COUNTIF($A$1:A1200,Loads[[#This Row],[Load]])</f>
        <v>9</v>
      </c>
      <c r="C1200" s="3" t="str">
        <f>Loads[[#This Row],[Load]]&amp;Loads[[#This Row],[Count]]</f>
        <v>44238Product19</v>
      </c>
      <c r="D1200" s="90">
        <v>44238</v>
      </c>
      <c r="E1200" s="143">
        <v>6.0416666666666667E-2</v>
      </c>
      <c r="F1200" s="1" t="s">
        <v>9</v>
      </c>
      <c r="G1200" s="2" t="s">
        <v>12</v>
      </c>
      <c r="H1200" s="2" t="s">
        <v>42</v>
      </c>
      <c r="I1200" s="1" t="s">
        <v>11</v>
      </c>
      <c r="J1200" s="1" t="s">
        <v>8</v>
      </c>
      <c r="K1200" s="89">
        <v>21760</v>
      </c>
      <c r="L1200" s="3">
        <v>7.9</v>
      </c>
      <c r="M1200" s="3">
        <v>21.3</v>
      </c>
      <c r="N1200" s="3" t="s">
        <v>8</v>
      </c>
      <c r="O1200" s="3" t="s">
        <v>8</v>
      </c>
    </row>
    <row r="1201" spans="1:15" x14ac:dyDescent="0.35">
      <c r="A1201" s="5" t="str">
        <f>Loads[[#This Row],[Date]]&amp;Loads[[#This Row],[Product]]</f>
        <v>44238Product1</v>
      </c>
      <c r="B1201" s="5">
        <f>COUNTIF($A$1:A1201,Loads[[#This Row],[Load]])</f>
        <v>10</v>
      </c>
      <c r="C1201" s="3" t="str">
        <f>Loads[[#This Row],[Load]]&amp;Loads[[#This Row],[Count]]</f>
        <v>44238Product110</v>
      </c>
      <c r="D1201" s="90">
        <v>44238</v>
      </c>
      <c r="E1201" s="143">
        <v>6.1111111111111116E-2</v>
      </c>
      <c r="F1201" s="1" t="s">
        <v>9</v>
      </c>
      <c r="G1201" s="2" t="s">
        <v>12</v>
      </c>
      <c r="H1201" s="2" t="s">
        <v>42</v>
      </c>
      <c r="I1201" s="1" t="s">
        <v>11</v>
      </c>
      <c r="J1201" s="1" t="s">
        <v>8</v>
      </c>
      <c r="K1201" s="89">
        <v>28960</v>
      </c>
      <c r="L1201" s="3">
        <v>7.17</v>
      </c>
      <c r="M1201" s="3">
        <v>21.03</v>
      </c>
      <c r="N1201" s="3" t="s">
        <v>8</v>
      </c>
      <c r="O1201" s="3" t="s">
        <v>8</v>
      </c>
    </row>
    <row r="1202" spans="1:15" x14ac:dyDescent="0.35">
      <c r="A1202" s="5" t="str">
        <f>Loads[[#This Row],[Date]]&amp;Loads[[#This Row],[Product]]</f>
        <v>44238Product1</v>
      </c>
      <c r="B1202" s="5">
        <f>COUNTIF($A$1:A1202,Loads[[#This Row],[Load]])</f>
        <v>11</v>
      </c>
      <c r="C1202" s="3" t="str">
        <f>Loads[[#This Row],[Load]]&amp;Loads[[#This Row],[Count]]</f>
        <v>44238Product111</v>
      </c>
      <c r="D1202" s="90">
        <v>44238</v>
      </c>
      <c r="E1202" s="143">
        <v>6.1805555555555558E-2</v>
      </c>
      <c r="F1202" s="1" t="s">
        <v>9</v>
      </c>
      <c r="G1202" s="2" t="s">
        <v>12</v>
      </c>
      <c r="H1202" s="2" t="s">
        <v>42</v>
      </c>
      <c r="I1202" s="1" t="s">
        <v>10</v>
      </c>
      <c r="J1202" s="1">
        <v>770</v>
      </c>
      <c r="K1202" s="89">
        <v>30620</v>
      </c>
      <c r="L1202" s="3">
        <v>7.71</v>
      </c>
      <c r="M1202" s="3">
        <v>20.83</v>
      </c>
      <c r="N1202" s="3" t="s">
        <v>8</v>
      </c>
      <c r="O1202" s="3" t="s">
        <v>8</v>
      </c>
    </row>
    <row r="1203" spans="1:15" x14ac:dyDescent="0.35">
      <c r="A1203" s="5" t="str">
        <f>Loads[[#This Row],[Date]]&amp;Loads[[#This Row],[Product]]</f>
        <v>44238Product1</v>
      </c>
      <c r="B1203" s="5">
        <f>COUNTIF($A$1:A1203,Loads[[#This Row],[Load]])</f>
        <v>12</v>
      </c>
      <c r="C1203" s="3" t="str">
        <f>Loads[[#This Row],[Load]]&amp;Loads[[#This Row],[Count]]</f>
        <v>44238Product112</v>
      </c>
      <c r="D1203" s="90">
        <v>44238</v>
      </c>
      <c r="E1203" s="143">
        <v>6.25E-2</v>
      </c>
      <c r="F1203" s="1" t="s">
        <v>9</v>
      </c>
      <c r="G1203" s="2" t="s">
        <v>12</v>
      </c>
      <c r="H1203" s="2" t="s">
        <v>42</v>
      </c>
      <c r="I1203" s="1" t="s">
        <v>10</v>
      </c>
      <c r="J1203" s="1">
        <v>440</v>
      </c>
      <c r="K1203" s="89">
        <v>17380</v>
      </c>
      <c r="L1203" s="3">
        <v>9.19</v>
      </c>
      <c r="M1203" s="3">
        <v>21.67</v>
      </c>
      <c r="N1203" s="3" t="s">
        <v>8</v>
      </c>
      <c r="O1203" s="3" t="s">
        <v>8</v>
      </c>
    </row>
    <row r="1204" spans="1:15" x14ac:dyDescent="0.35">
      <c r="A1204" s="5" t="str">
        <f>Loads[[#This Row],[Date]]&amp;Loads[[#This Row],[Product]]</f>
        <v>44238Product1</v>
      </c>
      <c r="B1204" s="5">
        <f>COUNTIF($A$1:A1204,Loads[[#This Row],[Load]])</f>
        <v>13</v>
      </c>
      <c r="C1204" s="3" t="str">
        <f>Loads[[#This Row],[Load]]&amp;Loads[[#This Row],[Count]]</f>
        <v>44238Product113</v>
      </c>
      <c r="D1204" s="90">
        <v>44238</v>
      </c>
      <c r="E1204" s="143">
        <v>6.25E-2</v>
      </c>
      <c r="F1204" s="1" t="s">
        <v>9</v>
      </c>
      <c r="G1204" s="2" t="s">
        <v>12</v>
      </c>
      <c r="H1204" s="2" t="s">
        <v>42</v>
      </c>
      <c r="I1204" s="1" t="s">
        <v>11</v>
      </c>
      <c r="J1204" s="1" t="s">
        <v>8</v>
      </c>
      <c r="K1204" s="89">
        <v>13480</v>
      </c>
      <c r="L1204" s="3">
        <v>9.18</v>
      </c>
      <c r="M1204" s="3">
        <v>21.19</v>
      </c>
      <c r="N1204" s="3" t="s">
        <v>8</v>
      </c>
      <c r="O1204" s="3" t="s">
        <v>8</v>
      </c>
    </row>
    <row r="1205" spans="1:15" x14ac:dyDescent="0.35">
      <c r="A1205" s="5" t="str">
        <f>Loads[[#This Row],[Date]]&amp;Loads[[#This Row],[Product]]</f>
        <v>44239Product1</v>
      </c>
      <c r="B1205" s="5">
        <f>COUNTIF($A$1:A1205,Loads[[#This Row],[Load]])</f>
        <v>1</v>
      </c>
      <c r="C1205" s="3" t="str">
        <f>Loads[[#This Row],[Load]]&amp;Loads[[#This Row],[Count]]</f>
        <v>44239Product11</v>
      </c>
      <c r="D1205" s="90">
        <v>44239</v>
      </c>
      <c r="E1205" s="143">
        <v>2.4305555555555556E-2</v>
      </c>
      <c r="F1205" s="1" t="s">
        <v>9</v>
      </c>
      <c r="G1205" s="2" t="s">
        <v>12</v>
      </c>
      <c r="H1205" s="2" t="s">
        <v>42</v>
      </c>
      <c r="I1205" s="1" t="s">
        <v>11</v>
      </c>
      <c r="J1205" s="1" t="s">
        <v>8</v>
      </c>
      <c r="K1205" s="89">
        <v>26120</v>
      </c>
      <c r="L1205" s="3">
        <v>7.01</v>
      </c>
      <c r="M1205" s="3">
        <v>20.78</v>
      </c>
      <c r="N1205" s="3" t="s">
        <v>8</v>
      </c>
      <c r="O1205" s="3" t="s">
        <v>8</v>
      </c>
    </row>
    <row r="1206" spans="1:15" x14ac:dyDescent="0.35">
      <c r="A1206" s="5" t="str">
        <f>Loads[[#This Row],[Date]]&amp;Loads[[#This Row],[Product]]</f>
        <v>44239Product1</v>
      </c>
      <c r="B1206" s="5">
        <f>COUNTIF($A$1:A1206,Loads[[#This Row],[Load]])</f>
        <v>2</v>
      </c>
      <c r="C1206" s="3" t="str">
        <f>Loads[[#This Row],[Load]]&amp;Loads[[#This Row],[Count]]</f>
        <v>44239Product12</v>
      </c>
      <c r="D1206" s="90">
        <v>44239</v>
      </c>
      <c r="E1206" s="143">
        <v>2.4999999999999998E-2</v>
      </c>
      <c r="F1206" s="1" t="s">
        <v>9</v>
      </c>
      <c r="G1206" s="2" t="s">
        <v>12</v>
      </c>
      <c r="H1206" s="2" t="s">
        <v>42</v>
      </c>
      <c r="I1206" s="1" t="s">
        <v>11</v>
      </c>
      <c r="J1206" s="1" t="s">
        <v>8</v>
      </c>
      <c r="K1206" s="89">
        <v>25820</v>
      </c>
      <c r="L1206" s="3">
        <v>7.69</v>
      </c>
      <c r="M1206" s="3">
        <v>21.32</v>
      </c>
      <c r="N1206" s="3" t="s">
        <v>8</v>
      </c>
      <c r="O1206" s="3" t="s">
        <v>8</v>
      </c>
    </row>
    <row r="1207" spans="1:15" x14ac:dyDescent="0.35">
      <c r="A1207" s="5" t="str">
        <f>Loads[[#This Row],[Date]]&amp;Loads[[#This Row],[Product]]</f>
        <v>44239Product1</v>
      </c>
      <c r="B1207" s="5">
        <f>COUNTIF($A$1:A1207,Loads[[#This Row],[Load]])</f>
        <v>3</v>
      </c>
      <c r="C1207" s="3" t="str">
        <f>Loads[[#This Row],[Load]]&amp;Loads[[#This Row],[Count]]</f>
        <v>44239Product13</v>
      </c>
      <c r="D1207" s="90">
        <v>44239</v>
      </c>
      <c r="E1207" s="143">
        <v>2.5694444444444447E-2</v>
      </c>
      <c r="F1207" s="1" t="s">
        <v>9</v>
      </c>
      <c r="G1207" s="2" t="s">
        <v>12</v>
      </c>
      <c r="H1207" s="2" t="s">
        <v>42</v>
      </c>
      <c r="I1207" s="1" t="s">
        <v>10</v>
      </c>
      <c r="J1207" s="1">
        <v>200</v>
      </c>
      <c r="K1207" s="89">
        <v>8000</v>
      </c>
      <c r="L1207" s="3">
        <v>7.52</v>
      </c>
      <c r="M1207" s="3">
        <v>19.34</v>
      </c>
      <c r="N1207" s="3" t="s">
        <v>8</v>
      </c>
      <c r="O1207" s="3" t="s">
        <v>8</v>
      </c>
    </row>
    <row r="1208" spans="1:15" x14ac:dyDescent="0.35">
      <c r="A1208" s="5" t="str">
        <f>Loads[[#This Row],[Date]]&amp;Loads[[#This Row],[Product]]</f>
        <v>44239Product1</v>
      </c>
      <c r="B1208" s="5">
        <f>COUNTIF($A$1:A1208,Loads[[#This Row],[Load]])</f>
        <v>4</v>
      </c>
      <c r="C1208" s="3" t="str">
        <f>Loads[[#This Row],[Load]]&amp;Loads[[#This Row],[Count]]</f>
        <v>44239Product14</v>
      </c>
      <c r="D1208" s="90">
        <v>44239</v>
      </c>
      <c r="E1208" s="143">
        <v>2.6388888888888889E-2</v>
      </c>
      <c r="F1208" s="1" t="s">
        <v>9</v>
      </c>
      <c r="G1208" s="2" t="s">
        <v>12</v>
      </c>
      <c r="H1208" s="2" t="s">
        <v>42</v>
      </c>
      <c r="I1208" s="1" t="s">
        <v>11</v>
      </c>
      <c r="J1208" s="1" t="s">
        <v>8</v>
      </c>
      <c r="K1208" s="89">
        <v>25100</v>
      </c>
      <c r="L1208" s="3">
        <v>7.19</v>
      </c>
      <c r="M1208" s="3">
        <v>20.89</v>
      </c>
      <c r="N1208" s="3" t="s">
        <v>8</v>
      </c>
      <c r="O1208" s="3" t="s">
        <v>8</v>
      </c>
    </row>
    <row r="1209" spans="1:15" x14ac:dyDescent="0.35">
      <c r="A1209" s="5" t="str">
        <f>Loads[[#This Row],[Date]]&amp;Loads[[#This Row],[Product]]</f>
        <v>44239Product1</v>
      </c>
      <c r="B1209" s="5">
        <f>COUNTIF($A$1:A1209,Loads[[#This Row],[Load]])</f>
        <v>5</v>
      </c>
      <c r="C1209" s="3" t="str">
        <f>Loads[[#This Row],[Load]]&amp;Loads[[#This Row],[Count]]</f>
        <v>44239Product15</v>
      </c>
      <c r="D1209" s="90">
        <v>44239</v>
      </c>
      <c r="E1209" s="143">
        <v>2.7083333333333334E-2</v>
      </c>
      <c r="F1209" s="1" t="s">
        <v>9</v>
      </c>
      <c r="G1209" s="2" t="s">
        <v>12</v>
      </c>
      <c r="H1209" s="2" t="s">
        <v>42</v>
      </c>
      <c r="I1209" s="1" t="s">
        <v>11</v>
      </c>
      <c r="J1209" s="1" t="s">
        <v>8</v>
      </c>
      <c r="K1209" s="89">
        <v>28720</v>
      </c>
      <c r="L1209" s="3">
        <v>7.13</v>
      </c>
      <c r="M1209" s="3">
        <v>20.75</v>
      </c>
      <c r="N1209" s="3" t="s">
        <v>8</v>
      </c>
      <c r="O1209" s="3" t="s">
        <v>8</v>
      </c>
    </row>
    <row r="1210" spans="1:15" x14ac:dyDescent="0.35">
      <c r="A1210" s="5" t="str">
        <f>Loads[[#This Row],[Date]]&amp;Loads[[#This Row],[Product]]</f>
        <v>44239Product1</v>
      </c>
      <c r="B1210" s="5">
        <f>COUNTIF($A$1:A1210,Loads[[#This Row],[Load]])</f>
        <v>6</v>
      </c>
      <c r="C1210" s="3" t="str">
        <f>Loads[[#This Row],[Load]]&amp;Loads[[#This Row],[Count]]</f>
        <v>44239Product16</v>
      </c>
      <c r="D1210" s="90">
        <v>44239</v>
      </c>
      <c r="E1210" s="143">
        <v>2.7083333333333334E-2</v>
      </c>
      <c r="F1210" s="1" t="s">
        <v>9</v>
      </c>
      <c r="G1210" s="2" t="s">
        <v>12</v>
      </c>
      <c r="H1210" s="2" t="s">
        <v>42</v>
      </c>
      <c r="I1210" s="1" t="s">
        <v>11</v>
      </c>
      <c r="J1210" s="1" t="s">
        <v>8</v>
      </c>
      <c r="K1210" s="89">
        <v>24940</v>
      </c>
      <c r="L1210" s="3">
        <v>8.41</v>
      </c>
      <c r="M1210" s="3">
        <v>21.33</v>
      </c>
      <c r="N1210" s="3" t="s">
        <v>8</v>
      </c>
      <c r="O1210" s="3" t="s">
        <v>8</v>
      </c>
    </row>
    <row r="1211" spans="1:15" x14ac:dyDescent="0.35">
      <c r="A1211" s="5" t="str">
        <f>Loads[[#This Row],[Date]]&amp;Loads[[#This Row],[Product]]</f>
        <v>44239Product1</v>
      </c>
      <c r="B1211" s="5">
        <f>COUNTIF($A$1:A1211,Loads[[#This Row],[Load]])</f>
        <v>7</v>
      </c>
      <c r="C1211" s="3" t="str">
        <f>Loads[[#This Row],[Load]]&amp;Loads[[#This Row],[Count]]</f>
        <v>44239Product17</v>
      </c>
      <c r="D1211" s="90">
        <v>44239</v>
      </c>
      <c r="E1211" s="143">
        <v>2.8472222222222222E-2</v>
      </c>
      <c r="F1211" s="1" t="s">
        <v>9</v>
      </c>
      <c r="G1211" s="2" t="s">
        <v>12</v>
      </c>
      <c r="H1211" s="2" t="s">
        <v>42</v>
      </c>
      <c r="I1211" s="1" t="s">
        <v>11</v>
      </c>
      <c r="J1211" s="1" t="s">
        <v>8</v>
      </c>
      <c r="K1211" s="89">
        <v>30800</v>
      </c>
      <c r="L1211" s="3">
        <v>8.23</v>
      </c>
      <c r="M1211" s="3">
        <v>21</v>
      </c>
      <c r="N1211" s="3" t="s">
        <v>8</v>
      </c>
      <c r="O1211" s="3" t="s">
        <v>8</v>
      </c>
    </row>
    <row r="1212" spans="1:15" x14ac:dyDescent="0.35">
      <c r="A1212" s="5" t="str">
        <f>Loads[[#This Row],[Date]]&amp;Loads[[#This Row],[Product]]</f>
        <v>44239Product1</v>
      </c>
      <c r="B1212" s="5">
        <f>COUNTIF($A$1:A1212,Loads[[#This Row],[Load]])</f>
        <v>8</v>
      </c>
      <c r="C1212" s="3" t="str">
        <f>Loads[[#This Row],[Load]]&amp;Loads[[#This Row],[Count]]</f>
        <v>44239Product18</v>
      </c>
      <c r="D1212" s="90">
        <v>44239</v>
      </c>
      <c r="E1212" s="143">
        <v>2.8472222222222222E-2</v>
      </c>
      <c r="F1212" s="1" t="s">
        <v>9</v>
      </c>
      <c r="G1212" s="2" t="s">
        <v>12</v>
      </c>
      <c r="H1212" s="2" t="s">
        <v>42</v>
      </c>
      <c r="I1212" s="1" t="s">
        <v>11</v>
      </c>
      <c r="J1212" s="1" t="s">
        <v>8</v>
      </c>
      <c r="K1212" s="89">
        <v>23980</v>
      </c>
      <c r="L1212" s="3">
        <v>7.71</v>
      </c>
      <c r="M1212" s="3">
        <v>21.05</v>
      </c>
      <c r="N1212" s="3" t="s">
        <v>8</v>
      </c>
      <c r="O1212" s="3" t="s">
        <v>8</v>
      </c>
    </row>
    <row r="1213" spans="1:15" x14ac:dyDescent="0.35">
      <c r="A1213" s="5" t="str">
        <f>Loads[[#This Row],[Date]]&amp;Loads[[#This Row],[Product]]</f>
        <v>44239Product1</v>
      </c>
      <c r="B1213" s="5">
        <f>COUNTIF($A$1:A1213,Loads[[#This Row],[Load]])</f>
        <v>9</v>
      </c>
      <c r="C1213" s="3" t="str">
        <f>Loads[[#This Row],[Load]]&amp;Loads[[#This Row],[Count]]</f>
        <v>44239Product19</v>
      </c>
      <c r="D1213" s="90">
        <v>44239</v>
      </c>
      <c r="E1213" s="143">
        <v>2.9166666666666664E-2</v>
      </c>
      <c r="F1213" s="1" t="s">
        <v>9</v>
      </c>
      <c r="G1213" s="2" t="s">
        <v>12</v>
      </c>
      <c r="H1213" s="2" t="s">
        <v>42</v>
      </c>
      <c r="I1213" s="1" t="s">
        <v>11</v>
      </c>
      <c r="J1213" s="1" t="s">
        <v>8</v>
      </c>
      <c r="K1213" s="89">
        <v>21460</v>
      </c>
      <c r="L1213" s="3">
        <v>7.74</v>
      </c>
      <c r="M1213" s="3">
        <v>20.54</v>
      </c>
      <c r="N1213" s="3" t="s">
        <v>8</v>
      </c>
      <c r="O1213" s="3" t="s">
        <v>8</v>
      </c>
    </row>
    <row r="1214" spans="1:15" x14ac:dyDescent="0.35">
      <c r="A1214" s="5" t="str">
        <f>Loads[[#This Row],[Date]]&amp;Loads[[#This Row],[Product]]</f>
        <v>44239Product1</v>
      </c>
      <c r="B1214" s="5">
        <f>COUNTIF($A$1:A1214,Loads[[#This Row],[Load]])</f>
        <v>10</v>
      </c>
      <c r="C1214" s="3" t="str">
        <f>Loads[[#This Row],[Load]]&amp;Loads[[#This Row],[Count]]</f>
        <v>44239Product110</v>
      </c>
      <c r="D1214" s="90">
        <v>44239</v>
      </c>
      <c r="E1214" s="143">
        <v>2.9861111111111113E-2</v>
      </c>
      <c r="F1214" s="1" t="s">
        <v>9</v>
      </c>
      <c r="G1214" s="2" t="s">
        <v>12</v>
      </c>
      <c r="H1214" s="2" t="s">
        <v>42</v>
      </c>
      <c r="I1214" s="1" t="s">
        <v>10</v>
      </c>
      <c r="J1214" s="1">
        <v>443</v>
      </c>
      <c r="K1214" s="89">
        <v>17720</v>
      </c>
      <c r="L1214" s="3">
        <v>7.08</v>
      </c>
      <c r="M1214" s="3">
        <v>22.08</v>
      </c>
      <c r="N1214" s="3" t="s">
        <v>8</v>
      </c>
      <c r="O1214" s="3" t="s">
        <v>8</v>
      </c>
    </row>
    <row r="1215" spans="1:15" x14ac:dyDescent="0.35">
      <c r="A1215" s="5" t="str">
        <f>Loads[[#This Row],[Date]]&amp;Loads[[#This Row],[Product]]</f>
        <v>44239Product1</v>
      </c>
      <c r="B1215" s="5">
        <f>COUNTIF($A$1:A1215,Loads[[#This Row],[Load]])</f>
        <v>11</v>
      </c>
      <c r="C1215" s="3" t="str">
        <f>Loads[[#This Row],[Load]]&amp;Loads[[#This Row],[Count]]</f>
        <v>44239Product111</v>
      </c>
      <c r="D1215" s="90">
        <v>44239</v>
      </c>
      <c r="E1215" s="143">
        <v>2.9861111111111113E-2</v>
      </c>
      <c r="F1215" s="1" t="s">
        <v>9</v>
      </c>
      <c r="G1215" s="2" t="s">
        <v>12</v>
      </c>
      <c r="H1215" s="2" t="s">
        <v>42</v>
      </c>
      <c r="I1215" s="1" t="s">
        <v>11</v>
      </c>
      <c r="J1215" s="1" t="s">
        <v>8</v>
      </c>
      <c r="K1215" s="89">
        <v>28960</v>
      </c>
      <c r="L1215" s="3">
        <v>7.04</v>
      </c>
      <c r="M1215" s="3">
        <v>21.77</v>
      </c>
      <c r="N1215" s="3" t="s">
        <v>8</v>
      </c>
      <c r="O1215" s="3" t="s">
        <v>8</v>
      </c>
    </row>
    <row r="1216" spans="1:15" x14ac:dyDescent="0.35">
      <c r="A1216" s="5" t="str">
        <f>Loads[[#This Row],[Date]]&amp;Loads[[#This Row],[Product]]</f>
        <v>44239Product1</v>
      </c>
      <c r="B1216" s="5">
        <f>COUNTIF($A$1:A1216,Loads[[#This Row],[Load]])</f>
        <v>12</v>
      </c>
      <c r="C1216" s="3" t="str">
        <f>Loads[[#This Row],[Load]]&amp;Loads[[#This Row],[Count]]</f>
        <v>44239Product112</v>
      </c>
      <c r="D1216" s="90">
        <v>44239</v>
      </c>
      <c r="E1216" s="143">
        <v>3.0555555555555555E-2</v>
      </c>
      <c r="F1216" s="1" t="s">
        <v>9</v>
      </c>
      <c r="G1216" s="2" t="s">
        <v>12</v>
      </c>
      <c r="H1216" s="2" t="s">
        <v>42</v>
      </c>
      <c r="I1216" s="1" t="s">
        <v>11</v>
      </c>
      <c r="J1216" s="1" t="s">
        <v>8</v>
      </c>
      <c r="K1216" s="89">
        <v>19020</v>
      </c>
      <c r="L1216" s="3">
        <v>7.49</v>
      </c>
      <c r="M1216" s="3">
        <v>22.38</v>
      </c>
      <c r="N1216" s="3" t="s">
        <v>8</v>
      </c>
      <c r="O1216" s="3" t="s">
        <v>8</v>
      </c>
    </row>
    <row r="1217" spans="1:15" x14ac:dyDescent="0.35">
      <c r="A1217" s="5" t="str">
        <f>Loads[[#This Row],[Date]]&amp;Loads[[#This Row],[Product]]</f>
        <v>44239Product1</v>
      </c>
      <c r="B1217" s="5">
        <f>COUNTIF($A$1:A1217,Loads[[#This Row],[Load]])</f>
        <v>13</v>
      </c>
      <c r="C1217" s="3" t="str">
        <f>Loads[[#This Row],[Load]]&amp;Loads[[#This Row],[Count]]</f>
        <v>44239Product113</v>
      </c>
      <c r="D1217" s="90">
        <v>44239</v>
      </c>
      <c r="E1217" s="143">
        <v>3.125E-2</v>
      </c>
      <c r="F1217" s="1" t="s">
        <v>9</v>
      </c>
      <c r="G1217" s="2" t="s">
        <v>12</v>
      </c>
      <c r="H1217" s="2" t="s">
        <v>42</v>
      </c>
      <c r="I1217" s="1" t="s">
        <v>11</v>
      </c>
      <c r="J1217" s="1" t="s">
        <v>8</v>
      </c>
      <c r="K1217" s="89">
        <v>17980</v>
      </c>
      <c r="L1217" s="3">
        <v>7.3</v>
      </c>
      <c r="M1217" s="3">
        <v>22.16</v>
      </c>
      <c r="N1217" s="3" t="s">
        <v>8</v>
      </c>
      <c r="O1217" s="3" t="s">
        <v>8</v>
      </c>
    </row>
    <row r="1218" spans="1:15" x14ac:dyDescent="0.35">
      <c r="A1218" s="5" t="str">
        <f>Loads[[#This Row],[Date]]&amp;Loads[[#This Row],[Product]]</f>
        <v>44239Product1</v>
      </c>
      <c r="B1218" s="5">
        <f>COUNTIF($A$1:A1218,Loads[[#This Row],[Load]])</f>
        <v>14</v>
      </c>
      <c r="C1218" s="3" t="str">
        <f>Loads[[#This Row],[Load]]&amp;Loads[[#This Row],[Count]]</f>
        <v>44239Product114</v>
      </c>
      <c r="D1218" s="90">
        <v>44239</v>
      </c>
      <c r="E1218" s="143">
        <v>3.1944444444444449E-2</v>
      </c>
      <c r="F1218" s="1" t="s">
        <v>9</v>
      </c>
      <c r="G1218" s="2" t="s">
        <v>12</v>
      </c>
      <c r="H1218" s="2" t="s">
        <v>42</v>
      </c>
      <c r="I1218" s="1" t="s">
        <v>11</v>
      </c>
      <c r="J1218" s="1" t="s">
        <v>8</v>
      </c>
      <c r="K1218" s="89">
        <v>32160</v>
      </c>
      <c r="L1218" s="3">
        <v>8.31</v>
      </c>
      <c r="M1218" s="3">
        <v>21.21</v>
      </c>
      <c r="N1218" s="3" t="s">
        <v>8</v>
      </c>
      <c r="O1218" s="3" t="s">
        <v>8</v>
      </c>
    </row>
    <row r="1219" spans="1:15" x14ac:dyDescent="0.35">
      <c r="A1219" s="5" t="str">
        <f>Loads[[#This Row],[Date]]&amp;Loads[[#This Row],[Product]]</f>
        <v>44240Product1</v>
      </c>
      <c r="B1219" s="5">
        <f>COUNTIF($A$1:A1219,Loads[[#This Row],[Load]])</f>
        <v>1</v>
      </c>
      <c r="C1219" s="3" t="str">
        <f>Loads[[#This Row],[Load]]&amp;Loads[[#This Row],[Count]]</f>
        <v>44240Product11</v>
      </c>
      <c r="D1219" s="90">
        <v>44240</v>
      </c>
      <c r="E1219" s="143">
        <v>8.1250000000000003E-2</v>
      </c>
      <c r="F1219" s="1" t="s">
        <v>9</v>
      </c>
      <c r="G1219" s="2" t="s">
        <v>12</v>
      </c>
      <c r="H1219" s="2" t="s">
        <v>42</v>
      </c>
      <c r="I1219" s="1" t="s">
        <v>11</v>
      </c>
      <c r="J1219" s="1" t="s">
        <v>8</v>
      </c>
      <c r="K1219" s="89">
        <v>19700</v>
      </c>
      <c r="L1219" s="3">
        <v>8.77</v>
      </c>
      <c r="M1219" s="3">
        <v>22.29</v>
      </c>
      <c r="N1219" s="3" t="s">
        <v>8</v>
      </c>
      <c r="O1219" s="3" t="s">
        <v>8</v>
      </c>
    </row>
    <row r="1220" spans="1:15" x14ac:dyDescent="0.35">
      <c r="A1220" s="5" t="str">
        <f>Loads[[#This Row],[Date]]&amp;Loads[[#This Row],[Product]]</f>
        <v>44240Product1</v>
      </c>
      <c r="B1220" s="5">
        <f>COUNTIF($A$1:A1220,Loads[[#This Row],[Load]])</f>
        <v>2</v>
      </c>
      <c r="C1220" s="3" t="str">
        <f>Loads[[#This Row],[Load]]&amp;Loads[[#This Row],[Count]]</f>
        <v>44240Product12</v>
      </c>
      <c r="D1220" s="90">
        <v>44240</v>
      </c>
      <c r="E1220" s="143">
        <v>8.1944444444444445E-2</v>
      </c>
      <c r="F1220" s="1" t="s">
        <v>9</v>
      </c>
      <c r="G1220" s="2" t="s">
        <v>12</v>
      </c>
      <c r="H1220" s="2" t="s">
        <v>42</v>
      </c>
      <c r="I1220" s="1" t="s">
        <v>11</v>
      </c>
      <c r="J1220" s="1" t="s">
        <v>8</v>
      </c>
      <c r="K1220" s="89">
        <v>28460</v>
      </c>
      <c r="L1220" s="3">
        <v>7.68</v>
      </c>
      <c r="M1220" s="3">
        <v>21.53</v>
      </c>
      <c r="N1220" s="3" t="s">
        <v>8</v>
      </c>
      <c r="O1220" s="3" t="s">
        <v>8</v>
      </c>
    </row>
    <row r="1221" spans="1:15" x14ac:dyDescent="0.35">
      <c r="A1221" s="5" t="str">
        <f>Loads[[#This Row],[Date]]&amp;Loads[[#This Row],[Product]]</f>
        <v>44240Product1</v>
      </c>
      <c r="B1221" s="5">
        <f>COUNTIF($A$1:A1221,Loads[[#This Row],[Load]])</f>
        <v>3</v>
      </c>
      <c r="C1221" s="3" t="str">
        <f>Loads[[#This Row],[Load]]&amp;Loads[[#This Row],[Count]]</f>
        <v>44240Product13</v>
      </c>
      <c r="D1221" s="90">
        <v>44240</v>
      </c>
      <c r="E1221" s="143">
        <v>8.2638888888888887E-2</v>
      </c>
      <c r="F1221" s="1" t="s">
        <v>9</v>
      </c>
      <c r="G1221" s="2" t="s">
        <v>12</v>
      </c>
      <c r="H1221" s="2" t="s">
        <v>42</v>
      </c>
      <c r="I1221" s="1" t="s">
        <v>10</v>
      </c>
      <c r="J1221" s="1">
        <v>338</v>
      </c>
      <c r="K1221" s="89">
        <v>13400</v>
      </c>
      <c r="L1221" s="3">
        <v>8.75</v>
      </c>
      <c r="M1221" s="3">
        <v>21.56</v>
      </c>
      <c r="N1221" s="3" t="s">
        <v>8</v>
      </c>
      <c r="O1221" s="3" t="s">
        <v>8</v>
      </c>
    </row>
    <row r="1222" spans="1:15" x14ac:dyDescent="0.35">
      <c r="A1222" s="5" t="str">
        <f>Loads[[#This Row],[Date]]&amp;Loads[[#This Row],[Product]]</f>
        <v>44240Product1</v>
      </c>
      <c r="B1222" s="5">
        <f>COUNTIF($A$1:A1222,Loads[[#This Row],[Load]])</f>
        <v>4</v>
      </c>
      <c r="C1222" s="3" t="str">
        <f>Loads[[#This Row],[Load]]&amp;Loads[[#This Row],[Count]]</f>
        <v>44240Product14</v>
      </c>
      <c r="D1222" s="90">
        <v>44240</v>
      </c>
      <c r="E1222" s="143">
        <v>8.3333333333333329E-2</v>
      </c>
      <c r="F1222" s="1" t="s">
        <v>9</v>
      </c>
      <c r="G1222" s="2" t="s">
        <v>12</v>
      </c>
      <c r="H1222" s="2" t="s">
        <v>42</v>
      </c>
      <c r="I1222" s="1" t="s">
        <v>11</v>
      </c>
      <c r="J1222" s="1" t="s">
        <v>8</v>
      </c>
      <c r="K1222" s="89">
        <v>27860</v>
      </c>
      <c r="L1222" s="3">
        <v>8.77</v>
      </c>
      <c r="M1222" s="3">
        <v>22.48</v>
      </c>
      <c r="N1222" s="3" t="s">
        <v>8</v>
      </c>
      <c r="O1222" s="3" t="s">
        <v>8</v>
      </c>
    </row>
    <row r="1223" spans="1:15" x14ac:dyDescent="0.35">
      <c r="A1223" s="5" t="str">
        <f>Loads[[#This Row],[Date]]&amp;Loads[[#This Row],[Product]]</f>
        <v>44240Product1</v>
      </c>
      <c r="B1223" s="5">
        <f>COUNTIF($A$1:A1223,Loads[[#This Row],[Load]])</f>
        <v>5</v>
      </c>
      <c r="C1223" s="3" t="str">
        <f>Loads[[#This Row],[Load]]&amp;Loads[[#This Row],[Count]]</f>
        <v>44240Product15</v>
      </c>
      <c r="D1223" s="90">
        <v>44240</v>
      </c>
      <c r="E1223" s="143">
        <v>8.4027777777777771E-2</v>
      </c>
      <c r="F1223" s="1" t="s">
        <v>9</v>
      </c>
      <c r="G1223" s="2" t="s">
        <v>12</v>
      </c>
      <c r="H1223" s="2" t="s">
        <v>42</v>
      </c>
      <c r="I1223" s="1" t="s">
        <v>11</v>
      </c>
      <c r="J1223" s="1" t="s">
        <v>8</v>
      </c>
      <c r="K1223" s="89">
        <v>22060</v>
      </c>
      <c r="L1223" s="3">
        <v>8.99</v>
      </c>
      <c r="M1223" s="3">
        <v>21.78</v>
      </c>
      <c r="N1223" s="3" t="s">
        <v>8</v>
      </c>
      <c r="O1223" s="3" t="s">
        <v>8</v>
      </c>
    </row>
    <row r="1224" spans="1:15" x14ac:dyDescent="0.35">
      <c r="A1224" s="5" t="str">
        <f>Loads[[#This Row],[Date]]&amp;Loads[[#This Row],[Product]]</f>
        <v>44240Product1</v>
      </c>
      <c r="B1224" s="5">
        <f>COUNTIF($A$1:A1224,Loads[[#This Row],[Load]])</f>
        <v>6</v>
      </c>
      <c r="C1224" s="3" t="str">
        <f>Loads[[#This Row],[Load]]&amp;Loads[[#This Row],[Count]]</f>
        <v>44240Product16</v>
      </c>
      <c r="D1224" s="90">
        <v>44240</v>
      </c>
      <c r="E1224" s="143">
        <v>8.4722222222222213E-2</v>
      </c>
      <c r="F1224" s="1" t="s">
        <v>9</v>
      </c>
      <c r="G1224" s="2" t="s">
        <v>12</v>
      </c>
      <c r="H1224" s="2" t="s">
        <v>42</v>
      </c>
      <c r="I1224" s="1" t="s">
        <v>11</v>
      </c>
      <c r="J1224" s="1" t="s">
        <v>8</v>
      </c>
      <c r="K1224" s="89">
        <v>29980</v>
      </c>
      <c r="L1224" s="3">
        <v>8.65</v>
      </c>
      <c r="M1224" s="3">
        <v>21.85</v>
      </c>
      <c r="N1224" s="3" t="s">
        <v>8</v>
      </c>
      <c r="O1224" s="3" t="s">
        <v>8</v>
      </c>
    </row>
    <row r="1225" spans="1:15" x14ac:dyDescent="0.35">
      <c r="A1225" s="5" t="str">
        <f>Loads[[#This Row],[Date]]&amp;Loads[[#This Row],[Product]]</f>
        <v>44240Product1</v>
      </c>
      <c r="B1225" s="5">
        <f>COUNTIF($A$1:A1225,Loads[[#This Row],[Load]])</f>
        <v>7</v>
      </c>
      <c r="C1225" s="3" t="str">
        <f>Loads[[#This Row],[Load]]&amp;Loads[[#This Row],[Count]]</f>
        <v>44240Product17</v>
      </c>
      <c r="D1225" s="90">
        <v>44240</v>
      </c>
      <c r="E1225" s="143">
        <v>8.4722222222222213E-2</v>
      </c>
      <c r="F1225" s="1" t="s">
        <v>9</v>
      </c>
      <c r="G1225" s="2" t="s">
        <v>12</v>
      </c>
      <c r="H1225" s="2" t="s">
        <v>42</v>
      </c>
      <c r="I1225" s="1" t="s">
        <v>11</v>
      </c>
      <c r="J1225" s="1" t="s">
        <v>8</v>
      </c>
      <c r="K1225" s="89">
        <v>21100</v>
      </c>
      <c r="L1225" s="3">
        <v>9.36</v>
      </c>
      <c r="M1225" s="3">
        <v>21.36</v>
      </c>
      <c r="N1225" s="3" t="s">
        <v>8</v>
      </c>
      <c r="O1225" s="3" t="s">
        <v>8</v>
      </c>
    </row>
    <row r="1226" spans="1:15" x14ac:dyDescent="0.35">
      <c r="A1226" s="5" t="str">
        <f>Loads[[#This Row],[Date]]&amp;Loads[[#This Row],[Product]]</f>
        <v>44240Product1</v>
      </c>
      <c r="B1226" s="5">
        <f>COUNTIF($A$1:A1226,Loads[[#This Row],[Load]])</f>
        <v>8</v>
      </c>
      <c r="C1226" s="3" t="str">
        <f>Loads[[#This Row],[Load]]&amp;Loads[[#This Row],[Count]]</f>
        <v>44240Product18</v>
      </c>
      <c r="D1226" s="90">
        <v>44240</v>
      </c>
      <c r="E1226" s="143">
        <v>8.5416666666666655E-2</v>
      </c>
      <c r="F1226" s="1" t="s">
        <v>9</v>
      </c>
      <c r="G1226" s="2" t="s">
        <v>12</v>
      </c>
      <c r="H1226" s="2" t="s">
        <v>42</v>
      </c>
      <c r="I1226" s="1" t="s">
        <v>11</v>
      </c>
      <c r="J1226" s="1" t="s">
        <v>8</v>
      </c>
      <c r="K1226" s="89">
        <v>18720</v>
      </c>
      <c r="L1226" s="3">
        <v>9.3000000000000007</v>
      </c>
      <c r="M1226" s="3">
        <v>22.52</v>
      </c>
      <c r="N1226" s="3" t="s">
        <v>8</v>
      </c>
      <c r="O1226" s="3" t="s">
        <v>8</v>
      </c>
    </row>
    <row r="1227" spans="1:15" x14ac:dyDescent="0.35">
      <c r="A1227" s="5" t="str">
        <f>Loads[[#This Row],[Date]]&amp;Loads[[#This Row],[Product]]</f>
        <v>44240Product1</v>
      </c>
      <c r="B1227" s="5">
        <f>COUNTIF($A$1:A1227,Loads[[#This Row],[Load]])</f>
        <v>9</v>
      </c>
      <c r="C1227" s="3" t="str">
        <f>Loads[[#This Row],[Load]]&amp;Loads[[#This Row],[Count]]</f>
        <v>44240Product19</v>
      </c>
      <c r="D1227" s="90">
        <v>44240</v>
      </c>
      <c r="E1227" s="143">
        <v>8.6111111111111124E-2</v>
      </c>
      <c r="F1227" s="1" t="s">
        <v>9</v>
      </c>
      <c r="G1227" s="2" t="s">
        <v>12</v>
      </c>
      <c r="H1227" s="2" t="s">
        <v>42</v>
      </c>
      <c r="I1227" s="1" t="s">
        <v>11</v>
      </c>
      <c r="J1227" s="1" t="s">
        <v>8</v>
      </c>
      <c r="K1227" s="89">
        <v>19220</v>
      </c>
      <c r="L1227" s="3">
        <v>9.4700000000000006</v>
      </c>
      <c r="M1227" s="3">
        <v>23.07</v>
      </c>
      <c r="N1227" s="3" t="s">
        <v>8</v>
      </c>
      <c r="O1227" s="3" t="s">
        <v>8</v>
      </c>
    </row>
    <row r="1228" spans="1:15" x14ac:dyDescent="0.35">
      <c r="A1228" s="5" t="str">
        <f>Loads[[#This Row],[Date]]&amp;Loads[[#This Row],[Product]]</f>
        <v>44240Product1</v>
      </c>
      <c r="B1228" s="5">
        <f>COUNTIF($A$1:A1228,Loads[[#This Row],[Load]])</f>
        <v>10</v>
      </c>
      <c r="C1228" s="3" t="str">
        <f>Loads[[#This Row],[Load]]&amp;Loads[[#This Row],[Count]]</f>
        <v>44240Product110</v>
      </c>
      <c r="D1228" s="90">
        <v>44240</v>
      </c>
      <c r="E1228" s="143">
        <v>8.6805555555555566E-2</v>
      </c>
      <c r="F1228" s="1" t="s">
        <v>9</v>
      </c>
      <c r="G1228" s="2" t="s">
        <v>12</v>
      </c>
      <c r="H1228" s="2" t="s">
        <v>42</v>
      </c>
      <c r="I1228" s="1" t="s">
        <v>11</v>
      </c>
      <c r="J1228" s="1" t="s">
        <v>8</v>
      </c>
      <c r="K1228" s="89">
        <v>24800</v>
      </c>
      <c r="L1228" s="3">
        <v>8.64</v>
      </c>
      <c r="M1228" s="3">
        <v>21.39</v>
      </c>
      <c r="N1228" s="3" t="s">
        <v>8</v>
      </c>
      <c r="O1228" s="3" t="s">
        <v>8</v>
      </c>
    </row>
    <row r="1229" spans="1:15" x14ac:dyDescent="0.35">
      <c r="A1229" s="5" t="str">
        <f>Loads[[#This Row],[Date]]&amp;Loads[[#This Row],[Product]]</f>
        <v>44240Product1</v>
      </c>
      <c r="B1229" s="5">
        <f>COUNTIF($A$1:A1229,Loads[[#This Row],[Load]])</f>
        <v>11</v>
      </c>
      <c r="C1229" s="3" t="str">
        <f>Loads[[#This Row],[Load]]&amp;Loads[[#This Row],[Count]]</f>
        <v>44240Product111</v>
      </c>
      <c r="D1229" s="90">
        <v>44240</v>
      </c>
      <c r="E1229" s="143">
        <v>8.7500000000000008E-2</v>
      </c>
      <c r="F1229" s="1" t="s">
        <v>9</v>
      </c>
      <c r="G1229" s="2" t="s">
        <v>12</v>
      </c>
      <c r="H1229" s="2" t="s">
        <v>42</v>
      </c>
      <c r="I1229" s="1" t="s">
        <v>11</v>
      </c>
      <c r="J1229" s="1" t="s">
        <v>8</v>
      </c>
      <c r="K1229" s="89">
        <v>21780</v>
      </c>
      <c r="L1229" s="3">
        <v>8.67</v>
      </c>
      <c r="M1229" s="3">
        <v>21.95</v>
      </c>
      <c r="N1229" s="3" t="s">
        <v>8</v>
      </c>
      <c r="O1229" s="3" t="s">
        <v>8</v>
      </c>
    </row>
    <row r="1230" spans="1:15" x14ac:dyDescent="0.35">
      <c r="A1230" s="5" t="str">
        <f>Loads[[#This Row],[Date]]&amp;Loads[[#This Row],[Product]]</f>
        <v>44240Product1</v>
      </c>
      <c r="B1230" s="5">
        <f>COUNTIF($A$1:A1230,Loads[[#This Row],[Load]])</f>
        <v>12</v>
      </c>
      <c r="C1230" s="3" t="str">
        <f>Loads[[#This Row],[Load]]&amp;Loads[[#This Row],[Count]]</f>
        <v>44240Product112</v>
      </c>
      <c r="D1230" s="90">
        <v>44240</v>
      </c>
      <c r="E1230" s="143">
        <v>8.819444444444445E-2</v>
      </c>
      <c r="F1230" s="1" t="s">
        <v>9</v>
      </c>
      <c r="G1230" s="2" t="s">
        <v>12</v>
      </c>
      <c r="H1230" s="2" t="s">
        <v>42</v>
      </c>
      <c r="I1230" s="1" t="s">
        <v>11</v>
      </c>
      <c r="J1230" s="1" t="s">
        <v>8</v>
      </c>
      <c r="K1230" s="89">
        <v>29740</v>
      </c>
      <c r="L1230" s="3">
        <v>9.25</v>
      </c>
      <c r="M1230" s="3">
        <v>22.67</v>
      </c>
      <c r="N1230" s="3" t="s">
        <v>8</v>
      </c>
      <c r="O1230" s="3" t="s">
        <v>8</v>
      </c>
    </row>
    <row r="1231" spans="1:15" x14ac:dyDescent="0.35">
      <c r="A1231" s="5" t="str">
        <f>Loads[[#This Row],[Date]]&amp;Loads[[#This Row],[Product]]</f>
        <v>44240Product1</v>
      </c>
      <c r="B1231" s="5">
        <f>COUNTIF($A$1:A1231,Loads[[#This Row],[Load]])</f>
        <v>13</v>
      </c>
      <c r="C1231" s="3" t="str">
        <f>Loads[[#This Row],[Load]]&amp;Loads[[#This Row],[Count]]</f>
        <v>44240Product113</v>
      </c>
      <c r="D1231" s="90">
        <v>44240</v>
      </c>
      <c r="E1231" s="143">
        <v>8.819444444444445E-2</v>
      </c>
      <c r="F1231" s="1" t="s">
        <v>9</v>
      </c>
      <c r="G1231" s="2" t="s">
        <v>12</v>
      </c>
      <c r="H1231" s="2" t="s">
        <v>42</v>
      </c>
      <c r="I1231" s="1" t="s">
        <v>10</v>
      </c>
      <c r="J1231" s="1">
        <v>642</v>
      </c>
      <c r="K1231" s="89">
        <v>25560</v>
      </c>
      <c r="L1231" s="3">
        <v>8.7200000000000006</v>
      </c>
      <c r="M1231" s="3">
        <v>21.91</v>
      </c>
      <c r="N1231" s="3" t="s">
        <v>8</v>
      </c>
      <c r="O1231" s="3" t="s">
        <v>8</v>
      </c>
    </row>
    <row r="1232" spans="1:15" x14ac:dyDescent="0.35">
      <c r="A1232" s="5" t="str">
        <f>Loads[[#This Row],[Date]]&amp;Loads[[#This Row],[Product]]</f>
        <v>44240Product1</v>
      </c>
      <c r="B1232" s="5">
        <f>COUNTIF($A$1:A1232,Loads[[#This Row],[Load]])</f>
        <v>14</v>
      </c>
      <c r="C1232" s="3" t="str">
        <f>Loads[[#This Row],[Load]]&amp;Loads[[#This Row],[Count]]</f>
        <v>44240Product114</v>
      </c>
      <c r="D1232" s="90">
        <v>44240</v>
      </c>
      <c r="E1232" s="143">
        <v>8.8888888888888892E-2</v>
      </c>
      <c r="F1232" s="1" t="s">
        <v>9</v>
      </c>
      <c r="G1232" s="2" t="s">
        <v>12</v>
      </c>
      <c r="H1232" s="2" t="s">
        <v>42</v>
      </c>
      <c r="I1232" s="1" t="s">
        <v>11</v>
      </c>
      <c r="J1232" s="1" t="s">
        <v>8</v>
      </c>
      <c r="K1232" s="89">
        <v>28420</v>
      </c>
      <c r="L1232" s="3">
        <v>8.73</v>
      </c>
      <c r="M1232" s="3">
        <v>22.33</v>
      </c>
      <c r="N1232" s="3" t="s">
        <v>8</v>
      </c>
      <c r="O1232" s="3" t="s">
        <v>8</v>
      </c>
    </row>
    <row r="1233" spans="1:15" x14ac:dyDescent="0.35">
      <c r="A1233" s="5" t="str">
        <f>Loads[[#This Row],[Date]]&amp;Loads[[#This Row],[Product]]</f>
        <v>44240Product1</v>
      </c>
      <c r="B1233" s="5">
        <f>COUNTIF($A$1:A1233,Loads[[#This Row],[Load]])</f>
        <v>15</v>
      </c>
      <c r="C1233" s="3" t="str">
        <f>Loads[[#This Row],[Load]]&amp;Loads[[#This Row],[Count]]</f>
        <v>44240Product115</v>
      </c>
      <c r="D1233" s="90">
        <v>44240</v>
      </c>
      <c r="E1233" s="143">
        <v>8.9583333333333334E-2</v>
      </c>
      <c r="F1233" s="1" t="s">
        <v>9</v>
      </c>
      <c r="G1233" s="2" t="s">
        <v>12</v>
      </c>
      <c r="H1233" s="2" t="s">
        <v>42</v>
      </c>
      <c r="I1233" s="1" t="s">
        <v>11</v>
      </c>
      <c r="J1233" s="1" t="s">
        <v>8</v>
      </c>
      <c r="K1233" s="89">
        <v>32080</v>
      </c>
      <c r="L1233" s="3">
        <v>8.59</v>
      </c>
      <c r="M1233" s="3">
        <v>21.55</v>
      </c>
      <c r="N1233" s="3" t="s">
        <v>8</v>
      </c>
      <c r="O1233" s="3" t="s">
        <v>8</v>
      </c>
    </row>
    <row r="1234" spans="1:15" x14ac:dyDescent="0.35">
      <c r="A1234" s="5" t="str">
        <f>Loads[[#This Row],[Date]]&amp;Loads[[#This Row],[Product]]</f>
        <v>44241Product1</v>
      </c>
      <c r="B1234" s="5">
        <f>COUNTIF($A$1:A1234,Loads[[#This Row],[Load]])</f>
        <v>1</v>
      </c>
      <c r="C1234" s="3" t="str">
        <f>Loads[[#This Row],[Load]]&amp;Loads[[#This Row],[Count]]</f>
        <v>44241Product11</v>
      </c>
      <c r="D1234" s="90">
        <v>44241</v>
      </c>
      <c r="E1234" s="143">
        <v>2.8472222222222222E-2</v>
      </c>
      <c r="F1234" s="1" t="s">
        <v>9</v>
      </c>
      <c r="G1234" s="2" t="s">
        <v>12</v>
      </c>
      <c r="H1234" s="2" t="s">
        <v>42</v>
      </c>
      <c r="I1234" s="1" t="s">
        <v>11</v>
      </c>
      <c r="J1234" s="1" t="s">
        <v>8</v>
      </c>
      <c r="K1234" s="89">
        <v>18320</v>
      </c>
      <c r="L1234" s="3">
        <v>9.32</v>
      </c>
      <c r="M1234" s="3">
        <v>22.37</v>
      </c>
      <c r="N1234" s="3" t="s">
        <v>8</v>
      </c>
      <c r="O1234" s="3" t="s">
        <v>8</v>
      </c>
    </row>
    <row r="1235" spans="1:15" x14ac:dyDescent="0.35">
      <c r="A1235" s="5" t="str">
        <f>Loads[[#This Row],[Date]]&amp;Loads[[#This Row],[Product]]</f>
        <v>44241Product1</v>
      </c>
      <c r="B1235" s="5">
        <f>COUNTIF($A$1:A1235,Loads[[#This Row],[Load]])</f>
        <v>2</v>
      </c>
      <c r="C1235" s="3" t="str">
        <f>Loads[[#This Row],[Load]]&amp;Loads[[#This Row],[Count]]</f>
        <v>44241Product12</v>
      </c>
      <c r="D1235" s="90">
        <v>44241</v>
      </c>
      <c r="E1235" s="143">
        <v>2.9166666666666664E-2</v>
      </c>
      <c r="F1235" s="1" t="s">
        <v>9</v>
      </c>
      <c r="G1235" s="2" t="s">
        <v>12</v>
      </c>
      <c r="H1235" s="2" t="s">
        <v>42</v>
      </c>
      <c r="I1235" s="1" t="s">
        <v>11</v>
      </c>
      <c r="J1235" s="1" t="s">
        <v>8</v>
      </c>
      <c r="K1235" s="89">
        <v>20760</v>
      </c>
      <c r="L1235" s="3">
        <v>9.18</v>
      </c>
      <c r="M1235" s="3">
        <v>22.58</v>
      </c>
      <c r="N1235" s="3" t="s">
        <v>8</v>
      </c>
      <c r="O1235" s="3" t="s">
        <v>8</v>
      </c>
    </row>
    <row r="1236" spans="1:15" x14ac:dyDescent="0.35">
      <c r="A1236" s="5" t="str">
        <f>Loads[[#This Row],[Date]]&amp;Loads[[#This Row],[Product]]</f>
        <v>44241Product1</v>
      </c>
      <c r="B1236" s="5">
        <f>COUNTIF($A$1:A1236,Loads[[#This Row],[Load]])</f>
        <v>3</v>
      </c>
      <c r="C1236" s="3" t="str">
        <f>Loads[[#This Row],[Load]]&amp;Loads[[#This Row],[Count]]</f>
        <v>44241Product13</v>
      </c>
      <c r="D1236" s="90">
        <v>44241</v>
      </c>
      <c r="E1236" s="143">
        <v>2.9166666666666664E-2</v>
      </c>
      <c r="F1236" s="1" t="s">
        <v>9</v>
      </c>
      <c r="G1236" s="2" t="s">
        <v>12</v>
      </c>
      <c r="H1236" s="2" t="s">
        <v>42</v>
      </c>
      <c r="I1236" s="1" t="s">
        <v>11</v>
      </c>
      <c r="J1236" s="1" t="s">
        <v>8</v>
      </c>
      <c r="K1236" s="89">
        <v>20720</v>
      </c>
      <c r="L1236" s="3">
        <v>9.56</v>
      </c>
      <c r="M1236" s="3">
        <v>20.89</v>
      </c>
      <c r="N1236" s="3" t="s">
        <v>8</v>
      </c>
      <c r="O1236" s="3" t="s">
        <v>8</v>
      </c>
    </row>
    <row r="1237" spans="1:15" x14ac:dyDescent="0.35">
      <c r="A1237" s="5" t="str">
        <f>Loads[[#This Row],[Date]]&amp;Loads[[#This Row],[Product]]</f>
        <v>44241Product1</v>
      </c>
      <c r="B1237" s="5">
        <f>COUNTIF($A$1:A1237,Loads[[#This Row],[Load]])</f>
        <v>4</v>
      </c>
      <c r="C1237" s="3" t="str">
        <f>Loads[[#This Row],[Load]]&amp;Loads[[#This Row],[Count]]</f>
        <v>44241Product14</v>
      </c>
      <c r="D1237" s="90">
        <v>44241</v>
      </c>
      <c r="E1237" s="143">
        <v>2.9861111111111113E-2</v>
      </c>
      <c r="F1237" s="1" t="s">
        <v>9</v>
      </c>
      <c r="G1237" s="2" t="s">
        <v>12</v>
      </c>
      <c r="H1237" s="2" t="s">
        <v>42</v>
      </c>
      <c r="I1237" s="1" t="s">
        <v>11</v>
      </c>
      <c r="J1237" s="1" t="s">
        <v>8</v>
      </c>
      <c r="K1237" s="89">
        <v>19900</v>
      </c>
      <c r="L1237" s="3">
        <v>9.36</v>
      </c>
      <c r="M1237" s="3">
        <v>21.84</v>
      </c>
      <c r="N1237" s="3" t="s">
        <v>8</v>
      </c>
      <c r="O1237" s="3" t="s">
        <v>8</v>
      </c>
    </row>
    <row r="1238" spans="1:15" x14ac:dyDescent="0.35">
      <c r="A1238" s="5" t="str">
        <f>Loads[[#This Row],[Date]]&amp;Loads[[#This Row],[Product]]</f>
        <v>44241Product1</v>
      </c>
      <c r="B1238" s="5">
        <f>COUNTIF($A$1:A1238,Loads[[#This Row],[Load]])</f>
        <v>5</v>
      </c>
      <c r="C1238" s="3" t="str">
        <f>Loads[[#This Row],[Load]]&amp;Loads[[#This Row],[Count]]</f>
        <v>44241Product15</v>
      </c>
      <c r="D1238" s="90">
        <v>44241</v>
      </c>
      <c r="E1238" s="143">
        <v>3.0555555555555555E-2</v>
      </c>
      <c r="F1238" s="1" t="s">
        <v>9</v>
      </c>
      <c r="G1238" s="2" t="s">
        <v>12</v>
      </c>
      <c r="H1238" s="2" t="s">
        <v>42</v>
      </c>
      <c r="I1238" s="1" t="s">
        <v>11</v>
      </c>
      <c r="J1238" s="1" t="s">
        <v>8</v>
      </c>
      <c r="K1238" s="89">
        <v>24440</v>
      </c>
      <c r="L1238" s="3">
        <v>9.5500000000000007</v>
      </c>
      <c r="M1238" s="3">
        <v>22.26</v>
      </c>
      <c r="N1238" s="3" t="s">
        <v>8</v>
      </c>
      <c r="O1238" s="3" t="s">
        <v>8</v>
      </c>
    </row>
    <row r="1239" spans="1:15" x14ac:dyDescent="0.35">
      <c r="A1239" s="5" t="str">
        <f>Loads[[#This Row],[Date]]&amp;Loads[[#This Row],[Product]]</f>
        <v>44241Product1</v>
      </c>
      <c r="B1239" s="5">
        <f>COUNTIF($A$1:A1239,Loads[[#This Row],[Load]])</f>
        <v>6</v>
      </c>
      <c r="C1239" s="3" t="str">
        <f>Loads[[#This Row],[Load]]&amp;Loads[[#This Row],[Count]]</f>
        <v>44241Product16</v>
      </c>
      <c r="D1239" s="90">
        <v>44241</v>
      </c>
      <c r="E1239" s="143">
        <v>3.125E-2</v>
      </c>
      <c r="F1239" s="1" t="s">
        <v>9</v>
      </c>
      <c r="G1239" s="2" t="s">
        <v>12</v>
      </c>
      <c r="H1239" s="2" t="s">
        <v>42</v>
      </c>
      <c r="I1239" s="1" t="s">
        <v>11</v>
      </c>
      <c r="J1239" s="1" t="s">
        <v>8</v>
      </c>
      <c r="K1239" s="89">
        <v>21460</v>
      </c>
      <c r="L1239" s="3">
        <v>9.0399999999999991</v>
      </c>
      <c r="M1239" s="3">
        <v>22.35</v>
      </c>
      <c r="N1239" s="3" t="s">
        <v>8</v>
      </c>
      <c r="O1239" s="3" t="s">
        <v>8</v>
      </c>
    </row>
    <row r="1240" spans="1:15" x14ac:dyDescent="0.35">
      <c r="A1240" s="5" t="str">
        <f>Loads[[#This Row],[Date]]&amp;Loads[[#This Row],[Product]]</f>
        <v>44241Product1</v>
      </c>
      <c r="B1240" s="5">
        <f>COUNTIF($A$1:A1240,Loads[[#This Row],[Load]])</f>
        <v>7</v>
      </c>
      <c r="C1240" s="3" t="str">
        <f>Loads[[#This Row],[Load]]&amp;Loads[[#This Row],[Count]]</f>
        <v>44241Product17</v>
      </c>
      <c r="D1240" s="90">
        <v>44241</v>
      </c>
      <c r="E1240" s="143">
        <v>3.1944444444444449E-2</v>
      </c>
      <c r="F1240" s="1" t="s">
        <v>9</v>
      </c>
      <c r="G1240" s="2" t="s">
        <v>12</v>
      </c>
      <c r="H1240" s="2" t="s">
        <v>42</v>
      </c>
      <c r="I1240" s="1" t="s">
        <v>11</v>
      </c>
      <c r="J1240" s="1" t="s">
        <v>8</v>
      </c>
      <c r="K1240" s="89">
        <v>19560</v>
      </c>
      <c r="L1240" s="3">
        <v>8.58</v>
      </c>
      <c r="M1240" s="3">
        <v>22.42</v>
      </c>
      <c r="N1240" s="3" t="s">
        <v>8</v>
      </c>
      <c r="O1240" s="3" t="s">
        <v>8</v>
      </c>
    </row>
    <row r="1241" spans="1:15" x14ac:dyDescent="0.35">
      <c r="A1241" s="5" t="str">
        <f>Loads[[#This Row],[Date]]&amp;Loads[[#This Row],[Product]]</f>
        <v>44241Product1</v>
      </c>
      <c r="B1241" s="5">
        <f>COUNTIF($A$1:A1241,Loads[[#This Row],[Load]])</f>
        <v>8</v>
      </c>
      <c r="C1241" s="3" t="str">
        <f>Loads[[#This Row],[Load]]&amp;Loads[[#This Row],[Count]]</f>
        <v>44241Product18</v>
      </c>
      <c r="D1241" s="90">
        <v>44241</v>
      </c>
      <c r="E1241" s="143">
        <v>3.2638888888888891E-2</v>
      </c>
      <c r="F1241" s="1" t="s">
        <v>9</v>
      </c>
      <c r="G1241" s="2" t="s">
        <v>12</v>
      </c>
      <c r="H1241" s="2" t="s">
        <v>42</v>
      </c>
      <c r="I1241" s="1" t="s">
        <v>11</v>
      </c>
      <c r="J1241" s="1" t="s">
        <v>8</v>
      </c>
      <c r="K1241" s="89">
        <v>18580</v>
      </c>
      <c r="L1241" s="3">
        <v>8.49</v>
      </c>
      <c r="M1241" s="3">
        <v>22.63</v>
      </c>
      <c r="N1241" s="3" t="s">
        <v>8</v>
      </c>
      <c r="O1241" s="3" t="s">
        <v>8</v>
      </c>
    </row>
    <row r="1242" spans="1:15" x14ac:dyDescent="0.35">
      <c r="A1242" s="5" t="str">
        <f>Loads[[#This Row],[Date]]&amp;Loads[[#This Row],[Product]]</f>
        <v>44241Product1</v>
      </c>
      <c r="B1242" s="5">
        <f>COUNTIF($A$1:A1242,Loads[[#This Row],[Load]])</f>
        <v>9</v>
      </c>
      <c r="C1242" s="3" t="str">
        <f>Loads[[#This Row],[Load]]&amp;Loads[[#This Row],[Count]]</f>
        <v>44241Product19</v>
      </c>
      <c r="D1242" s="90">
        <v>44241</v>
      </c>
      <c r="E1242" s="143">
        <v>3.3333333333333333E-2</v>
      </c>
      <c r="F1242" s="1" t="s">
        <v>9</v>
      </c>
      <c r="G1242" s="2" t="s">
        <v>12</v>
      </c>
      <c r="H1242" s="2" t="s">
        <v>42</v>
      </c>
      <c r="I1242" s="1" t="s">
        <v>11</v>
      </c>
      <c r="J1242" s="1" t="s">
        <v>8</v>
      </c>
      <c r="K1242" s="89">
        <v>20320</v>
      </c>
      <c r="L1242" s="3">
        <v>9.5500000000000007</v>
      </c>
      <c r="M1242" s="3">
        <v>21.41</v>
      </c>
      <c r="N1242" s="3" t="s">
        <v>8</v>
      </c>
      <c r="O1242" s="3" t="s">
        <v>8</v>
      </c>
    </row>
    <row r="1243" spans="1:15" x14ac:dyDescent="0.35">
      <c r="A1243" s="5" t="str">
        <f>Loads[[#This Row],[Date]]&amp;Loads[[#This Row],[Product]]</f>
        <v>44241Product1</v>
      </c>
      <c r="B1243" s="5">
        <f>COUNTIF($A$1:A1243,Loads[[#This Row],[Load]])</f>
        <v>10</v>
      </c>
      <c r="C1243" s="3" t="str">
        <f>Loads[[#This Row],[Load]]&amp;Loads[[#This Row],[Count]]</f>
        <v>44241Product110</v>
      </c>
      <c r="D1243" s="90">
        <v>44241</v>
      </c>
      <c r="E1243" s="143">
        <v>3.3333333333333333E-2</v>
      </c>
      <c r="F1243" s="1" t="s">
        <v>9</v>
      </c>
      <c r="G1243" s="2" t="s">
        <v>12</v>
      </c>
      <c r="H1243" s="2" t="s">
        <v>42</v>
      </c>
      <c r="I1243" s="1" t="s">
        <v>11</v>
      </c>
      <c r="J1243" s="1" t="s">
        <v>8</v>
      </c>
      <c r="K1243" s="89">
        <v>23260</v>
      </c>
      <c r="L1243" s="3">
        <v>9.7799999999999994</v>
      </c>
      <c r="M1243" s="3">
        <v>24.28</v>
      </c>
      <c r="N1243" s="3" t="s">
        <v>8</v>
      </c>
      <c r="O1243" s="3" t="s">
        <v>8</v>
      </c>
    </row>
    <row r="1244" spans="1:15" x14ac:dyDescent="0.35">
      <c r="A1244" s="5" t="str">
        <f>Loads[[#This Row],[Date]]&amp;Loads[[#This Row],[Product]]</f>
        <v>44241Product1</v>
      </c>
      <c r="B1244" s="5">
        <f>COUNTIF($A$1:A1244,Loads[[#This Row],[Load]])</f>
        <v>11</v>
      </c>
      <c r="C1244" s="3" t="str">
        <f>Loads[[#This Row],[Load]]&amp;Loads[[#This Row],[Count]]</f>
        <v>44241Product111</v>
      </c>
      <c r="D1244" s="90">
        <v>44241</v>
      </c>
      <c r="E1244" s="143">
        <v>3.4027777777777775E-2</v>
      </c>
      <c r="F1244" s="1" t="s">
        <v>9</v>
      </c>
      <c r="G1244" s="2" t="s">
        <v>12</v>
      </c>
      <c r="H1244" s="2" t="s">
        <v>42</v>
      </c>
      <c r="I1244" s="1" t="s">
        <v>11</v>
      </c>
      <c r="J1244" s="1" t="s">
        <v>8</v>
      </c>
      <c r="K1244" s="89">
        <v>19820</v>
      </c>
      <c r="L1244" s="3">
        <v>9.01</v>
      </c>
      <c r="M1244" s="3">
        <v>21.76</v>
      </c>
      <c r="N1244" s="3" t="s">
        <v>8</v>
      </c>
      <c r="O1244" s="3" t="s">
        <v>8</v>
      </c>
    </row>
    <row r="1245" spans="1:15" x14ac:dyDescent="0.35">
      <c r="A1245" s="5" t="str">
        <f>Loads[[#This Row],[Date]]&amp;Loads[[#This Row],[Product]]</f>
        <v>44241Product1</v>
      </c>
      <c r="B1245" s="5">
        <f>COUNTIF($A$1:A1245,Loads[[#This Row],[Load]])</f>
        <v>12</v>
      </c>
      <c r="C1245" s="3" t="str">
        <f>Loads[[#This Row],[Load]]&amp;Loads[[#This Row],[Count]]</f>
        <v>44241Product112</v>
      </c>
      <c r="D1245" s="90">
        <v>44241</v>
      </c>
      <c r="E1245" s="143">
        <v>3.4722222222222224E-2</v>
      </c>
      <c r="F1245" s="1" t="s">
        <v>9</v>
      </c>
      <c r="G1245" s="2" t="s">
        <v>12</v>
      </c>
      <c r="H1245" s="2" t="s">
        <v>42</v>
      </c>
      <c r="I1245" s="1" t="s">
        <v>11</v>
      </c>
      <c r="J1245" s="1" t="s">
        <v>8</v>
      </c>
      <c r="K1245" s="89">
        <v>19420</v>
      </c>
      <c r="L1245" s="3">
        <v>9.2899999999999991</v>
      </c>
      <c r="M1245" s="3">
        <v>21.48</v>
      </c>
      <c r="N1245" s="3" t="s">
        <v>8</v>
      </c>
      <c r="O1245" s="3" t="s">
        <v>8</v>
      </c>
    </row>
    <row r="1246" spans="1:15" x14ac:dyDescent="0.35">
      <c r="A1246" s="5" t="str">
        <f>Loads[[#This Row],[Date]]&amp;Loads[[#This Row],[Product]]</f>
        <v>44197Product5</v>
      </c>
      <c r="B1246" s="5">
        <f>COUNTIF($A$1:A1246,Loads[[#This Row],[Load]])</f>
        <v>1</v>
      </c>
      <c r="C1246" s="3" t="str">
        <f>Loads[[#This Row],[Load]]&amp;Loads[[#This Row],[Count]]</f>
        <v>44197Product51</v>
      </c>
      <c r="D1246" s="90">
        <v>44197</v>
      </c>
      <c r="E1246" s="143">
        <v>8.0555555555555561E-2</v>
      </c>
      <c r="F1246" s="1" t="s">
        <v>9</v>
      </c>
      <c r="G1246" s="2" t="s">
        <v>16</v>
      </c>
      <c r="H1246" s="2" t="s">
        <v>42</v>
      </c>
      <c r="I1246" s="1" t="s">
        <v>11</v>
      </c>
      <c r="J1246" s="1" t="s">
        <v>8</v>
      </c>
      <c r="K1246" s="89">
        <v>7400</v>
      </c>
      <c r="L1246" s="3">
        <v>11.61</v>
      </c>
      <c r="N1246" s="3"/>
      <c r="O1246" s="3"/>
    </row>
    <row r="1247" spans="1:15" x14ac:dyDescent="0.35">
      <c r="A1247" s="5" t="str">
        <f>Loads[[#This Row],[Date]]&amp;Loads[[#This Row],[Product]]</f>
        <v>44201Product5</v>
      </c>
      <c r="B1247" s="5">
        <f>COUNTIF($A$1:A1247,Loads[[#This Row],[Load]])</f>
        <v>1</v>
      </c>
      <c r="C1247" s="3" t="str">
        <f>Loads[[#This Row],[Load]]&amp;Loads[[#This Row],[Count]]</f>
        <v>44201Product51</v>
      </c>
      <c r="D1247" s="90">
        <v>44201</v>
      </c>
      <c r="E1247" s="143">
        <v>0.62222222222222223</v>
      </c>
      <c r="F1247" s="1" t="s">
        <v>9</v>
      </c>
      <c r="G1247" s="2" t="s">
        <v>16</v>
      </c>
      <c r="H1247" s="2" t="s">
        <v>42</v>
      </c>
      <c r="I1247" s="1" t="s">
        <v>11</v>
      </c>
      <c r="J1247" s="1" t="s">
        <v>8</v>
      </c>
      <c r="K1247" s="89">
        <v>13600</v>
      </c>
      <c r="L1247" s="3">
        <v>10.08</v>
      </c>
      <c r="N1247" s="3"/>
      <c r="O1247" s="3"/>
    </row>
    <row r="1248" spans="1:15" x14ac:dyDescent="0.35">
      <c r="A1248" s="5" t="str">
        <f>Loads[[#This Row],[Date]]&amp;Loads[[#This Row],[Product]]</f>
        <v>44202Product5</v>
      </c>
      <c r="B1248" s="5">
        <f>COUNTIF($A$1:A1248,Loads[[#This Row],[Load]])</f>
        <v>1</v>
      </c>
      <c r="C1248" s="3" t="str">
        <f>Loads[[#This Row],[Load]]&amp;Loads[[#This Row],[Count]]</f>
        <v>44202Product51</v>
      </c>
      <c r="D1248" s="90">
        <v>44202</v>
      </c>
      <c r="E1248" s="143">
        <v>0.91388888888888886</v>
      </c>
      <c r="F1248" s="1" t="s">
        <v>9</v>
      </c>
      <c r="G1248" s="2" t="s">
        <v>16</v>
      </c>
      <c r="H1248" s="2" t="s">
        <v>42</v>
      </c>
      <c r="I1248" s="1" t="s">
        <v>11</v>
      </c>
      <c r="J1248" s="1" t="s">
        <v>8</v>
      </c>
      <c r="K1248" s="89">
        <v>10180</v>
      </c>
      <c r="L1248" s="3">
        <v>11.69</v>
      </c>
      <c r="N1248" s="3"/>
      <c r="O1248" s="3"/>
    </row>
    <row r="1249" spans="1:15" x14ac:dyDescent="0.35">
      <c r="A1249" s="5" t="str">
        <f>Loads[[#This Row],[Date]]&amp;Loads[[#This Row],[Product]]</f>
        <v>44204Product5</v>
      </c>
      <c r="B1249" s="5">
        <f>COUNTIF($A$1:A1249,Loads[[#This Row],[Load]])</f>
        <v>1</v>
      </c>
      <c r="C1249" s="3" t="str">
        <f>Loads[[#This Row],[Load]]&amp;Loads[[#This Row],[Count]]</f>
        <v>44204Product51</v>
      </c>
      <c r="D1249" s="90">
        <v>44204</v>
      </c>
      <c r="E1249" s="143">
        <v>0.84375</v>
      </c>
      <c r="F1249" s="1" t="s">
        <v>9</v>
      </c>
      <c r="G1249" s="2" t="s">
        <v>16</v>
      </c>
      <c r="H1249" s="2" t="s">
        <v>42</v>
      </c>
      <c r="I1249" s="1" t="s">
        <v>11</v>
      </c>
      <c r="J1249" s="1" t="s">
        <v>8</v>
      </c>
      <c r="K1249" s="89">
        <v>16240</v>
      </c>
      <c r="L1249" s="3">
        <v>10.119999999999999</v>
      </c>
      <c r="N1249" s="3"/>
      <c r="O1249" s="3"/>
    </row>
    <row r="1250" spans="1:15" x14ac:dyDescent="0.35">
      <c r="A1250" s="5" t="str">
        <f>Loads[[#This Row],[Date]]&amp;Loads[[#This Row],[Product]]</f>
        <v>44207Product5</v>
      </c>
      <c r="B1250" s="5">
        <f>COUNTIF($A$1:A1250,Loads[[#This Row],[Load]])</f>
        <v>1</v>
      </c>
      <c r="C1250" s="3" t="str">
        <f>Loads[[#This Row],[Load]]&amp;Loads[[#This Row],[Count]]</f>
        <v>44207Product51</v>
      </c>
      <c r="D1250" s="90">
        <v>44207</v>
      </c>
      <c r="E1250" s="143">
        <v>0.96319444444444446</v>
      </c>
      <c r="F1250" s="1" t="s">
        <v>9</v>
      </c>
      <c r="G1250" s="2" t="s">
        <v>16</v>
      </c>
      <c r="H1250" s="2" t="s">
        <v>42</v>
      </c>
      <c r="I1250" s="1" t="s">
        <v>11</v>
      </c>
      <c r="J1250" s="1" t="s">
        <v>8</v>
      </c>
      <c r="K1250" s="89">
        <v>14440</v>
      </c>
      <c r="L1250" s="3">
        <v>11.68</v>
      </c>
      <c r="N1250" s="3"/>
      <c r="O1250" s="3"/>
    </row>
    <row r="1251" spans="1:15" x14ac:dyDescent="0.35">
      <c r="A1251" s="5" t="str">
        <f>Loads[[#This Row],[Date]]&amp;Loads[[#This Row],[Product]]</f>
        <v>44210Product5</v>
      </c>
      <c r="B1251" s="5">
        <f>COUNTIF($A$1:A1251,Loads[[#This Row],[Load]])</f>
        <v>1</v>
      </c>
      <c r="C1251" s="3" t="str">
        <f>Loads[[#This Row],[Load]]&amp;Loads[[#This Row],[Count]]</f>
        <v>44210Product51</v>
      </c>
      <c r="D1251" s="90">
        <v>44210</v>
      </c>
      <c r="E1251" s="143">
        <v>0.79236111111111107</v>
      </c>
      <c r="F1251" s="1" t="s">
        <v>9</v>
      </c>
      <c r="G1251" s="2" t="s">
        <v>16</v>
      </c>
      <c r="H1251" s="2" t="s">
        <v>42</v>
      </c>
      <c r="I1251" s="1" t="s">
        <v>11</v>
      </c>
      <c r="J1251" s="1" t="s">
        <v>8</v>
      </c>
      <c r="K1251" s="89">
        <v>12980</v>
      </c>
      <c r="L1251" s="3">
        <v>12.99</v>
      </c>
      <c r="N1251" s="3"/>
      <c r="O1251" s="3"/>
    </row>
    <row r="1252" spans="1:15" x14ac:dyDescent="0.35">
      <c r="A1252" s="5" t="str">
        <f>Loads[[#This Row],[Date]]&amp;Loads[[#This Row],[Product]]</f>
        <v>44210Product5</v>
      </c>
      <c r="B1252" s="5">
        <f>COUNTIF($A$1:A1252,Loads[[#This Row],[Load]])</f>
        <v>2</v>
      </c>
      <c r="C1252" s="3" t="str">
        <f>Loads[[#This Row],[Load]]&amp;Loads[[#This Row],[Count]]</f>
        <v>44210Product52</v>
      </c>
      <c r="D1252" s="90">
        <v>44210</v>
      </c>
      <c r="E1252" s="143">
        <v>0.79236111111111107</v>
      </c>
      <c r="F1252" s="1" t="s">
        <v>9</v>
      </c>
      <c r="G1252" s="2" t="s">
        <v>16</v>
      </c>
      <c r="H1252" s="2" t="s">
        <v>42</v>
      </c>
      <c r="I1252" s="1" t="s">
        <v>11</v>
      </c>
      <c r="J1252" s="1" t="s">
        <v>8</v>
      </c>
      <c r="K1252" s="89">
        <v>6900</v>
      </c>
      <c r="L1252" s="3">
        <v>11.89</v>
      </c>
      <c r="N1252" s="3"/>
      <c r="O1252" s="3"/>
    </row>
    <row r="1253" spans="1:15" x14ac:dyDescent="0.35">
      <c r="A1253" s="5" t="str">
        <f>Loads[[#This Row],[Date]]&amp;Loads[[#This Row],[Product]]</f>
        <v>44212Product5</v>
      </c>
      <c r="B1253" s="5">
        <f>COUNTIF($A$1:A1253,Loads[[#This Row],[Load]])</f>
        <v>1</v>
      </c>
      <c r="C1253" s="3" t="str">
        <f>Loads[[#This Row],[Load]]&amp;Loads[[#This Row],[Count]]</f>
        <v>44212Product51</v>
      </c>
      <c r="D1253" s="90">
        <v>44212</v>
      </c>
      <c r="E1253" s="143">
        <v>0.97222222222222221</v>
      </c>
      <c r="F1253" s="1" t="s">
        <v>9</v>
      </c>
      <c r="G1253" s="2" t="s">
        <v>16</v>
      </c>
      <c r="H1253" s="2" t="s">
        <v>42</v>
      </c>
      <c r="I1253" s="1" t="s">
        <v>11</v>
      </c>
      <c r="J1253" s="1" t="s">
        <v>8</v>
      </c>
      <c r="K1253" s="89">
        <v>10240</v>
      </c>
      <c r="L1253" s="3">
        <v>15.07</v>
      </c>
      <c r="N1253" s="3"/>
      <c r="O1253" s="3"/>
    </row>
    <row r="1254" spans="1:15" x14ac:dyDescent="0.35">
      <c r="A1254" s="5" t="str">
        <f>Loads[[#This Row],[Date]]&amp;Loads[[#This Row],[Product]]</f>
        <v>44217Product5</v>
      </c>
      <c r="B1254" s="5">
        <f>COUNTIF($A$1:A1254,Loads[[#This Row],[Load]])</f>
        <v>1</v>
      </c>
      <c r="C1254" s="3" t="str">
        <f>Loads[[#This Row],[Load]]&amp;Loads[[#This Row],[Count]]</f>
        <v>44217Product51</v>
      </c>
      <c r="D1254" s="90">
        <v>44217</v>
      </c>
      <c r="E1254" s="143">
        <v>0.75</v>
      </c>
      <c r="F1254" s="1" t="s">
        <v>9</v>
      </c>
      <c r="G1254" s="2" t="s">
        <v>16</v>
      </c>
      <c r="H1254" s="2" t="s">
        <v>42</v>
      </c>
      <c r="I1254" s="1" t="s">
        <v>11</v>
      </c>
      <c r="J1254" s="1" t="s">
        <v>8</v>
      </c>
      <c r="K1254" s="89">
        <v>15960</v>
      </c>
      <c r="L1254" s="3">
        <v>10.65</v>
      </c>
      <c r="N1254" s="3"/>
      <c r="O1254" s="3"/>
    </row>
    <row r="1255" spans="1:15" x14ac:dyDescent="0.35">
      <c r="A1255" s="5" t="str">
        <f>Loads[[#This Row],[Date]]&amp;Loads[[#This Row],[Product]]</f>
        <v>44218Product5</v>
      </c>
      <c r="B1255" s="5">
        <f>COUNTIF($A$1:A1255,Loads[[#This Row],[Load]])</f>
        <v>1</v>
      </c>
      <c r="C1255" s="3" t="str">
        <f>Loads[[#This Row],[Load]]&amp;Loads[[#This Row],[Count]]</f>
        <v>44218Product51</v>
      </c>
      <c r="D1255" s="90">
        <v>44218</v>
      </c>
      <c r="E1255" s="143">
        <v>0.12569444444444444</v>
      </c>
      <c r="F1255" s="1" t="s">
        <v>9</v>
      </c>
      <c r="G1255" s="2" t="s">
        <v>16</v>
      </c>
      <c r="H1255" s="2" t="s">
        <v>42</v>
      </c>
      <c r="I1255" s="1" t="s">
        <v>11</v>
      </c>
      <c r="J1255" s="1" t="s">
        <v>8</v>
      </c>
      <c r="K1255" s="89">
        <v>12480</v>
      </c>
      <c r="L1255" s="3">
        <v>10.48</v>
      </c>
      <c r="N1255" s="3"/>
      <c r="O1255" s="3"/>
    </row>
    <row r="1256" spans="1:15" x14ac:dyDescent="0.35">
      <c r="A1256" s="5" t="str">
        <f>Loads[[#This Row],[Date]]&amp;Loads[[#This Row],[Product]]</f>
        <v>44221Product5</v>
      </c>
      <c r="B1256" s="5">
        <f>COUNTIF($A$1:A1256,Loads[[#This Row],[Load]])</f>
        <v>1</v>
      </c>
      <c r="C1256" s="3" t="str">
        <f>Loads[[#This Row],[Load]]&amp;Loads[[#This Row],[Count]]</f>
        <v>44221Product51</v>
      </c>
      <c r="D1256" s="90">
        <v>44221</v>
      </c>
      <c r="E1256" s="143">
        <v>0.11527777777777777</v>
      </c>
      <c r="F1256" s="1" t="s">
        <v>9</v>
      </c>
      <c r="G1256" s="2" t="s">
        <v>16</v>
      </c>
      <c r="H1256" s="2" t="s">
        <v>42</v>
      </c>
      <c r="I1256" s="1" t="s">
        <v>11</v>
      </c>
      <c r="J1256" s="1" t="s">
        <v>8</v>
      </c>
      <c r="K1256" s="89">
        <v>10160</v>
      </c>
      <c r="L1256" s="3">
        <v>11.9</v>
      </c>
      <c r="N1256" s="3"/>
      <c r="O1256" s="3"/>
    </row>
    <row r="1257" spans="1:15" x14ac:dyDescent="0.35">
      <c r="A1257" s="5" t="str">
        <f>Loads[[#This Row],[Date]]&amp;Loads[[#This Row],[Product]]</f>
        <v>44223Product5</v>
      </c>
      <c r="B1257" s="5">
        <f>COUNTIF($A$1:A1257,Loads[[#This Row],[Load]])</f>
        <v>1</v>
      </c>
      <c r="C1257" s="3" t="str">
        <f>Loads[[#This Row],[Load]]&amp;Loads[[#This Row],[Count]]</f>
        <v>44223Product51</v>
      </c>
      <c r="D1257" s="90">
        <v>44223</v>
      </c>
      <c r="E1257" s="143">
        <v>6.6666666666666666E-2</v>
      </c>
      <c r="F1257" s="1" t="s">
        <v>9</v>
      </c>
      <c r="G1257" s="2" t="s">
        <v>16</v>
      </c>
      <c r="H1257" s="2" t="s">
        <v>42</v>
      </c>
      <c r="I1257" s="1" t="s">
        <v>11</v>
      </c>
      <c r="J1257" s="1" t="s">
        <v>8</v>
      </c>
      <c r="K1257" s="89">
        <v>12300</v>
      </c>
      <c r="L1257" s="3">
        <v>10.88</v>
      </c>
      <c r="N1257" s="3"/>
      <c r="O1257" s="3"/>
    </row>
    <row r="1258" spans="1:15" x14ac:dyDescent="0.35">
      <c r="A1258" s="5" t="str">
        <f>Loads[[#This Row],[Date]]&amp;Loads[[#This Row],[Product]]</f>
        <v>44226Product5</v>
      </c>
      <c r="B1258" s="5">
        <f>COUNTIF($A$1:A1258,Loads[[#This Row],[Load]])</f>
        <v>1</v>
      </c>
      <c r="C1258" s="3" t="str">
        <f>Loads[[#This Row],[Load]]&amp;Loads[[#This Row],[Count]]</f>
        <v>44226Product51</v>
      </c>
      <c r="D1258" s="90">
        <v>44226</v>
      </c>
      <c r="E1258" s="143">
        <v>0.96666666666666667</v>
      </c>
      <c r="F1258" s="1" t="s">
        <v>9</v>
      </c>
      <c r="G1258" s="2" t="s">
        <v>16</v>
      </c>
      <c r="H1258" s="2" t="s">
        <v>42</v>
      </c>
      <c r="I1258" s="1" t="s">
        <v>11</v>
      </c>
      <c r="J1258" s="1" t="s">
        <v>8</v>
      </c>
      <c r="K1258" s="89">
        <v>13620</v>
      </c>
      <c r="L1258" s="3">
        <v>9.76</v>
      </c>
      <c r="N1258" s="3"/>
      <c r="O1258" s="3"/>
    </row>
    <row r="1259" spans="1:15" x14ac:dyDescent="0.35">
      <c r="A1259" s="5" t="str">
        <f>Loads[[#This Row],[Date]]&amp;Loads[[#This Row],[Product]]</f>
        <v>44229Product5</v>
      </c>
      <c r="B1259" s="5">
        <f>COUNTIF($A$1:A1259,Loads[[#This Row],[Load]])</f>
        <v>1</v>
      </c>
      <c r="C1259" s="3" t="str">
        <f>Loads[[#This Row],[Load]]&amp;Loads[[#This Row],[Count]]</f>
        <v>44229Product51</v>
      </c>
      <c r="D1259" s="90">
        <v>44229</v>
      </c>
      <c r="E1259" s="143">
        <v>0.38541666666666669</v>
      </c>
      <c r="F1259" s="1" t="s">
        <v>9</v>
      </c>
      <c r="G1259" s="2" t="s">
        <v>16</v>
      </c>
      <c r="H1259" s="2" t="s">
        <v>42</v>
      </c>
      <c r="I1259" s="1" t="s">
        <v>11</v>
      </c>
      <c r="J1259" s="1" t="s">
        <v>8</v>
      </c>
      <c r="K1259" s="89">
        <v>14520</v>
      </c>
      <c r="L1259" s="3">
        <v>11.87</v>
      </c>
      <c r="N1259" s="3"/>
      <c r="O1259" s="3"/>
    </row>
    <row r="1260" spans="1:15" x14ac:dyDescent="0.35">
      <c r="A1260" s="5" t="str">
        <f>Loads[[#This Row],[Date]]&amp;Loads[[#This Row],[Product]]</f>
        <v>44230Product5</v>
      </c>
      <c r="B1260" s="5">
        <f>COUNTIF($A$1:A1260,Loads[[#This Row],[Load]])</f>
        <v>1</v>
      </c>
      <c r="C1260" s="3" t="str">
        <f>Loads[[#This Row],[Load]]&amp;Loads[[#This Row],[Count]]</f>
        <v>44230Product51</v>
      </c>
      <c r="D1260" s="90">
        <v>44230</v>
      </c>
      <c r="E1260" s="143">
        <v>5.6250000000000001E-2</v>
      </c>
      <c r="F1260" s="1" t="s">
        <v>9</v>
      </c>
      <c r="G1260" s="2" t="s">
        <v>16</v>
      </c>
      <c r="H1260" s="2" t="s">
        <v>42</v>
      </c>
      <c r="I1260" s="1" t="s">
        <v>11</v>
      </c>
      <c r="J1260" s="1" t="s">
        <v>8</v>
      </c>
      <c r="K1260" s="89">
        <v>7020</v>
      </c>
      <c r="L1260" s="3">
        <v>10.97</v>
      </c>
      <c r="N1260" s="3"/>
      <c r="O1260" s="3"/>
    </row>
    <row r="1261" spans="1:15" x14ac:dyDescent="0.35">
      <c r="A1261" s="5" t="str">
        <f>Loads[[#This Row],[Date]]&amp;Loads[[#This Row],[Product]]</f>
        <v>44233Product5</v>
      </c>
      <c r="B1261" s="5">
        <f>COUNTIF($A$1:A1261,Loads[[#This Row],[Load]])</f>
        <v>1</v>
      </c>
      <c r="C1261" s="3" t="str">
        <f>Loads[[#This Row],[Load]]&amp;Loads[[#This Row],[Count]]</f>
        <v>44233Product51</v>
      </c>
      <c r="D1261" s="90">
        <v>44233</v>
      </c>
      <c r="E1261" s="143">
        <v>3.4027777777777775E-2</v>
      </c>
      <c r="F1261" s="1" t="s">
        <v>9</v>
      </c>
      <c r="G1261" s="2" t="s">
        <v>16</v>
      </c>
      <c r="H1261" s="2" t="s">
        <v>42</v>
      </c>
      <c r="I1261" s="1" t="s">
        <v>11</v>
      </c>
      <c r="J1261" s="1" t="s">
        <v>8</v>
      </c>
      <c r="K1261" s="89">
        <v>20760</v>
      </c>
      <c r="L1261" s="3">
        <v>10.69</v>
      </c>
      <c r="N1261" s="3"/>
      <c r="O1261" s="3"/>
    </row>
    <row r="1262" spans="1:15" x14ac:dyDescent="0.35">
      <c r="A1262" s="5" t="str">
        <f>Loads[[#This Row],[Date]]&amp;Loads[[#This Row],[Product]]</f>
        <v>44236Product5</v>
      </c>
      <c r="B1262" s="5">
        <f>COUNTIF($A$1:A1262,Loads[[#This Row],[Load]])</f>
        <v>1</v>
      </c>
      <c r="C1262" s="3" t="str">
        <f>Loads[[#This Row],[Load]]&amp;Loads[[#This Row],[Count]]</f>
        <v>44236Product51</v>
      </c>
      <c r="D1262" s="90">
        <v>44236</v>
      </c>
      <c r="E1262" s="143">
        <v>4.1666666666666664E-2</v>
      </c>
      <c r="F1262" s="1" t="s">
        <v>9</v>
      </c>
      <c r="G1262" s="2" t="s">
        <v>16</v>
      </c>
      <c r="H1262" s="2" t="s">
        <v>42</v>
      </c>
      <c r="I1262" s="1" t="s">
        <v>11</v>
      </c>
      <c r="J1262" s="1" t="s">
        <v>8</v>
      </c>
      <c r="K1262" s="89">
        <v>15360</v>
      </c>
      <c r="L1262" s="3">
        <v>12.22</v>
      </c>
      <c r="N1262" s="3"/>
      <c r="O1262" s="3"/>
    </row>
    <row r="1263" spans="1:15" x14ac:dyDescent="0.35">
      <c r="A1263" s="5" t="str">
        <f>Loads[[#This Row],[Date]]&amp;Loads[[#This Row],[Product]]</f>
        <v>44236Product5</v>
      </c>
      <c r="B1263" s="5">
        <f>COUNTIF($A$1:A1263,Loads[[#This Row],[Load]])</f>
        <v>2</v>
      </c>
      <c r="C1263" s="3" t="str">
        <f>Loads[[#This Row],[Load]]&amp;Loads[[#This Row],[Count]]</f>
        <v>44236Product52</v>
      </c>
      <c r="D1263" s="90">
        <v>44236</v>
      </c>
      <c r="E1263" s="143">
        <v>4.2361111111111106E-2</v>
      </c>
      <c r="F1263" s="1" t="s">
        <v>9</v>
      </c>
      <c r="G1263" s="2" t="s">
        <v>16</v>
      </c>
      <c r="H1263" s="2" t="s">
        <v>42</v>
      </c>
      <c r="I1263" s="1" t="s">
        <v>11</v>
      </c>
      <c r="J1263" s="1" t="s">
        <v>8</v>
      </c>
      <c r="K1263" s="89">
        <v>13420</v>
      </c>
      <c r="L1263" s="3">
        <v>11.36</v>
      </c>
      <c r="N1263" s="3"/>
      <c r="O1263" s="3"/>
    </row>
    <row r="1264" spans="1:15" x14ac:dyDescent="0.35">
      <c r="A1264" s="5" t="str">
        <f>Loads[[#This Row],[Date]]&amp;Loads[[#This Row],[Product]]</f>
        <v>44238Product5</v>
      </c>
      <c r="B1264" s="5">
        <f>COUNTIF($A$1:A1264,Loads[[#This Row],[Load]])</f>
        <v>1</v>
      </c>
      <c r="C1264" s="3" t="str">
        <f>Loads[[#This Row],[Load]]&amp;Loads[[#This Row],[Count]]</f>
        <v>44238Product51</v>
      </c>
      <c r="D1264" s="90">
        <v>44238</v>
      </c>
      <c r="E1264" s="143">
        <v>6.5277777777777782E-2</v>
      </c>
      <c r="F1264" s="1" t="s">
        <v>9</v>
      </c>
      <c r="G1264" s="2" t="s">
        <v>16</v>
      </c>
      <c r="H1264" s="2" t="s">
        <v>42</v>
      </c>
      <c r="I1264" s="1" t="s">
        <v>11</v>
      </c>
      <c r="J1264" s="1" t="s">
        <v>8</v>
      </c>
      <c r="K1264" s="89">
        <v>13860</v>
      </c>
      <c r="L1264" s="3">
        <v>9.34</v>
      </c>
      <c r="N1264" s="3"/>
      <c r="O1264" s="3"/>
    </row>
    <row r="1265" spans="1:15" x14ac:dyDescent="0.35">
      <c r="A1265" s="5" t="str">
        <f>Loads[[#This Row],[Date]]&amp;Loads[[#This Row],[Product]]</f>
        <v>44239Product5</v>
      </c>
      <c r="B1265" s="5">
        <f>COUNTIF($A$1:A1265,Loads[[#This Row],[Load]])</f>
        <v>1</v>
      </c>
      <c r="C1265" s="3" t="str">
        <f>Loads[[#This Row],[Load]]&amp;Loads[[#This Row],[Count]]</f>
        <v>44239Product51</v>
      </c>
      <c r="D1265" s="90">
        <v>44239</v>
      </c>
      <c r="E1265" s="143">
        <v>3.8194444444444441E-2</v>
      </c>
      <c r="F1265" s="1" t="s">
        <v>9</v>
      </c>
      <c r="G1265" s="2" t="s">
        <v>16</v>
      </c>
      <c r="H1265" s="2" t="s">
        <v>42</v>
      </c>
      <c r="I1265" s="1" t="s">
        <v>11</v>
      </c>
      <c r="J1265" s="1" t="s">
        <v>8</v>
      </c>
      <c r="K1265" s="89">
        <v>18500</v>
      </c>
      <c r="L1265" s="3">
        <v>10.9</v>
      </c>
      <c r="N1265" s="3"/>
      <c r="O1265" s="3"/>
    </row>
    <row r="1266" spans="1:15" x14ac:dyDescent="0.35">
      <c r="A1266" s="5" t="str">
        <f>Loads[[#This Row],[Date]]&amp;Loads[[#This Row],[Product]]</f>
        <v>44240Product5</v>
      </c>
      <c r="B1266" s="5">
        <f>COUNTIF($A$1:A1266,Loads[[#This Row],[Load]])</f>
        <v>1</v>
      </c>
      <c r="C1266" s="3" t="str">
        <f>Loads[[#This Row],[Load]]&amp;Loads[[#This Row],[Count]]</f>
        <v>44240Product51</v>
      </c>
      <c r="D1266" s="90">
        <v>44240</v>
      </c>
      <c r="E1266" s="143">
        <v>9.0972222222222218E-2</v>
      </c>
      <c r="F1266" s="1" t="s">
        <v>9</v>
      </c>
      <c r="G1266" s="2" t="s">
        <v>16</v>
      </c>
      <c r="H1266" s="2" t="s">
        <v>42</v>
      </c>
      <c r="I1266" s="1" t="s">
        <v>11</v>
      </c>
      <c r="J1266" s="1" t="s">
        <v>8</v>
      </c>
      <c r="K1266" s="89">
        <v>11720</v>
      </c>
      <c r="L1266" s="3">
        <v>12.52</v>
      </c>
      <c r="N1266" s="3"/>
      <c r="O1266" s="3"/>
    </row>
    <row r="1267" spans="1:15" x14ac:dyDescent="0.35">
      <c r="A1267" s="5" t="str">
        <f>Loads[[#This Row],[Date]]&amp;Loads[[#This Row],[Product]]</f>
        <v>44242Product1</v>
      </c>
      <c r="B1267" s="5">
        <f>COUNTIF($A$1:A1267,Loads[[#This Row],[Load]])</f>
        <v>1</v>
      </c>
      <c r="C1267" s="3" t="str">
        <f>Loads[[#This Row],[Load]]&amp;Loads[[#This Row],[Count]]</f>
        <v>44242Product11</v>
      </c>
      <c r="D1267" s="90">
        <v>44242</v>
      </c>
      <c r="E1267" s="143">
        <v>9.7916666666666666E-2</v>
      </c>
      <c r="F1267" s="1" t="s">
        <v>9</v>
      </c>
      <c r="G1267" s="2" t="s">
        <v>12</v>
      </c>
      <c r="H1267" s="2" t="s">
        <v>42</v>
      </c>
      <c r="I1267" s="1" t="s">
        <v>10</v>
      </c>
      <c r="J1267" s="1">
        <v>795</v>
      </c>
      <c r="K1267" s="89">
        <v>31480</v>
      </c>
      <c r="L1267" s="3">
        <v>8.36</v>
      </c>
      <c r="M1267" s="3">
        <v>22.9</v>
      </c>
      <c r="N1267" s="3" t="s">
        <v>8</v>
      </c>
      <c r="O1267" s="3" t="s">
        <v>8</v>
      </c>
    </row>
    <row r="1268" spans="1:15" x14ac:dyDescent="0.35">
      <c r="A1268" s="5" t="str">
        <f>Loads[[#This Row],[Date]]&amp;Loads[[#This Row],[Product]]</f>
        <v>44242Product1</v>
      </c>
      <c r="B1268" s="5">
        <f>COUNTIF($A$1:A1268,Loads[[#This Row],[Load]])</f>
        <v>2</v>
      </c>
      <c r="C1268" s="3" t="str">
        <f>Loads[[#This Row],[Load]]&amp;Loads[[#This Row],[Count]]</f>
        <v>44242Product12</v>
      </c>
      <c r="D1268" s="90">
        <v>44242</v>
      </c>
      <c r="E1268" s="143">
        <v>9.8611111111111108E-2</v>
      </c>
      <c r="F1268" s="1" t="s">
        <v>9</v>
      </c>
      <c r="G1268" s="2" t="s">
        <v>12</v>
      </c>
      <c r="H1268" s="2" t="s">
        <v>42</v>
      </c>
      <c r="I1268" s="1" t="s">
        <v>11</v>
      </c>
      <c r="J1268" s="1" t="s">
        <v>8</v>
      </c>
      <c r="K1268" s="89">
        <v>19640</v>
      </c>
      <c r="L1268" s="3">
        <v>8.2899999999999991</v>
      </c>
      <c r="M1268" s="3">
        <v>22.7</v>
      </c>
      <c r="N1268" s="3" t="s">
        <v>8</v>
      </c>
      <c r="O1268" s="3" t="s">
        <v>8</v>
      </c>
    </row>
    <row r="1269" spans="1:15" x14ac:dyDescent="0.35">
      <c r="A1269" s="5" t="str">
        <f>Loads[[#This Row],[Date]]&amp;Loads[[#This Row],[Product]]</f>
        <v>44242Product1</v>
      </c>
      <c r="B1269" s="5">
        <f>COUNTIF($A$1:A1269,Loads[[#This Row],[Load]])</f>
        <v>3</v>
      </c>
      <c r="C1269" s="3" t="str">
        <f>Loads[[#This Row],[Load]]&amp;Loads[[#This Row],[Count]]</f>
        <v>44242Product13</v>
      </c>
      <c r="D1269" s="90">
        <v>44242</v>
      </c>
      <c r="E1269" s="143">
        <v>9.8611111111111108E-2</v>
      </c>
      <c r="F1269" s="1" t="s">
        <v>9</v>
      </c>
      <c r="G1269" s="2" t="s">
        <v>12</v>
      </c>
      <c r="H1269" s="2" t="s">
        <v>42</v>
      </c>
      <c r="I1269" s="1" t="s">
        <v>11</v>
      </c>
      <c r="J1269" s="1" t="s">
        <v>8</v>
      </c>
      <c r="K1269" s="89">
        <v>18580</v>
      </c>
      <c r="L1269" s="3">
        <v>8.2100000000000009</v>
      </c>
      <c r="M1269" s="3">
        <v>22.12</v>
      </c>
      <c r="N1269" s="3" t="s">
        <v>8</v>
      </c>
      <c r="O1269" s="3" t="s">
        <v>8</v>
      </c>
    </row>
    <row r="1270" spans="1:15" x14ac:dyDescent="0.35">
      <c r="A1270" s="5" t="str">
        <f>Loads[[#This Row],[Date]]&amp;Loads[[#This Row],[Product]]</f>
        <v>44242Product1</v>
      </c>
      <c r="B1270" s="5">
        <f>COUNTIF($A$1:A1270,Loads[[#This Row],[Load]])</f>
        <v>4</v>
      </c>
      <c r="C1270" s="3" t="str">
        <f>Loads[[#This Row],[Load]]&amp;Loads[[#This Row],[Count]]</f>
        <v>44242Product14</v>
      </c>
      <c r="D1270" s="90">
        <v>44242</v>
      </c>
      <c r="E1270" s="143">
        <v>9.930555555555555E-2</v>
      </c>
      <c r="F1270" s="1" t="s">
        <v>9</v>
      </c>
      <c r="G1270" s="2" t="s">
        <v>12</v>
      </c>
      <c r="H1270" s="2" t="s">
        <v>42</v>
      </c>
      <c r="I1270" s="1" t="s">
        <v>11</v>
      </c>
      <c r="J1270" s="1" t="s">
        <v>8</v>
      </c>
      <c r="K1270" s="89">
        <v>18400</v>
      </c>
      <c r="L1270" s="3">
        <v>8.17</v>
      </c>
      <c r="M1270" s="3">
        <v>21.78</v>
      </c>
      <c r="N1270" s="3" t="s">
        <v>8</v>
      </c>
      <c r="O1270" s="3" t="s">
        <v>8</v>
      </c>
    </row>
    <row r="1271" spans="1:15" x14ac:dyDescent="0.35">
      <c r="A1271" s="5" t="str">
        <f>Loads[[#This Row],[Date]]&amp;Loads[[#This Row],[Product]]</f>
        <v>44242Product1</v>
      </c>
      <c r="B1271" s="5">
        <f>COUNTIF($A$1:A1271,Loads[[#This Row],[Load]])</f>
        <v>5</v>
      </c>
      <c r="C1271" s="3" t="str">
        <f>Loads[[#This Row],[Load]]&amp;Loads[[#This Row],[Count]]</f>
        <v>44242Product15</v>
      </c>
      <c r="D1271" s="90">
        <v>44242</v>
      </c>
      <c r="E1271" s="143">
        <v>9.9999999999999992E-2</v>
      </c>
      <c r="F1271" s="1" t="s">
        <v>9</v>
      </c>
      <c r="G1271" s="2" t="s">
        <v>12</v>
      </c>
      <c r="H1271" s="2" t="s">
        <v>42</v>
      </c>
      <c r="I1271" s="1" t="s">
        <v>11</v>
      </c>
      <c r="J1271" s="1" t="s">
        <v>8</v>
      </c>
      <c r="K1271" s="89">
        <v>19140</v>
      </c>
      <c r="L1271" s="3">
        <v>8.3699999999999992</v>
      </c>
      <c r="M1271" s="3">
        <v>22.31</v>
      </c>
      <c r="N1271" s="3" t="s">
        <v>8</v>
      </c>
      <c r="O1271" s="3" t="s">
        <v>8</v>
      </c>
    </row>
    <row r="1272" spans="1:15" x14ac:dyDescent="0.35">
      <c r="A1272" s="5" t="str">
        <f>Loads[[#This Row],[Date]]&amp;Loads[[#This Row],[Product]]</f>
        <v>44242Product1</v>
      </c>
      <c r="B1272" s="5">
        <f>COUNTIF($A$1:A1272,Loads[[#This Row],[Load]])</f>
        <v>6</v>
      </c>
      <c r="C1272" s="3" t="str">
        <f>Loads[[#This Row],[Load]]&amp;Loads[[#This Row],[Count]]</f>
        <v>44242Product16</v>
      </c>
      <c r="D1272" s="90">
        <v>44242</v>
      </c>
      <c r="E1272" s="143">
        <v>9.9999999999999992E-2</v>
      </c>
      <c r="F1272" s="1" t="s">
        <v>9</v>
      </c>
      <c r="G1272" s="2" t="s">
        <v>12</v>
      </c>
      <c r="H1272" s="2" t="s">
        <v>42</v>
      </c>
      <c r="I1272" s="1" t="s">
        <v>11</v>
      </c>
      <c r="J1272" s="1" t="s">
        <v>8</v>
      </c>
      <c r="K1272" s="89">
        <v>32000</v>
      </c>
      <c r="L1272" s="3">
        <v>8.3699999999999992</v>
      </c>
      <c r="M1272" s="3">
        <v>22.31</v>
      </c>
      <c r="N1272" s="3" t="s">
        <v>8</v>
      </c>
      <c r="O1272" s="3" t="s">
        <v>8</v>
      </c>
    </row>
    <row r="1273" spans="1:15" x14ac:dyDescent="0.35">
      <c r="A1273" s="5" t="str">
        <f>Loads[[#This Row],[Date]]&amp;Loads[[#This Row],[Product]]</f>
        <v>44242Product1</v>
      </c>
      <c r="B1273" s="5">
        <f>COUNTIF($A$1:A1273,Loads[[#This Row],[Load]])</f>
        <v>7</v>
      </c>
      <c r="C1273" s="3" t="str">
        <f>Loads[[#This Row],[Load]]&amp;Loads[[#This Row],[Count]]</f>
        <v>44242Product17</v>
      </c>
      <c r="D1273" s="90">
        <v>44242</v>
      </c>
      <c r="E1273" s="143">
        <v>0.10069444444444443</v>
      </c>
      <c r="F1273" s="1" t="s">
        <v>9</v>
      </c>
      <c r="G1273" s="2" t="s">
        <v>12</v>
      </c>
      <c r="H1273" s="2" t="s">
        <v>42</v>
      </c>
      <c r="I1273" s="1" t="s">
        <v>11</v>
      </c>
      <c r="J1273" s="1" t="s">
        <v>8</v>
      </c>
      <c r="K1273" s="89">
        <v>19640</v>
      </c>
      <c r="L1273" s="3">
        <v>7.69</v>
      </c>
      <c r="M1273" s="3">
        <v>22.02</v>
      </c>
      <c r="N1273" s="3" t="s">
        <v>8</v>
      </c>
      <c r="O1273" s="3" t="s">
        <v>8</v>
      </c>
    </row>
    <row r="1274" spans="1:15" x14ac:dyDescent="0.35">
      <c r="A1274" s="5" t="str">
        <f>Loads[[#This Row],[Date]]&amp;Loads[[#This Row],[Product]]</f>
        <v>44242Product1</v>
      </c>
      <c r="B1274" s="5">
        <f>COUNTIF($A$1:A1274,Loads[[#This Row],[Load]])</f>
        <v>8</v>
      </c>
      <c r="C1274" s="3" t="str">
        <f>Loads[[#This Row],[Load]]&amp;Loads[[#This Row],[Count]]</f>
        <v>44242Product18</v>
      </c>
      <c r="D1274" s="90">
        <v>44242</v>
      </c>
      <c r="E1274" s="143">
        <v>0.1013888888888889</v>
      </c>
      <c r="F1274" s="1" t="s">
        <v>9</v>
      </c>
      <c r="G1274" s="2" t="s">
        <v>12</v>
      </c>
      <c r="H1274" s="2" t="s">
        <v>42</v>
      </c>
      <c r="I1274" s="1" t="s">
        <v>11</v>
      </c>
      <c r="J1274" s="1" t="s">
        <v>8</v>
      </c>
      <c r="K1274" s="89">
        <v>18580</v>
      </c>
      <c r="L1274" s="3">
        <v>8.0299999999999994</v>
      </c>
      <c r="M1274" s="3">
        <v>21.56</v>
      </c>
      <c r="N1274" s="3" t="s">
        <v>8</v>
      </c>
      <c r="O1274" s="3" t="s">
        <v>8</v>
      </c>
    </row>
    <row r="1275" spans="1:15" x14ac:dyDescent="0.35">
      <c r="A1275" s="5" t="str">
        <f>Loads[[#This Row],[Date]]&amp;Loads[[#This Row],[Product]]</f>
        <v>44242Product1</v>
      </c>
      <c r="B1275" s="5">
        <f>COUNTIF($A$1:A1275,Loads[[#This Row],[Load]])</f>
        <v>9</v>
      </c>
      <c r="C1275" s="3" t="str">
        <f>Loads[[#This Row],[Load]]&amp;Loads[[#This Row],[Count]]</f>
        <v>44242Product19</v>
      </c>
      <c r="D1275" s="90">
        <v>44242</v>
      </c>
      <c r="E1275" s="143">
        <v>0.10208333333333335</v>
      </c>
      <c r="F1275" s="1" t="s">
        <v>9</v>
      </c>
      <c r="G1275" s="2" t="s">
        <v>12</v>
      </c>
      <c r="H1275" s="2" t="s">
        <v>42</v>
      </c>
      <c r="I1275" s="1" t="s">
        <v>11</v>
      </c>
      <c r="J1275" s="1" t="s">
        <v>8</v>
      </c>
      <c r="K1275" s="89">
        <v>22360</v>
      </c>
      <c r="L1275" s="3">
        <v>9.27</v>
      </c>
      <c r="M1275" s="3">
        <v>22.55</v>
      </c>
      <c r="N1275" s="3" t="s">
        <v>8</v>
      </c>
      <c r="O1275" s="3" t="s">
        <v>8</v>
      </c>
    </row>
    <row r="1276" spans="1:15" x14ac:dyDescent="0.35">
      <c r="A1276" s="5" t="str">
        <f>Loads[[#This Row],[Date]]&amp;Loads[[#This Row],[Product]]</f>
        <v>44242Product1</v>
      </c>
      <c r="B1276" s="5">
        <f>COUNTIF($A$1:A1276,Loads[[#This Row],[Load]])</f>
        <v>10</v>
      </c>
      <c r="C1276" s="3" t="str">
        <f>Loads[[#This Row],[Load]]&amp;Loads[[#This Row],[Count]]</f>
        <v>44242Product110</v>
      </c>
      <c r="D1276" s="90">
        <v>44242</v>
      </c>
      <c r="E1276" s="143">
        <v>0.10277777777777779</v>
      </c>
      <c r="F1276" s="1" t="s">
        <v>9</v>
      </c>
      <c r="G1276" s="2" t="s">
        <v>12</v>
      </c>
      <c r="H1276" s="2" t="s">
        <v>42</v>
      </c>
      <c r="I1276" s="1" t="s">
        <v>11</v>
      </c>
      <c r="J1276" s="1" t="s">
        <v>8</v>
      </c>
      <c r="K1276" s="89">
        <v>27860</v>
      </c>
      <c r="L1276" s="3">
        <v>7.18</v>
      </c>
      <c r="M1276" s="3">
        <v>22.23</v>
      </c>
      <c r="N1276" s="3" t="s">
        <v>8</v>
      </c>
      <c r="O1276" s="3" t="s">
        <v>8</v>
      </c>
    </row>
    <row r="1277" spans="1:15" x14ac:dyDescent="0.35">
      <c r="A1277" s="5" t="str">
        <f>Loads[[#This Row],[Date]]&amp;Loads[[#This Row],[Product]]</f>
        <v>44242Product1</v>
      </c>
      <c r="B1277" s="5">
        <f>COUNTIF($A$1:A1277,Loads[[#This Row],[Load]])</f>
        <v>11</v>
      </c>
      <c r="C1277" s="3" t="str">
        <f>Loads[[#This Row],[Load]]&amp;Loads[[#This Row],[Count]]</f>
        <v>44242Product111</v>
      </c>
      <c r="D1277" s="90">
        <v>44242</v>
      </c>
      <c r="E1277" s="143">
        <v>0.10347222222222223</v>
      </c>
      <c r="F1277" s="1" t="s">
        <v>9</v>
      </c>
      <c r="G1277" s="2" t="s">
        <v>12</v>
      </c>
      <c r="H1277" s="2" t="s">
        <v>42</v>
      </c>
      <c r="I1277" s="1" t="s">
        <v>11</v>
      </c>
      <c r="J1277" s="1" t="s">
        <v>8</v>
      </c>
      <c r="K1277" s="89">
        <v>19260</v>
      </c>
      <c r="L1277" s="3">
        <v>7.86</v>
      </c>
      <c r="M1277" s="3">
        <v>22.63</v>
      </c>
      <c r="N1277" s="3" t="s">
        <v>8</v>
      </c>
      <c r="O1277" s="3" t="s">
        <v>8</v>
      </c>
    </row>
    <row r="1278" spans="1:15" x14ac:dyDescent="0.35">
      <c r="A1278" s="5" t="str">
        <f>Loads[[#This Row],[Date]]&amp;Loads[[#This Row],[Product]]</f>
        <v>44242Product1</v>
      </c>
      <c r="B1278" s="5">
        <f>COUNTIF($A$1:A1278,Loads[[#This Row],[Load]])</f>
        <v>12</v>
      </c>
      <c r="C1278" s="3" t="str">
        <f>Loads[[#This Row],[Load]]&amp;Loads[[#This Row],[Count]]</f>
        <v>44242Product112</v>
      </c>
      <c r="D1278" s="90">
        <v>44242</v>
      </c>
      <c r="E1278" s="143">
        <v>0.10347222222222223</v>
      </c>
      <c r="F1278" s="1" t="s">
        <v>9</v>
      </c>
      <c r="G1278" s="2" t="s">
        <v>12</v>
      </c>
      <c r="H1278" s="2" t="s">
        <v>42</v>
      </c>
      <c r="I1278" s="1" t="s">
        <v>11</v>
      </c>
      <c r="J1278" s="1" t="s">
        <v>8</v>
      </c>
      <c r="K1278" s="89">
        <v>21740</v>
      </c>
      <c r="L1278" s="3">
        <v>6.73</v>
      </c>
      <c r="M1278" s="3">
        <v>21.11</v>
      </c>
      <c r="N1278" s="3" t="s">
        <v>8</v>
      </c>
      <c r="O1278" s="3" t="s">
        <v>8</v>
      </c>
    </row>
    <row r="1279" spans="1:15" x14ac:dyDescent="0.35">
      <c r="A1279" s="5" t="str">
        <f>Loads[[#This Row],[Date]]&amp;Loads[[#This Row],[Product]]</f>
        <v>44242Product1</v>
      </c>
      <c r="B1279" s="5">
        <f>COUNTIF($A$1:A1279,Loads[[#This Row],[Load]])</f>
        <v>13</v>
      </c>
      <c r="C1279" s="3" t="str">
        <f>Loads[[#This Row],[Load]]&amp;Loads[[#This Row],[Count]]</f>
        <v>44242Product113</v>
      </c>
      <c r="D1279" s="90">
        <v>44242</v>
      </c>
      <c r="E1279" s="143">
        <v>0.10416666666666667</v>
      </c>
      <c r="F1279" s="1" t="s">
        <v>9</v>
      </c>
      <c r="G1279" s="2" t="s">
        <v>12</v>
      </c>
      <c r="H1279" s="2" t="s">
        <v>42</v>
      </c>
      <c r="I1279" s="1" t="s">
        <v>11</v>
      </c>
      <c r="J1279" s="1" t="s">
        <v>8</v>
      </c>
      <c r="K1279" s="89">
        <v>25120</v>
      </c>
      <c r="L1279" s="3">
        <v>8.9499999999999993</v>
      </c>
      <c r="M1279" s="3">
        <v>23.45</v>
      </c>
      <c r="N1279" s="3" t="s">
        <v>8</v>
      </c>
      <c r="O1279" s="3" t="s">
        <v>8</v>
      </c>
    </row>
    <row r="1280" spans="1:15" x14ac:dyDescent="0.35">
      <c r="A1280" s="5" t="str">
        <f>Loads[[#This Row],[Date]]&amp;Loads[[#This Row],[Product]]</f>
        <v>44242Product8</v>
      </c>
      <c r="B1280" s="5">
        <f>COUNTIF($A$1:A1280,Loads[[#This Row],[Load]])</f>
        <v>1</v>
      </c>
      <c r="C1280" s="3" t="str">
        <f>Loads[[#This Row],[Load]]&amp;Loads[[#This Row],[Count]]</f>
        <v>44242Product81</v>
      </c>
      <c r="D1280" s="90">
        <v>44242</v>
      </c>
      <c r="E1280" s="143">
        <v>0.10416666666666667</v>
      </c>
      <c r="F1280" s="1" t="s">
        <v>9</v>
      </c>
      <c r="G1280" s="2" t="s">
        <v>19</v>
      </c>
      <c r="H1280" s="2" t="s">
        <v>42</v>
      </c>
      <c r="I1280" s="1" t="s">
        <v>11</v>
      </c>
      <c r="J1280" s="1" t="s">
        <v>8</v>
      </c>
      <c r="K1280" s="89">
        <v>12860</v>
      </c>
      <c r="L1280" s="3">
        <v>11.62</v>
      </c>
      <c r="M1280" s="3">
        <v>7.2</v>
      </c>
      <c r="N1280" s="3" t="s">
        <v>8</v>
      </c>
      <c r="O1280" s="3" t="s">
        <v>8</v>
      </c>
    </row>
    <row r="1281" spans="1:15" x14ac:dyDescent="0.35">
      <c r="A1281" s="5" t="str">
        <f>Loads[[#This Row],[Date]]&amp;Loads[[#This Row],[Product]]</f>
        <v>44242Product7</v>
      </c>
      <c r="B1281" s="5">
        <f>COUNTIF($A$1:A1281,Loads[[#This Row],[Load]])</f>
        <v>1</v>
      </c>
      <c r="C1281" s="3" t="str">
        <f>Loads[[#This Row],[Load]]&amp;Loads[[#This Row],[Count]]</f>
        <v>44242Product71</v>
      </c>
      <c r="D1281" s="90">
        <v>44242</v>
      </c>
      <c r="E1281" s="143">
        <v>0.10486111111111111</v>
      </c>
      <c r="F1281" s="1" t="s">
        <v>9</v>
      </c>
      <c r="G1281" s="2" t="s">
        <v>18</v>
      </c>
      <c r="H1281" s="2" t="s">
        <v>42</v>
      </c>
      <c r="I1281" s="1" t="s">
        <v>11</v>
      </c>
      <c r="J1281" s="1" t="s">
        <v>8</v>
      </c>
      <c r="K1281" s="89">
        <v>24540</v>
      </c>
      <c r="L1281" s="3" t="s">
        <v>8</v>
      </c>
      <c r="M1281" s="3">
        <v>21.15</v>
      </c>
      <c r="N1281" s="3" t="s">
        <v>8</v>
      </c>
      <c r="O1281" s="3">
        <v>41.85</v>
      </c>
    </row>
    <row r="1282" spans="1:15" x14ac:dyDescent="0.35">
      <c r="A1282" s="5" t="str">
        <f>Loads[[#This Row],[Date]]&amp;Loads[[#This Row],[Product]]</f>
        <v>44242Product7</v>
      </c>
      <c r="B1282" s="5">
        <f>COUNTIF($A$1:A1282,Loads[[#This Row],[Load]])</f>
        <v>2</v>
      </c>
      <c r="C1282" s="3" t="str">
        <f>Loads[[#This Row],[Load]]&amp;Loads[[#This Row],[Count]]</f>
        <v>44242Product72</v>
      </c>
      <c r="D1282" s="90">
        <v>44242</v>
      </c>
      <c r="E1282" s="143">
        <v>0.10555555555555556</v>
      </c>
      <c r="F1282" s="1" t="s">
        <v>9</v>
      </c>
      <c r="G1282" s="2" t="s">
        <v>18</v>
      </c>
      <c r="H1282" s="2" t="s">
        <v>42</v>
      </c>
      <c r="I1282" s="1" t="s">
        <v>11</v>
      </c>
      <c r="J1282" s="1" t="s">
        <v>8</v>
      </c>
      <c r="K1282" s="89">
        <v>28300</v>
      </c>
      <c r="L1282" s="3" t="s">
        <v>8</v>
      </c>
      <c r="M1282" s="3">
        <v>21.15</v>
      </c>
      <c r="N1282" s="3" t="s">
        <v>8</v>
      </c>
      <c r="O1282" s="3">
        <v>41.85</v>
      </c>
    </row>
    <row r="1283" spans="1:15" x14ac:dyDescent="0.35">
      <c r="A1283" s="5" t="str">
        <f>Loads[[#This Row],[Date]]&amp;Loads[[#This Row],[Product]]</f>
        <v>44242Product2</v>
      </c>
      <c r="B1283" s="5">
        <f>COUNTIF($A$1:A1283,Loads[[#This Row],[Load]])</f>
        <v>1</v>
      </c>
      <c r="C1283" s="3" t="str">
        <f>Loads[[#This Row],[Load]]&amp;Loads[[#This Row],[Count]]</f>
        <v>44242Product21</v>
      </c>
      <c r="D1283" s="90">
        <v>44242</v>
      </c>
      <c r="E1283" s="143">
        <v>0.22569444444444445</v>
      </c>
      <c r="F1283" s="1" t="s">
        <v>9</v>
      </c>
      <c r="G1283" s="2" t="s">
        <v>13</v>
      </c>
      <c r="H1283" s="2" t="s">
        <v>42</v>
      </c>
      <c r="I1283" s="1" t="s">
        <v>11</v>
      </c>
      <c r="J1283" s="1" t="s">
        <v>8</v>
      </c>
      <c r="K1283" s="89">
        <v>12840</v>
      </c>
      <c r="L1283" s="3">
        <v>63.27</v>
      </c>
      <c r="M1283" s="3">
        <v>8.65</v>
      </c>
      <c r="N1283" s="3" t="s">
        <v>8</v>
      </c>
      <c r="O1283" s="3" t="s">
        <v>8</v>
      </c>
    </row>
    <row r="1284" spans="1:15" x14ac:dyDescent="0.35">
      <c r="A1284" s="5" t="str">
        <f>Loads[[#This Row],[Date]]&amp;Loads[[#This Row],[Product]]</f>
        <v>44242Product2</v>
      </c>
      <c r="B1284" s="5">
        <f>COUNTIF($A$1:A1284,Loads[[#This Row],[Load]])</f>
        <v>2</v>
      </c>
      <c r="C1284" s="3" t="str">
        <f>Loads[[#This Row],[Load]]&amp;Loads[[#This Row],[Count]]</f>
        <v>44242Product22</v>
      </c>
      <c r="D1284" s="90">
        <v>44242</v>
      </c>
      <c r="E1284" s="143">
        <v>0.22638888888888889</v>
      </c>
      <c r="F1284" s="1" t="s">
        <v>9</v>
      </c>
      <c r="G1284" s="2" t="s">
        <v>13</v>
      </c>
      <c r="H1284" s="2" t="s">
        <v>42</v>
      </c>
      <c r="I1284" s="1" t="s">
        <v>11</v>
      </c>
      <c r="J1284" s="1" t="s">
        <v>8</v>
      </c>
      <c r="K1284" s="89">
        <v>12320</v>
      </c>
      <c r="L1284" s="3">
        <v>56.88</v>
      </c>
      <c r="M1284" s="3">
        <v>11.1</v>
      </c>
      <c r="N1284" s="3" t="s">
        <v>8</v>
      </c>
      <c r="O1284" s="3" t="s">
        <v>8</v>
      </c>
    </row>
    <row r="1285" spans="1:15" x14ac:dyDescent="0.35">
      <c r="A1285" s="5" t="str">
        <f>Loads[[#This Row],[Date]]&amp;Loads[[#This Row],[Product]]</f>
        <v>44242Product2</v>
      </c>
      <c r="B1285" s="5">
        <f>COUNTIF($A$1:A1285,Loads[[#This Row],[Load]])</f>
        <v>3</v>
      </c>
      <c r="C1285" s="3" t="str">
        <f>Loads[[#This Row],[Load]]&amp;Loads[[#This Row],[Count]]</f>
        <v>44242Product23</v>
      </c>
      <c r="D1285" s="90">
        <v>44242</v>
      </c>
      <c r="E1285" s="143">
        <v>0.22708333333333333</v>
      </c>
      <c r="F1285" s="1" t="s">
        <v>9</v>
      </c>
      <c r="G1285" s="2" t="s">
        <v>13</v>
      </c>
      <c r="H1285" s="2" t="s">
        <v>42</v>
      </c>
      <c r="I1285" s="1" t="s">
        <v>11</v>
      </c>
      <c r="J1285" s="1" t="s">
        <v>8</v>
      </c>
      <c r="K1285" s="89">
        <v>15880</v>
      </c>
      <c r="L1285" s="3">
        <v>58.93</v>
      </c>
      <c r="M1285" s="3">
        <v>10.51</v>
      </c>
      <c r="N1285" s="3" t="s">
        <v>8</v>
      </c>
      <c r="O1285" s="3" t="s">
        <v>8</v>
      </c>
    </row>
    <row r="1286" spans="1:15" x14ac:dyDescent="0.35">
      <c r="A1286" s="5" t="str">
        <f>Loads[[#This Row],[Date]]&amp;Loads[[#This Row],[Product]]</f>
        <v>44242Product2</v>
      </c>
      <c r="B1286" s="5">
        <f>COUNTIF($A$1:A1286,Loads[[#This Row],[Load]])</f>
        <v>4</v>
      </c>
      <c r="C1286" s="3" t="str">
        <f>Loads[[#This Row],[Load]]&amp;Loads[[#This Row],[Count]]</f>
        <v>44242Product24</v>
      </c>
      <c r="D1286" s="90">
        <v>44242</v>
      </c>
      <c r="E1286" s="143">
        <v>0.22708333333333333</v>
      </c>
      <c r="F1286" s="1" t="s">
        <v>9</v>
      </c>
      <c r="G1286" s="2" t="s">
        <v>13</v>
      </c>
      <c r="H1286" s="2" t="s">
        <v>42</v>
      </c>
      <c r="I1286" s="1" t="s">
        <v>11</v>
      </c>
      <c r="J1286" s="1" t="s">
        <v>8</v>
      </c>
      <c r="K1286" s="89">
        <v>11300</v>
      </c>
      <c r="L1286" s="3">
        <v>59.66</v>
      </c>
      <c r="M1286" s="3">
        <v>9.9700000000000006</v>
      </c>
      <c r="N1286" s="3" t="s">
        <v>8</v>
      </c>
      <c r="O1286" s="3" t="s">
        <v>8</v>
      </c>
    </row>
    <row r="1287" spans="1:15" x14ac:dyDescent="0.35">
      <c r="A1287" s="5" t="str">
        <f>Loads[[#This Row],[Date]]&amp;Loads[[#This Row],[Product]]</f>
        <v>44242Product2</v>
      </c>
      <c r="B1287" s="5">
        <f>COUNTIF($A$1:A1287,Loads[[#This Row],[Load]])</f>
        <v>5</v>
      </c>
      <c r="C1287" s="3" t="str">
        <f>Loads[[#This Row],[Load]]&amp;Loads[[#This Row],[Count]]</f>
        <v>44242Product25</v>
      </c>
      <c r="D1287" s="90">
        <v>44242</v>
      </c>
      <c r="E1287" s="143">
        <v>0.22777777777777777</v>
      </c>
      <c r="F1287" s="1" t="s">
        <v>9</v>
      </c>
      <c r="G1287" s="2" t="s">
        <v>13</v>
      </c>
      <c r="H1287" s="2" t="s">
        <v>42</v>
      </c>
      <c r="I1287" s="1" t="s">
        <v>11</v>
      </c>
      <c r="J1287" s="1" t="s">
        <v>8</v>
      </c>
      <c r="K1287" s="89">
        <v>10720</v>
      </c>
      <c r="L1287" s="3">
        <v>59.06</v>
      </c>
      <c r="M1287" s="3">
        <v>11.07</v>
      </c>
      <c r="N1287" s="3" t="s">
        <v>8</v>
      </c>
      <c r="O1287" s="3" t="s">
        <v>8</v>
      </c>
    </row>
    <row r="1288" spans="1:15" x14ac:dyDescent="0.35">
      <c r="A1288" s="5" t="str">
        <f>Loads[[#This Row],[Date]]&amp;Loads[[#This Row],[Product]]</f>
        <v>44242Product2</v>
      </c>
      <c r="B1288" s="5">
        <f>COUNTIF($A$1:A1288,Loads[[#This Row],[Load]])</f>
        <v>6</v>
      </c>
      <c r="C1288" s="3" t="str">
        <f>Loads[[#This Row],[Load]]&amp;Loads[[#This Row],[Count]]</f>
        <v>44242Product26</v>
      </c>
      <c r="D1288" s="90">
        <v>44242</v>
      </c>
      <c r="E1288" s="143">
        <v>0.22847222222222222</v>
      </c>
      <c r="F1288" s="1" t="s">
        <v>9</v>
      </c>
      <c r="G1288" s="2" t="s">
        <v>13</v>
      </c>
      <c r="H1288" s="2" t="s">
        <v>42</v>
      </c>
      <c r="I1288" s="1" t="s">
        <v>11</v>
      </c>
      <c r="J1288" s="1" t="s">
        <v>8</v>
      </c>
      <c r="K1288" s="89">
        <v>12060</v>
      </c>
      <c r="L1288" s="3">
        <v>56.37</v>
      </c>
      <c r="M1288" s="3">
        <v>10.11</v>
      </c>
      <c r="N1288" s="3" t="s">
        <v>8</v>
      </c>
      <c r="O1288" s="3" t="s">
        <v>8</v>
      </c>
    </row>
    <row r="1289" spans="1:15" x14ac:dyDescent="0.35">
      <c r="A1289" s="5" t="str">
        <f>Loads[[#This Row],[Date]]&amp;Loads[[#This Row],[Product]]</f>
        <v>44242Product2</v>
      </c>
      <c r="B1289" s="5">
        <f>COUNTIF($A$1:A1289,Loads[[#This Row],[Load]])</f>
        <v>7</v>
      </c>
      <c r="C1289" s="3" t="str">
        <f>Loads[[#This Row],[Load]]&amp;Loads[[#This Row],[Count]]</f>
        <v>44242Product27</v>
      </c>
      <c r="D1289" s="90">
        <v>44242</v>
      </c>
      <c r="E1289" s="143">
        <v>0.22847222222222222</v>
      </c>
      <c r="F1289" s="1" t="s">
        <v>9</v>
      </c>
      <c r="G1289" s="2" t="s">
        <v>13</v>
      </c>
      <c r="H1289" s="2" t="s">
        <v>42</v>
      </c>
      <c r="I1289" s="1" t="s">
        <v>11</v>
      </c>
      <c r="J1289" s="1" t="s">
        <v>8</v>
      </c>
      <c r="K1289" s="89">
        <v>13800</v>
      </c>
      <c r="L1289" s="3">
        <v>61.79</v>
      </c>
      <c r="M1289" s="3">
        <v>9.6300000000000008</v>
      </c>
      <c r="N1289" s="3" t="s">
        <v>8</v>
      </c>
      <c r="O1289" s="3" t="s">
        <v>8</v>
      </c>
    </row>
    <row r="1290" spans="1:15" x14ac:dyDescent="0.35">
      <c r="A1290" s="5" t="str">
        <f>Loads[[#This Row],[Date]]&amp;Loads[[#This Row],[Product]]</f>
        <v>44242Product2</v>
      </c>
      <c r="B1290" s="5">
        <f>COUNTIF($A$1:A1290,Loads[[#This Row],[Load]])</f>
        <v>8</v>
      </c>
      <c r="C1290" s="3" t="str">
        <f>Loads[[#This Row],[Load]]&amp;Loads[[#This Row],[Count]]</f>
        <v>44242Product28</v>
      </c>
      <c r="D1290" s="90">
        <v>44242</v>
      </c>
      <c r="E1290" s="143">
        <v>0.22916666666666666</v>
      </c>
      <c r="F1290" s="1" t="s">
        <v>9</v>
      </c>
      <c r="G1290" s="2" t="s">
        <v>13</v>
      </c>
      <c r="H1290" s="2" t="s">
        <v>42</v>
      </c>
      <c r="I1290" s="1" t="s">
        <v>11</v>
      </c>
      <c r="J1290" s="1" t="s">
        <v>8</v>
      </c>
      <c r="K1290" s="89">
        <v>13020</v>
      </c>
      <c r="L1290" s="3">
        <v>56.91</v>
      </c>
      <c r="M1290" s="3">
        <v>10.050000000000001</v>
      </c>
      <c r="N1290" s="3" t="s">
        <v>8</v>
      </c>
      <c r="O1290" s="3" t="s">
        <v>8</v>
      </c>
    </row>
    <row r="1291" spans="1:15" x14ac:dyDescent="0.35">
      <c r="A1291" s="5" t="str">
        <f>Loads[[#This Row],[Date]]&amp;Loads[[#This Row],[Product]]</f>
        <v>44242Product2</v>
      </c>
      <c r="B1291" s="5">
        <f>COUNTIF($A$1:A1291,Loads[[#This Row],[Load]])</f>
        <v>9</v>
      </c>
      <c r="C1291" s="3" t="str">
        <f>Loads[[#This Row],[Load]]&amp;Loads[[#This Row],[Count]]</f>
        <v>44242Product29</v>
      </c>
      <c r="D1291" s="90">
        <v>44242</v>
      </c>
      <c r="E1291" s="143">
        <v>0.22916666666666666</v>
      </c>
      <c r="F1291" s="1" t="s">
        <v>9</v>
      </c>
      <c r="G1291" s="2" t="s">
        <v>13</v>
      </c>
      <c r="H1291" s="2" t="s">
        <v>42</v>
      </c>
      <c r="I1291" s="1" t="s">
        <v>11</v>
      </c>
      <c r="J1291" s="1" t="s">
        <v>8</v>
      </c>
      <c r="K1291" s="89">
        <v>16020</v>
      </c>
      <c r="L1291" s="3">
        <v>58.7</v>
      </c>
      <c r="M1291" s="3">
        <v>10.44</v>
      </c>
      <c r="N1291" s="3" t="s">
        <v>8</v>
      </c>
      <c r="O1291" s="3" t="s">
        <v>8</v>
      </c>
    </row>
    <row r="1292" spans="1:15" x14ac:dyDescent="0.35">
      <c r="A1292" s="5" t="str">
        <f>Loads[[#This Row],[Date]]&amp;Loads[[#This Row],[Product]]</f>
        <v>44243Product1</v>
      </c>
      <c r="B1292" s="5">
        <f>COUNTIF($A$1:A1292,Loads[[#This Row],[Load]])</f>
        <v>1</v>
      </c>
      <c r="C1292" s="3" t="str">
        <f>Loads[[#This Row],[Load]]&amp;Loads[[#This Row],[Count]]</f>
        <v>44243Product11</v>
      </c>
      <c r="D1292" s="90">
        <v>44243</v>
      </c>
      <c r="E1292" s="143">
        <v>7.0833333333333331E-2</v>
      </c>
      <c r="F1292" s="1" t="s">
        <v>9</v>
      </c>
      <c r="G1292" s="2" t="s">
        <v>12</v>
      </c>
      <c r="H1292" s="2" t="s">
        <v>42</v>
      </c>
      <c r="I1292" s="1" t="s">
        <v>11</v>
      </c>
      <c r="J1292" s="1" t="s">
        <v>8</v>
      </c>
      <c r="K1292" s="89">
        <v>23760</v>
      </c>
      <c r="L1292" s="3">
        <v>7.41</v>
      </c>
      <c r="M1292" s="3">
        <v>20.62</v>
      </c>
      <c r="N1292" s="3" t="s">
        <v>8</v>
      </c>
      <c r="O1292" s="3" t="s">
        <v>8</v>
      </c>
    </row>
    <row r="1293" spans="1:15" x14ac:dyDescent="0.35">
      <c r="A1293" s="5" t="str">
        <f>Loads[[#This Row],[Date]]&amp;Loads[[#This Row],[Product]]</f>
        <v>44243Product1</v>
      </c>
      <c r="B1293" s="5">
        <f>COUNTIF($A$1:A1293,Loads[[#This Row],[Load]])</f>
        <v>2</v>
      </c>
      <c r="C1293" s="3" t="str">
        <f>Loads[[#This Row],[Load]]&amp;Loads[[#This Row],[Count]]</f>
        <v>44243Product12</v>
      </c>
      <c r="D1293" s="90">
        <v>44243</v>
      </c>
      <c r="E1293" s="143">
        <v>7.1527777777777787E-2</v>
      </c>
      <c r="F1293" s="1" t="s">
        <v>9</v>
      </c>
      <c r="G1293" s="2" t="s">
        <v>12</v>
      </c>
      <c r="H1293" s="2" t="s">
        <v>42</v>
      </c>
      <c r="I1293" s="1" t="s">
        <v>11</v>
      </c>
      <c r="J1293" s="1" t="s">
        <v>8</v>
      </c>
      <c r="K1293" s="89">
        <v>24880</v>
      </c>
      <c r="L1293" s="3">
        <v>7.11</v>
      </c>
      <c r="M1293" s="3">
        <v>20.059999999999999</v>
      </c>
      <c r="N1293" s="3" t="s">
        <v>8</v>
      </c>
      <c r="O1293" s="3" t="s">
        <v>8</v>
      </c>
    </row>
    <row r="1294" spans="1:15" x14ac:dyDescent="0.35">
      <c r="A1294" s="5" t="str">
        <f>Loads[[#This Row],[Date]]&amp;Loads[[#This Row],[Product]]</f>
        <v>44243Product1</v>
      </c>
      <c r="B1294" s="5">
        <f>COUNTIF($A$1:A1294,Loads[[#This Row],[Load]])</f>
        <v>3</v>
      </c>
      <c r="C1294" s="3" t="str">
        <f>Loads[[#This Row],[Load]]&amp;Loads[[#This Row],[Count]]</f>
        <v>44243Product13</v>
      </c>
      <c r="D1294" s="90">
        <v>44243</v>
      </c>
      <c r="E1294" s="143">
        <v>7.4305555555555555E-2</v>
      </c>
      <c r="F1294" s="1" t="s">
        <v>9</v>
      </c>
      <c r="G1294" s="2" t="s">
        <v>12</v>
      </c>
      <c r="H1294" s="2" t="s">
        <v>42</v>
      </c>
      <c r="I1294" s="1" t="s">
        <v>11</v>
      </c>
      <c r="J1294" s="1" t="s">
        <v>8</v>
      </c>
      <c r="K1294" s="89">
        <v>24560</v>
      </c>
      <c r="L1294" s="3">
        <v>7.72</v>
      </c>
      <c r="M1294" s="3">
        <v>20.309999999999999</v>
      </c>
      <c r="N1294" s="3" t="s">
        <v>8</v>
      </c>
      <c r="O1294" s="3" t="s">
        <v>8</v>
      </c>
    </row>
    <row r="1295" spans="1:15" x14ac:dyDescent="0.35">
      <c r="A1295" s="5" t="str">
        <f>Loads[[#This Row],[Date]]&amp;Loads[[#This Row],[Product]]</f>
        <v>44243Product1</v>
      </c>
      <c r="B1295" s="5">
        <f>COUNTIF($A$1:A1295,Loads[[#This Row],[Load]])</f>
        <v>4</v>
      </c>
      <c r="C1295" s="3" t="str">
        <f>Loads[[#This Row],[Load]]&amp;Loads[[#This Row],[Count]]</f>
        <v>44243Product14</v>
      </c>
      <c r="D1295" s="90">
        <v>44243</v>
      </c>
      <c r="E1295" s="143">
        <v>7.4999999999999997E-2</v>
      </c>
      <c r="F1295" s="1" t="s">
        <v>9</v>
      </c>
      <c r="G1295" s="2" t="s">
        <v>12</v>
      </c>
      <c r="H1295" s="2" t="s">
        <v>42</v>
      </c>
      <c r="I1295" s="1" t="s">
        <v>11</v>
      </c>
      <c r="J1295" s="1" t="s">
        <v>8</v>
      </c>
      <c r="K1295" s="89">
        <v>14280</v>
      </c>
      <c r="L1295" s="3">
        <v>9.15</v>
      </c>
      <c r="M1295" s="3">
        <v>20.91</v>
      </c>
      <c r="N1295" s="3" t="s">
        <v>8</v>
      </c>
      <c r="O1295" s="3" t="s">
        <v>8</v>
      </c>
    </row>
    <row r="1296" spans="1:15" x14ac:dyDescent="0.35">
      <c r="A1296" s="5" t="str">
        <f>Loads[[#This Row],[Date]]&amp;Loads[[#This Row],[Product]]</f>
        <v>44243Product1</v>
      </c>
      <c r="B1296" s="5">
        <f>COUNTIF($A$1:A1296,Loads[[#This Row],[Load]])</f>
        <v>5</v>
      </c>
      <c r="C1296" s="3" t="str">
        <f>Loads[[#This Row],[Load]]&amp;Loads[[#This Row],[Count]]</f>
        <v>44243Product15</v>
      </c>
      <c r="D1296" s="90">
        <v>44243</v>
      </c>
      <c r="E1296" s="143">
        <v>7.5694444444444439E-2</v>
      </c>
      <c r="F1296" s="1" t="s">
        <v>9</v>
      </c>
      <c r="G1296" s="2" t="s">
        <v>12</v>
      </c>
      <c r="H1296" s="2" t="s">
        <v>42</v>
      </c>
      <c r="I1296" s="1" t="s">
        <v>11</v>
      </c>
      <c r="J1296" s="1" t="s">
        <v>8</v>
      </c>
      <c r="K1296" s="89">
        <v>18820</v>
      </c>
      <c r="L1296" s="3">
        <v>9.2100000000000009</v>
      </c>
      <c r="M1296" s="3">
        <v>22.47</v>
      </c>
      <c r="N1296" s="3" t="s">
        <v>8</v>
      </c>
      <c r="O1296" s="3" t="s">
        <v>8</v>
      </c>
    </row>
    <row r="1297" spans="1:15" x14ac:dyDescent="0.35">
      <c r="A1297" s="5" t="str">
        <f>Loads[[#This Row],[Date]]&amp;Loads[[#This Row],[Product]]</f>
        <v>44243Product1</v>
      </c>
      <c r="B1297" s="5">
        <f>COUNTIF($A$1:A1297,Loads[[#This Row],[Load]])</f>
        <v>6</v>
      </c>
      <c r="C1297" s="3" t="str">
        <f>Loads[[#This Row],[Load]]&amp;Loads[[#This Row],[Count]]</f>
        <v>44243Product16</v>
      </c>
      <c r="D1297" s="90">
        <v>44243</v>
      </c>
      <c r="E1297" s="143">
        <v>7.5694444444444439E-2</v>
      </c>
      <c r="F1297" s="1" t="s">
        <v>9</v>
      </c>
      <c r="G1297" s="2" t="s">
        <v>12</v>
      </c>
      <c r="H1297" s="2" t="s">
        <v>42</v>
      </c>
      <c r="I1297" s="1" t="s">
        <v>10</v>
      </c>
      <c r="J1297" s="1">
        <v>800</v>
      </c>
      <c r="K1297" s="89">
        <v>31760</v>
      </c>
      <c r="L1297" s="3">
        <v>8.83</v>
      </c>
      <c r="M1297" s="3">
        <v>20.170000000000002</v>
      </c>
      <c r="N1297" s="3" t="s">
        <v>8</v>
      </c>
      <c r="O1297" s="3" t="s">
        <v>8</v>
      </c>
    </row>
    <row r="1298" spans="1:15" x14ac:dyDescent="0.35">
      <c r="A1298" s="5" t="str">
        <f>Loads[[#This Row],[Date]]&amp;Loads[[#This Row],[Product]]</f>
        <v>44243Product1</v>
      </c>
      <c r="B1298" s="5">
        <f>COUNTIF($A$1:A1298,Loads[[#This Row],[Load]])</f>
        <v>7</v>
      </c>
      <c r="C1298" s="3" t="str">
        <f>Loads[[#This Row],[Load]]&amp;Loads[[#This Row],[Count]]</f>
        <v>44243Product17</v>
      </c>
      <c r="D1298" s="90">
        <v>44243</v>
      </c>
      <c r="E1298" s="143">
        <v>7.6388888888888895E-2</v>
      </c>
      <c r="F1298" s="1" t="s">
        <v>9</v>
      </c>
      <c r="G1298" s="2" t="s">
        <v>12</v>
      </c>
      <c r="H1298" s="2" t="s">
        <v>42</v>
      </c>
      <c r="I1298" s="1" t="s">
        <v>11</v>
      </c>
      <c r="J1298" s="1" t="s">
        <v>8</v>
      </c>
      <c r="K1298" s="89">
        <v>19120</v>
      </c>
      <c r="L1298" s="3">
        <v>9.6300000000000008</v>
      </c>
      <c r="M1298" s="3">
        <v>21.03</v>
      </c>
      <c r="N1298" s="3" t="s">
        <v>8</v>
      </c>
      <c r="O1298" s="3" t="s">
        <v>8</v>
      </c>
    </row>
    <row r="1299" spans="1:15" x14ac:dyDescent="0.35">
      <c r="A1299" s="5" t="str">
        <f>Loads[[#This Row],[Date]]&amp;Loads[[#This Row],[Product]]</f>
        <v>44243Product1</v>
      </c>
      <c r="B1299" s="5">
        <f>COUNTIF($A$1:A1299,Loads[[#This Row],[Load]])</f>
        <v>8</v>
      </c>
      <c r="C1299" s="3" t="str">
        <f>Loads[[#This Row],[Load]]&amp;Loads[[#This Row],[Count]]</f>
        <v>44243Product18</v>
      </c>
      <c r="D1299" s="90">
        <v>44243</v>
      </c>
      <c r="E1299" s="143">
        <v>7.7083333333333337E-2</v>
      </c>
      <c r="F1299" s="1" t="s">
        <v>9</v>
      </c>
      <c r="G1299" s="2" t="s">
        <v>12</v>
      </c>
      <c r="H1299" s="2" t="s">
        <v>42</v>
      </c>
      <c r="I1299" s="1" t="s">
        <v>11</v>
      </c>
      <c r="J1299" s="1" t="s">
        <v>8</v>
      </c>
      <c r="K1299" s="89">
        <v>12240</v>
      </c>
      <c r="L1299" s="3">
        <v>9.7100000000000009</v>
      </c>
      <c r="M1299" s="3">
        <v>21.14</v>
      </c>
      <c r="N1299" s="3" t="s">
        <v>8</v>
      </c>
      <c r="O1299" s="3" t="s">
        <v>8</v>
      </c>
    </row>
    <row r="1300" spans="1:15" x14ac:dyDescent="0.35">
      <c r="A1300" s="5" t="str">
        <f>Loads[[#This Row],[Date]]&amp;Loads[[#This Row],[Product]]</f>
        <v>44243Product1</v>
      </c>
      <c r="B1300" s="5">
        <f>COUNTIF($A$1:A1300,Loads[[#This Row],[Load]])</f>
        <v>9</v>
      </c>
      <c r="C1300" s="3" t="str">
        <f>Loads[[#This Row],[Load]]&amp;Loads[[#This Row],[Count]]</f>
        <v>44243Product19</v>
      </c>
      <c r="D1300" s="90">
        <v>44243</v>
      </c>
      <c r="E1300" s="143">
        <v>7.7777777777777779E-2</v>
      </c>
      <c r="F1300" s="1" t="s">
        <v>9</v>
      </c>
      <c r="G1300" s="2" t="s">
        <v>12</v>
      </c>
      <c r="H1300" s="2" t="s">
        <v>42</v>
      </c>
      <c r="I1300" s="1" t="s">
        <v>11</v>
      </c>
      <c r="J1300" s="1" t="s">
        <v>8</v>
      </c>
      <c r="K1300" s="89">
        <v>18700</v>
      </c>
      <c r="L1300" s="3">
        <v>9.58</v>
      </c>
      <c r="M1300" s="3">
        <v>20.87</v>
      </c>
      <c r="N1300" s="3" t="s">
        <v>8</v>
      </c>
      <c r="O1300" s="3" t="s">
        <v>8</v>
      </c>
    </row>
    <row r="1301" spans="1:15" x14ac:dyDescent="0.35">
      <c r="A1301" s="5" t="str">
        <f>Loads[[#This Row],[Date]]&amp;Loads[[#This Row],[Product]]</f>
        <v>44243Product1</v>
      </c>
      <c r="B1301" s="5">
        <f>COUNTIF($A$1:A1301,Loads[[#This Row],[Load]])</f>
        <v>10</v>
      </c>
      <c r="C1301" s="3" t="str">
        <f>Loads[[#This Row],[Load]]&amp;Loads[[#This Row],[Count]]</f>
        <v>44243Product110</v>
      </c>
      <c r="D1301" s="90">
        <v>44243</v>
      </c>
      <c r="E1301" s="143">
        <v>7.7777777777777779E-2</v>
      </c>
      <c r="F1301" s="1" t="s">
        <v>9</v>
      </c>
      <c r="G1301" s="2" t="s">
        <v>12</v>
      </c>
      <c r="H1301" s="2" t="s">
        <v>42</v>
      </c>
      <c r="I1301" s="1" t="s">
        <v>11</v>
      </c>
      <c r="J1301" s="1" t="s">
        <v>8</v>
      </c>
      <c r="K1301" s="89">
        <v>19480</v>
      </c>
      <c r="L1301" s="3">
        <v>9.81</v>
      </c>
      <c r="M1301" s="3">
        <v>20.38</v>
      </c>
      <c r="N1301" s="3" t="s">
        <v>8</v>
      </c>
      <c r="O1301" s="3" t="s">
        <v>8</v>
      </c>
    </row>
    <row r="1302" spans="1:15" x14ac:dyDescent="0.35">
      <c r="A1302" s="5" t="str">
        <f>Loads[[#This Row],[Date]]&amp;Loads[[#This Row],[Product]]</f>
        <v>44243Product1</v>
      </c>
      <c r="B1302" s="5">
        <f>COUNTIF($A$1:A1302,Loads[[#This Row],[Load]])</f>
        <v>11</v>
      </c>
      <c r="C1302" s="3" t="str">
        <f>Loads[[#This Row],[Load]]&amp;Loads[[#This Row],[Count]]</f>
        <v>44243Product111</v>
      </c>
      <c r="D1302" s="90">
        <v>44243</v>
      </c>
      <c r="E1302" s="143">
        <v>8.1250000000000003E-2</v>
      </c>
      <c r="F1302" s="1" t="s">
        <v>9</v>
      </c>
      <c r="G1302" s="2" t="s">
        <v>12</v>
      </c>
      <c r="H1302" s="2" t="s">
        <v>42</v>
      </c>
      <c r="I1302" s="1" t="s">
        <v>11</v>
      </c>
      <c r="J1302" s="1" t="s">
        <v>8</v>
      </c>
      <c r="K1302" s="89">
        <v>19580</v>
      </c>
      <c r="L1302" s="3">
        <v>9.91</v>
      </c>
      <c r="M1302" s="3">
        <v>20.02</v>
      </c>
      <c r="N1302" s="3" t="s">
        <v>8</v>
      </c>
      <c r="O1302" s="3" t="s">
        <v>8</v>
      </c>
    </row>
    <row r="1303" spans="1:15" x14ac:dyDescent="0.35">
      <c r="A1303" s="5" t="str">
        <f>Loads[[#This Row],[Date]]&amp;Loads[[#This Row],[Product]]</f>
        <v>44243Product1</v>
      </c>
      <c r="B1303" s="5">
        <f>COUNTIF($A$1:A1303,Loads[[#This Row],[Load]])</f>
        <v>12</v>
      </c>
      <c r="C1303" s="3" t="str">
        <f>Loads[[#This Row],[Load]]&amp;Loads[[#This Row],[Count]]</f>
        <v>44243Product112</v>
      </c>
      <c r="D1303" s="90">
        <v>44243</v>
      </c>
      <c r="E1303" s="143">
        <v>8.1944444444444445E-2</v>
      </c>
      <c r="F1303" s="1" t="s">
        <v>9</v>
      </c>
      <c r="G1303" s="2" t="s">
        <v>12</v>
      </c>
      <c r="H1303" s="2" t="s">
        <v>42</v>
      </c>
      <c r="I1303" s="1" t="s">
        <v>11</v>
      </c>
      <c r="J1303" s="1" t="s">
        <v>8</v>
      </c>
      <c r="K1303" s="89">
        <v>31540</v>
      </c>
      <c r="L1303" s="3">
        <v>9.9700000000000006</v>
      </c>
      <c r="M1303" s="3">
        <v>20.99</v>
      </c>
      <c r="N1303" s="3" t="s">
        <v>8</v>
      </c>
      <c r="O1303" s="3" t="s">
        <v>8</v>
      </c>
    </row>
    <row r="1304" spans="1:15" x14ac:dyDescent="0.35">
      <c r="A1304" s="5" t="str">
        <f>Loads[[#This Row],[Date]]&amp;Loads[[#This Row],[Product]]</f>
        <v>44243Product1</v>
      </c>
      <c r="B1304" s="5">
        <f>COUNTIF($A$1:A1304,Loads[[#This Row],[Load]])</f>
        <v>13</v>
      </c>
      <c r="C1304" s="3" t="str">
        <f>Loads[[#This Row],[Load]]&amp;Loads[[#This Row],[Count]]</f>
        <v>44243Product113</v>
      </c>
      <c r="D1304" s="90">
        <v>44243</v>
      </c>
      <c r="E1304" s="143">
        <v>8.1944444444444445E-2</v>
      </c>
      <c r="F1304" s="1" t="s">
        <v>9</v>
      </c>
      <c r="G1304" s="2" t="s">
        <v>12</v>
      </c>
      <c r="H1304" s="2" t="s">
        <v>42</v>
      </c>
      <c r="I1304" s="1" t="s">
        <v>11</v>
      </c>
      <c r="J1304" s="1" t="s">
        <v>8</v>
      </c>
      <c r="K1304" s="89">
        <v>29000</v>
      </c>
      <c r="L1304" s="3">
        <v>9.33</v>
      </c>
      <c r="M1304" s="3">
        <v>20.52</v>
      </c>
      <c r="N1304" s="3" t="s">
        <v>8</v>
      </c>
      <c r="O1304" s="3" t="s">
        <v>8</v>
      </c>
    </row>
    <row r="1305" spans="1:15" x14ac:dyDescent="0.35">
      <c r="A1305" s="5" t="str">
        <f>Loads[[#This Row],[Date]]&amp;Loads[[#This Row],[Product]]</f>
        <v>44243Product1</v>
      </c>
      <c r="B1305" s="5">
        <f>COUNTIF($A$1:A1305,Loads[[#This Row],[Load]])</f>
        <v>14</v>
      </c>
      <c r="C1305" s="3" t="str">
        <f>Loads[[#This Row],[Load]]&amp;Loads[[#This Row],[Count]]</f>
        <v>44243Product114</v>
      </c>
      <c r="D1305" s="90">
        <v>44243</v>
      </c>
      <c r="E1305" s="143">
        <v>8.2638888888888887E-2</v>
      </c>
      <c r="F1305" s="1" t="s">
        <v>9</v>
      </c>
      <c r="G1305" s="2" t="s">
        <v>12</v>
      </c>
      <c r="H1305" s="2" t="s">
        <v>42</v>
      </c>
      <c r="I1305" s="1" t="s">
        <v>11</v>
      </c>
      <c r="J1305" s="1" t="s">
        <v>8</v>
      </c>
      <c r="K1305" s="89">
        <v>22480</v>
      </c>
      <c r="L1305" s="3">
        <v>9.8800000000000008</v>
      </c>
      <c r="M1305" s="3">
        <v>21.99</v>
      </c>
      <c r="N1305" s="3" t="s">
        <v>8</v>
      </c>
      <c r="O1305" s="3" t="s">
        <v>8</v>
      </c>
    </row>
    <row r="1306" spans="1:15" x14ac:dyDescent="0.35">
      <c r="A1306" s="5" t="str">
        <f>Loads[[#This Row],[Date]]&amp;Loads[[#This Row],[Product]]</f>
        <v>44243Product1</v>
      </c>
      <c r="B1306" s="5">
        <f>COUNTIF($A$1:A1306,Loads[[#This Row],[Load]])</f>
        <v>15</v>
      </c>
      <c r="C1306" s="3" t="str">
        <f>Loads[[#This Row],[Load]]&amp;Loads[[#This Row],[Count]]</f>
        <v>44243Product115</v>
      </c>
      <c r="D1306" s="90">
        <v>44243</v>
      </c>
      <c r="E1306" s="143">
        <v>8.5416666666666655E-2</v>
      </c>
      <c r="F1306" s="1" t="s">
        <v>9</v>
      </c>
      <c r="G1306" s="2" t="s">
        <v>12</v>
      </c>
      <c r="H1306" s="2" t="s">
        <v>42</v>
      </c>
      <c r="I1306" s="1" t="s">
        <v>11</v>
      </c>
      <c r="J1306" s="1" t="s">
        <v>8</v>
      </c>
      <c r="K1306" s="89">
        <v>30320</v>
      </c>
      <c r="L1306" s="3">
        <v>9.92</v>
      </c>
      <c r="M1306" s="3">
        <v>21.94</v>
      </c>
      <c r="N1306" s="3" t="s">
        <v>8</v>
      </c>
      <c r="O1306" s="3" t="s">
        <v>8</v>
      </c>
    </row>
    <row r="1307" spans="1:15" x14ac:dyDescent="0.35">
      <c r="A1307" s="5" t="str">
        <f>Loads[[#This Row],[Date]]&amp;Loads[[#This Row],[Product]]</f>
        <v>44243Product4</v>
      </c>
      <c r="B1307" s="5">
        <f>COUNTIF($A$1:A1307,Loads[[#This Row],[Load]])</f>
        <v>1</v>
      </c>
      <c r="C1307" s="3" t="str">
        <f>Loads[[#This Row],[Load]]&amp;Loads[[#This Row],[Count]]</f>
        <v>44243Product41</v>
      </c>
      <c r="D1307" s="90">
        <v>44243</v>
      </c>
      <c r="E1307" s="143">
        <v>8.6111111111111124E-2</v>
      </c>
      <c r="F1307" s="1" t="s">
        <v>9</v>
      </c>
      <c r="G1307" s="2" t="s">
        <v>15</v>
      </c>
      <c r="H1307" s="2" t="s">
        <v>42</v>
      </c>
      <c r="I1307" s="1" t="s">
        <v>11</v>
      </c>
      <c r="J1307" s="1" t="s">
        <v>8</v>
      </c>
      <c r="K1307" s="89">
        <v>36940</v>
      </c>
      <c r="L1307" s="3">
        <v>9.34</v>
      </c>
      <c r="M1307" s="3">
        <v>61.7</v>
      </c>
      <c r="N1307" s="3" t="s">
        <v>8</v>
      </c>
      <c r="O1307" s="3" t="s">
        <v>8</v>
      </c>
    </row>
    <row r="1308" spans="1:15" x14ac:dyDescent="0.35">
      <c r="A1308" s="5" t="str">
        <f>Loads[[#This Row],[Date]]&amp;Loads[[#This Row],[Product]]</f>
        <v>44243Product4</v>
      </c>
      <c r="B1308" s="5">
        <f>COUNTIF($A$1:A1308,Loads[[#This Row],[Load]])</f>
        <v>2</v>
      </c>
      <c r="C1308" s="3" t="str">
        <f>Loads[[#This Row],[Load]]&amp;Loads[[#This Row],[Count]]</f>
        <v>44243Product42</v>
      </c>
      <c r="D1308" s="90">
        <v>44243</v>
      </c>
      <c r="E1308" s="143">
        <v>8.6805555555555566E-2</v>
      </c>
      <c r="F1308" s="1" t="s">
        <v>9</v>
      </c>
      <c r="G1308" s="2" t="s">
        <v>15</v>
      </c>
      <c r="H1308" s="2" t="s">
        <v>42</v>
      </c>
      <c r="I1308" s="1" t="s">
        <v>11</v>
      </c>
      <c r="J1308" s="1" t="s">
        <v>8</v>
      </c>
      <c r="K1308" s="89">
        <v>29400</v>
      </c>
      <c r="L1308" s="3">
        <v>11.08</v>
      </c>
      <c r="M1308" s="3">
        <v>60.58</v>
      </c>
      <c r="N1308" s="3" t="s">
        <v>8</v>
      </c>
      <c r="O1308" s="3" t="s">
        <v>8</v>
      </c>
    </row>
    <row r="1309" spans="1:15" x14ac:dyDescent="0.35">
      <c r="A1309" s="5" t="str">
        <f>Loads[[#This Row],[Date]]&amp;Loads[[#This Row],[Product]]</f>
        <v>44243Product4</v>
      </c>
      <c r="B1309" s="5">
        <f>COUNTIF($A$1:A1309,Loads[[#This Row],[Load]])</f>
        <v>3</v>
      </c>
      <c r="C1309" s="3" t="str">
        <f>Loads[[#This Row],[Load]]&amp;Loads[[#This Row],[Count]]</f>
        <v>44243Product43</v>
      </c>
      <c r="D1309" s="90">
        <v>44243</v>
      </c>
      <c r="E1309" s="143">
        <v>8.6805555555555566E-2</v>
      </c>
      <c r="F1309" s="1" t="s">
        <v>9</v>
      </c>
      <c r="G1309" s="2" t="s">
        <v>15</v>
      </c>
      <c r="H1309" s="2" t="s">
        <v>42</v>
      </c>
      <c r="I1309" s="1" t="s">
        <v>0</v>
      </c>
      <c r="J1309" s="1">
        <v>24</v>
      </c>
      <c r="K1309" s="89">
        <v>29660</v>
      </c>
      <c r="L1309" s="3">
        <v>10.25</v>
      </c>
      <c r="M1309" s="3">
        <v>61.72</v>
      </c>
      <c r="N1309" s="3" t="s">
        <v>8</v>
      </c>
      <c r="O1309" s="3" t="s">
        <v>8</v>
      </c>
    </row>
    <row r="1310" spans="1:15" x14ac:dyDescent="0.35">
      <c r="A1310" s="5" t="str">
        <f>Loads[[#This Row],[Date]]&amp;Loads[[#This Row],[Product]]</f>
        <v>44243Product6</v>
      </c>
      <c r="B1310" s="5">
        <f>COUNTIF($A$1:A1310,Loads[[#This Row],[Load]])</f>
        <v>1</v>
      </c>
      <c r="C1310" s="3" t="str">
        <f>Loads[[#This Row],[Load]]&amp;Loads[[#This Row],[Count]]</f>
        <v>44243Product61</v>
      </c>
      <c r="D1310" s="90">
        <v>44243</v>
      </c>
      <c r="E1310" s="143">
        <v>8.7500000000000008E-2</v>
      </c>
      <c r="F1310" s="1" t="s">
        <v>9</v>
      </c>
      <c r="G1310" s="2" t="s">
        <v>17</v>
      </c>
      <c r="H1310" s="2" t="s">
        <v>42</v>
      </c>
      <c r="I1310" s="1" t="s">
        <v>11</v>
      </c>
      <c r="J1310" s="1" t="s">
        <v>8</v>
      </c>
      <c r="K1310" s="89">
        <v>35560</v>
      </c>
      <c r="L1310" s="3">
        <v>7.0000000000000007E-2</v>
      </c>
      <c r="M1310" s="3" t="s">
        <v>8</v>
      </c>
      <c r="N1310" s="3">
        <v>1.59</v>
      </c>
      <c r="O1310" s="3" t="s">
        <v>8</v>
      </c>
    </row>
    <row r="1311" spans="1:15" x14ac:dyDescent="0.35">
      <c r="A1311" s="5" t="str">
        <f>Loads[[#This Row],[Date]]&amp;Loads[[#This Row],[Product]]</f>
        <v>44243Product6</v>
      </c>
      <c r="B1311" s="5">
        <f>COUNTIF($A$1:A1311,Loads[[#This Row],[Load]])</f>
        <v>2</v>
      </c>
      <c r="C1311" s="3" t="str">
        <f>Loads[[#This Row],[Load]]&amp;Loads[[#This Row],[Count]]</f>
        <v>44243Product62</v>
      </c>
      <c r="D1311" s="90">
        <v>44243</v>
      </c>
      <c r="E1311" s="143">
        <v>8.819444444444445E-2</v>
      </c>
      <c r="F1311" s="1" t="s">
        <v>9</v>
      </c>
      <c r="G1311" s="2" t="s">
        <v>17</v>
      </c>
      <c r="H1311" s="2" t="s">
        <v>42</v>
      </c>
      <c r="I1311" s="1" t="s">
        <v>11</v>
      </c>
      <c r="J1311" s="1" t="s">
        <v>8</v>
      </c>
      <c r="K1311" s="89">
        <v>35800</v>
      </c>
      <c r="L1311" s="3">
        <v>0.09</v>
      </c>
      <c r="M1311" s="3" t="s">
        <v>8</v>
      </c>
      <c r="N1311" s="3">
        <v>1.57</v>
      </c>
      <c r="O1311" s="3" t="s">
        <v>8</v>
      </c>
    </row>
    <row r="1312" spans="1:15" x14ac:dyDescent="0.35">
      <c r="A1312" s="5" t="str">
        <f>Loads[[#This Row],[Date]]&amp;Loads[[#This Row],[Product]]</f>
        <v>44243Product8</v>
      </c>
      <c r="B1312" s="5">
        <f>COUNTIF($A$1:A1312,Loads[[#This Row],[Load]])</f>
        <v>1</v>
      </c>
      <c r="C1312" s="3" t="str">
        <f>Loads[[#This Row],[Load]]&amp;Loads[[#This Row],[Count]]</f>
        <v>44243Product81</v>
      </c>
      <c r="D1312" s="90">
        <v>44243</v>
      </c>
      <c r="E1312" s="143">
        <v>8.819444444444445E-2</v>
      </c>
      <c r="F1312" s="1" t="s">
        <v>9</v>
      </c>
      <c r="G1312" s="2" t="s">
        <v>19</v>
      </c>
      <c r="H1312" s="2" t="s">
        <v>42</v>
      </c>
      <c r="I1312" s="1" t="s">
        <v>11</v>
      </c>
      <c r="J1312" s="1" t="s">
        <v>8</v>
      </c>
      <c r="K1312" s="89">
        <v>22540</v>
      </c>
      <c r="L1312" s="3">
        <v>12.12</v>
      </c>
      <c r="M1312" s="3">
        <v>7.2</v>
      </c>
      <c r="N1312" s="3" t="s">
        <v>8</v>
      </c>
      <c r="O1312" s="3" t="s">
        <v>8</v>
      </c>
    </row>
    <row r="1313" spans="1:15" x14ac:dyDescent="0.35">
      <c r="A1313" s="5" t="str">
        <f>Loads[[#This Row],[Date]]&amp;Loads[[#This Row],[Product]]</f>
        <v>44243Product7</v>
      </c>
      <c r="B1313" s="5">
        <f>COUNTIF($A$1:A1313,Loads[[#This Row],[Load]])</f>
        <v>1</v>
      </c>
      <c r="C1313" s="3" t="str">
        <f>Loads[[#This Row],[Load]]&amp;Loads[[#This Row],[Count]]</f>
        <v>44243Product71</v>
      </c>
      <c r="D1313" s="90">
        <v>44243</v>
      </c>
      <c r="E1313" s="143">
        <v>8.8888888888888892E-2</v>
      </c>
      <c r="F1313" s="1" t="s">
        <v>9</v>
      </c>
      <c r="G1313" s="2" t="s">
        <v>18</v>
      </c>
      <c r="H1313" s="2" t="s">
        <v>42</v>
      </c>
      <c r="I1313" s="1" t="s">
        <v>11</v>
      </c>
      <c r="J1313" s="1" t="s">
        <v>8</v>
      </c>
      <c r="K1313" s="89">
        <v>24240</v>
      </c>
      <c r="L1313" s="3" t="s">
        <v>8</v>
      </c>
      <c r="M1313" s="3">
        <v>21.15</v>
      </c>
      <c r="N1313" s="3" t="s">
        <v>8</v>
      </c>
      <c r="O1313" s="3">
        <v>41.85</v>
      </c>
    </row>
    <row r="1314" spans="1:15" x14ac:dyDescent="0.35">
      <c r="A1314" s="5" t="str">
        <f>Loads[[#This Row],[Date]]&amp;Loads[[#This Row],[Product]]</f>
        <v>44243Product5</v>
      </c>
      <c r="B1314" s="5">
        <f>COUNTIF($A$1:A1314,Loads[[#This Row],[Load]])</f>
        <v>1</v>
      </c>
      <c r="C1314" s="3" t="str">
        <f>Loads[[#This Row],[Load]]&amp;Loads[[#This Row],[Count]]</f>
        <v>44243Product51</v>
      </c>
      <c r="D1314" s="90">
        <v>44243</v>
      </c>
      <c r="E1314" s="143">
        <v>8.9583333333333334E-2</v>
      </c>
      <c r="F1314" s="1" t="s">
        <v>9</v>
      </c>
      <c r="G1314" s="2" t="s">
        <v>16</v>
      </c>
      <c r="H1314" s="2" t="s">
        <v>42</v>
      </c>
      <c r="I1314" s="1" t="s">
        <v>11</v>
      </c>
      <c r="J1314" s="1" t="s">
        <v>8</v>
      </c>
      <c r="K1314" s="89">
        <v>9740</v>
      </c>
      <c r="L1314" s="3">
        <v>12.4</v>
      </c>
      <c r="N1314" s="3"/>
      <c r="O1314" s="3"/>
    </row>
    <row r="1315" spans="1:15" x14ac:dyDescent="0.35">
      <c r="A1315" s="5" t="str">
        <f>Loads[[#This Row],[Date]]&amp;Loads[[#This Row],[Product]]</f>
        <v>44243Product2</v>
      </c>
      <c r="B1315" s="5">
        <f>COUNTIF($A$1:A1315,Loads[[#This Row],[Load]])</f>
        <v>1</v>
      </c>
      <c r="C1315" s="3" t="str">
        <f>Loads[[#This Row],[Load]]&amp;Loads[[#This Row],[Count]]</f>
        <v>44243Product21</v>
      </c>
      <c r="D1315" s="90">
        <v>44243</v>
      </c>
      <c r="E1315" s="143">
        <v>0.25208333333333333</v>
      </c>
      <c r="F1315" s="1" t="s">
        <v>9</v>
      </c>
      <c r="G1315" s="2" t="s">
        <v>13</v>
      </c>
      <c r="H1315" s="2" t="s">
        <v>42</v>
      </c>
      <c r="I1315" s="1" t="s">
        <v>11</v>
      </c>
      <c r="J1315" s="1" t="s">
        <v>8</v>
      </c>
      <c r="K1315" s="89">
        <v>13520</v>
      </c>
      <c r="L1315" s="3">
        <v>55.09</v>
      </c>
      <c r="M1315" s="3">
        <v>11.92</v>
      </c>
      <c r="N1315" s="3" t="s">
        <v>8</v>
      </c>
      <c r="O1315" s="3" t="s">
        <v>8</v>
      </c>
    </row>
    <row r="1316" spans="1:15" x14ac:dyDescent="0.35">
      <c r="A1316" s="5" t="str">
        <f>Loads[[#This Row],[Date]]&amp;Loads[[#This Row],[Product]]</f>
        <v>44243Product2</v>
      </c>
      <c r="B1316" s="5">
        <f>COUNTIF($A$1:A1316,Loads[[#This Row],[Load]])</f>
        <v>2</v>
      </c>
      <c r="C1316" s="3" t="str">
        <f>Loads[[#This Row],[Load]]&amp;Loads[[#This Row],[Count]]</f>
        <v>44243Product22</v>
      </c>
      <c r="D1316" s="90">
        <v>44243</v>
      </c>
      <c r="E1316" s="143">
        <v>0.25277777777777777</v>
      </c>
      <c r="F1316" s="1" t="s">
        <v>9</v>
      </c>
      <c r="G1316" s="2" t="s">
        <v>13</v>
      </c>
      <c r="H1316" s="2" t="s">
        <v>42</v>
      </c>
      <c r="I1316" s="1" t="s">
        <v>11</v>
      </c>
      <c r="J1316" s="1" t="s">
        <v>8</v>
      </c>
      <c r="K1316" s="89">
        <v>12440</v>
      </c>
      <c r="L1316" s="3">
        <v>56.6</v>
      </c>
      <c r="M1316" s="3">
        <v>11.47</v>
      </c>
      <c r="N1316" s="3" t="s">
        <v>8</v>
      </c>
      <c r="O1316" s="3" t="s">
        <v>8</v>
      </c>
    </row>
    <row r="1317" spans="1:15" x14ac:dyDescent="0.35">
      <c r="A1317" s="5" t="str">
        <f>Loads[[#This Row],[Date]]&amp;Loads[[#This Row],[Product]]</f>
        <v>44243Product2</v>
      </c>
      <c r="B1317" s="5">
        <f>COUNTIF($A$1:A1317,Loads[[#This Row],[Load]])</f>
        <v>3</v>
      </c>
      <c r="C1317" s="3" t="str">
        <f>Loads[[#This Row],[Load]]&amp;Loads[[#This Row],[Count]]</f>
        <v>44243Product23</v>
      </c>
      <c r="D1317" s="90">
        <v>44243</v>
      </c>
      <c r="E1317" s="143">
        <v>0.25277777777777777</v>
      </c>
      <c r="F1317" s="1" t="s">
        <v>9</v>
      </c>
      <c r="G1317" s="2" t="s">
        <v>13</v>
      </c>
      <c r="H1317" s="2" t="s">
        <v>42</v>
      </c>
      <c r="I1317" s="1" t="s">
        <v>11</v>
      </c>
      <c r="J1317" s="1" t="s">
        <v>8</v>
      </c>
      <c r="K1317" s="89">
        <v>11880</v>
      </c>
      <c r="L1317" s="3">
        <v>60.56</v>
      </c>
      <c r="M1317" s="3">
        <v>10.1</v>
      </c>
      <c r="N1317" s="3" t="s">
        <v>8</v>
      </c>
      <c r="O1317" s="3" t="s">
        <v>8</v>
      </c>
    </row>
    <row r="1318" spans="1:15" x14ac:dyDescent="0.35">
      <c r="A1318" s="5" t="str">
        <f>Loads[[#This Row],[Date]]&amp;Loads[[#This Row],[Product]]</f>
        <v>44243Product2</v>
      </c>
      <c r="B1318" s="5">
        <f>COUNTIF($A$1:A1318,Loads[[#This Row],[Load]])</f>
        <v>4</v>
      </c>
      <c r="C1318" s="3" t="str">
        <f>Loads[[#This Row],[Load]]&amp;Loads[[#This Row],[Count]]</f>
        <v>44243Product24</v>
      </c>
      <c r="D1318" s="90">
        <v>44243</v>
      </c>
      <c r="E1318" s="143">
        <v>0.25347222222222221</v>
      </c>
      <c r="F1318" s="1" t="s">
        <v>9</v>
      </c>
      <c r="G1318" s="2" t="s">
        <v>13</v>
      </c>
      <c r="H1318" s="2" t="s">
        <v>42</v>
      </c>
      <c r="I1318" s="1" t="s">
        <v>11</v>
      </c>
      <c r="J1318" s="1" t="s">
        <v>8</v>
      </c>
      <c r="K1318" s="89">
        <v>11940</v>
      </c>
      <c r="L1318" s="3">
        <v>62.5</v>
      </c>
      <c r="M1318" s="3">
        <v>9.7899999999999991</v>
      </c>
      <c r="N1318" s="3" t="s">
        <v>8</v>
      </c>
      <c r="O1318" s="3" t="s">
        <v>8</v>
      </c>
    </row>
    <row r="1319" spans="1:15" x14ac:dyDescent="0.35">
      <c r="A1319" s="5" t="str">
        <f>Loads[[#This Row],[Date]]&amp;Loads[[#This Row],[Product]]</f>
        <v>44243Product2</v>
      </c>
      <c r="B1319" s="5">
        <f>COUNTIF($A$1:A1319,Loads[[#This Row],[Load]])</f>
        <v>5</v>
      </c>
      <c r="C1319" s="3" t="str">
        <f>Loads[[#This Row],[Load]]&amp;Loads[[#This Row],[Count]]</f>
        <v>44243Product25</v>
      </c>
      <c r="D1319" s="90">
        <v>44243</v>
      </c>
      <c r="E1319" s="143">
        <v>0.25416666666666665</v>
      </c>
      <c r="F1319" s="1" t="s">
        <v>9</v>
      </c>
      <c r="G1319" s="2" t="s">
        <v>13</v>
      </c>
      <c r="H1319" s="2" t="s">
        <v>42</v>
      </c>
      <c r="I1319" s="1" t="s">
        <v>11</v>
      </c>
      <c r="J1319" s="1" t="s">
        <v>8</v>
      </c>
      <c r="K1319" s="89">
        <v>16280</v>
      </c>
      <c r="L1319" s="3">
        <v>58.37</v>
      </c>
      <c r="M1319" s="3">
        <v>10.11</v>
      </c>
      <c r="N1319" s="3" t="s">
        <v>8</v>
      </c>
      <c r="O1319" s="3" t="s">
        <v>8</v>
      </c>
    </row>
    <row r="1320" spans="1:15" x14ac:dyDescent="0.35">
      <c r="A1320" s="5" t="str">
        <f>Loads[[#This Row],[Date]]&amp;Loads[[#This Row],[Product]]</f>
        <v>44243Product2</v>
      </c>
      <c r="B1320" s="5">
        <f>COUNTIF($A$1:A1320,Loads[[#This Row],[Load]])</f>
        <v>6</v>
      </c>
      <c r="C1320" s="3" t="str">
        <f>Loads[[#This Row],[Load]]&amp;Loads[[#This Row],[Count]]</f>
        <v>44243Product26</v>
      </c>
      <c r="D1320" s="90">
        <v>44243</v>
      </c>
      <c r="E1320" s="143">
        <v>0.25416666666666665</v>
      </c>
      <c r="F1320" s="1" t="s">
        <v>9</v>
      </c>
      <c r="G1320" s="2" t="s">
        <v>13</v>
      </c>
      <c r="H1320" s="2" t="s">
        <v>42</v>
      </c>
      <c r="I1320" s="1" t="s">
        <v>11</v>
      </c>
      <c r="J1320" s="1" t="s">
        <v>8</v>
      </c>
      <c r="K1320" s="89">
        <v>12200</v>
      </c>
      <c r="L1320" s="3">
        <v>59.73</v>
      </c>
      <c r="M1320" s="3">
        <v>10.49</v>
      </c>
      <c r="N1320" s="3" t="s">
        <v>8</v>
      </c>
      <c r="O1320" s="3" t="s">
        <v>8</v>
      </c>
    </row>
    <row r="1321" spans="1:15" x14ac:dyDescent="0.35">
      <c r="A1321" s="5" t="str">
        <f>Loads[[#This Row],[Date]]&amp;Loads[[#This Row],[Product]]</f>
        <v>44243Product2</v>
      </c>
      <c r="B1321" s="5">
        <f>COUNTIF($A$1:A1321,Loads[[#This Row],[Load]])</f>
        <v>7</v>
      </c>
      <c r="C1321" s="3" t="str">
        <f>Loads[[#This Row],[Load]]&amp;Loads[[#This Row],[Count]]</f>
        <v>44243Product27</v>
      </c>
      <c r="D1321" s="90">
        <v>44243</v>
      </c>
      <c r="E1321" s="143">
        <v>0.25486111111111109</v>
      </c>
      <c r="F1321" s="1" t="s">
        <v>9</v>
      </c>
      <c r="G1321" s="2" t="s">
        <v>13</v>
      </c>
      <c r="H1321" s="2" t="s">
        <v>42</v>
      </c>
      <c r="I1321" s="1" t="s">
        <v>11</v>
      </c>
      <c r="J1321" s="1" t="s">
        <v>8</v>
      </c>
      <c r="K1321" s="89">
        <v>12040</v>
      </c>
      <c r="L1321" s="3">
        <v>60.39</v>
      </c>
      <c r="M1321" s="3">
        <v>10.07</v>
      </c>
      <c r="N1321" s="3" t="s">
        <v>8</v>
      </c>
      <c r="O1321" s="3" t="s">
        <v>8</v>
      </c>
    </row>
    <row r="1322" spans="1:15" x14ac:dyDescent="0.35">
      <c r="A1322" s="5" t="str">
        <f>Loads[[#This Row],[Date]]&amp;Loads[[#This Row],[Product]]</f>
        <v>44243Product2</v>
      </c>
      <c r="B1322" s="5">
        <f>COUNTIF($A$1:A1322,Loads[[#This Row],[Load]])</f>
        <v>8</v>
      </c>
      <c r="C1322" s="3" t="str">
        <f>Loads[[#This Row],[Load]]&amp;Loads[[#This Row],[Count]]</f>
        <v>44243Product28</v>
      </c>
      <c r="D1322" s="90">
        <v>44243</v>
      </c>
      <c r="E1322" s="143">
        <v>0.25555555555555559</v>
      </c>
      <c r="F1322" s="1" t="s">
        <v>9</v>
      </c>
      <c r="G1322" s="2" t="s">
        <v>13</v>
      </c>
      <c r="H1322" s="2" t="s">
        <v>42</v>
      </c>
      <c r="I1322" s="1" t="s">
        <v>11</v>
      </c>
      <c r="J1322" s="1" t="s">
        <v>8</v>
      </c>
      <c r="K1322" s="89">
        <v>12180</v>
      </c>
      <c r="L1322" s="3">
        <v>61.72</v>
      </c>
      <c r="M1322" s="3">
        <v>10.5</v>
      </c>
      <c r="N1322" s="3" t="s">
        <v>8</v>
      </c>
      <c r="O1322" s="3" t="s">
        <v>8</v>
      </c>
    </row>
    <row r="1323" spans="1:15" x14ac:dyDescent="0.35">
      <c r="A1323" s="5" t="str">
        <f>Loads[[#This Row],[Date]]&amp;Loads[[#This Row],[Product]]</f>
        <v>44243Product2</v>
      </c>
      <c r="B1323" s="5">
        <f>COUNTIF($A$1:A1323,Loads[[#This Row],[Load]])</f>
        <v>9</v>
      </c>
      <c r="C1323" s="3" t="str">
        <f>Loads[[#This Row],[Load]]&amp;Loads[[#This Row],[Count]]</f>
        <v>44243Product29</v>
      </c>
      <c r="D1323" s="90">
        <v>44243</v>
      </c>
      <c r="E1323" s="143">
        <v>0.25555555555555559</v>
      </c>
      <c r="F1323" s="1" t="s">
        <v>9</v>
      </c>
      <c r="G1323" s="2" t="s">
        <v>13</v>
      </c>
      <c r="H1323" s="2" t="s">
        <v>42</v>
      </c>
      <c r="I1323" s="1" t="s">
        <v>11</v>
      </c>
      <c r="J1323" s="1" t="s">
        <v>8</v>
      </c>
      <c r="K1323" s="89">
        <v>16880</v>
      </c>
      <c r="L1323" s="3">
        <v>57.61</v>
      </c>
      <c r="M1323" s="3">
        <v>10.31</v>
      </c>
      <c r="N1323" s="3" t="s">
        <v>8</v>
      </c>
      <c r="O1323" s="3" t="s">
        <v>8</v>
      </c>
    </row>
    <row r="1324" spans="1:15" x14ac:dyDescent="0.35">
      <c r="A1324" s="5" t="str">
        <f>Loads[[#This Row],[Date]]&amp;Loads[[#This Row],[Product]]</f>
        <v>44243Product2</v>
      </c>
      <c r="B1324" s="5">
        <f>COUNTIF($A$1:A1324,Loads[[#This Row],[Load]])</f>
        <v>10</v>
      </c>
      <c r="C1324" s="3" t="str">
        <f>Loads[[#This Row],[Load]]&amp;Loads[[#This Row],[Count]]</f>
        <v>44243Product210</v>
      </c>
      <c r="D1324" s="90">
        <v>44243</v>
      </c>
      <c r="E1324" s="143">
        <v>0.25625000000000003</v>
      </c>
      <c r="F1324" s="1" t="s">
        <v>9</v>
      </c>
      <c r="G1324" s="2" t="s">
        <v>13</v>
      </c>
      <c r="H1324" s="2" t="s">
        <v>42</v>
      </c>
      <c r="I1324" s="1" t="s">
        <v>11</v>
      </c>
      <c r="J1324" s="1" t="s">
        <v>8</v>
      </c>
      <c r="K1324" s="89">
        <v>12840</v>
      </c>
      <c r="L1324" s="3">
        <v>60.54</v>
      </c>
      <c r="M1324" s="3">
        <v>10.07</v>
      </c>
      <c r="N1324" s="3" t="s">
        <v>8</v>
      </c>
      <c r="O1324" s="3" t="s">
        <v>8</v>
      </c>
    </row>
    <row r="1325" spans="1:15" x14ac:dyDescent="0.35">
      <c r="A1325" s="5" t="str">
        <f>Loads[[#This Row],[Date]]&amp;Loads[[#This Row],[Product]]</f>
        <v>44244Product1</v>
      </c>
      <c r="B1325" s="5">
        <f>COUNTIF($A$1:A1325,Loads[[#This Row],[Load]])</f>
        <v>1</v>
      </c>
      <c r="C1325" s="3" t="str">
        <f>Loads[[#This Row],[Load]]&amp;Loads[[#This Row],[Count]]</f>
        <v>44244Product11</v>
      </c>
      <c r="D1325" s="90">
        <v>44244</v>
      </c>
      <c r="E1325" s="143">
        <v>7.4999999999999997E-2</v>
      </c>
      <c r="F1325" s="1" t="s">
        <v>9</v>
      </c>
      <c r="G1325" s="2" t="s">
        <v>12</v>
      </c>
      <c r="H1325" s="2" t="s">
        <v>42</v>
      </c>
      <c r="I1325" s="1" t="s">
        <v>11</v>
      </c>
      <c r="J1325" s="1" t="s">
        <v>8</v>
      </c>
      <c r="K1325" s="89">
        <v>19500</v>
      </c>
      <c r="L1325" s="3">
        <v>9.57</v>
      </c>
      <c r="M1325" s="3">
        <v>20.95</v>
      </c>
      <c r="N1325" s="3" t="s">
        <v>8</v>
      </c>
      <c r="O1325" s="3" t="s">
        <v>8</v>
      </c>
    </row>
    <row r="1326" spans="1:15" x14ac:dyDescent="0.35">
      <c r="A1326" s="5" t="str">
        <f>Loads[[#This Row],[Date]]&amp;Loads[[#This Row],[Product]]</f>
        <v>44244Product1</v>
      </c>
      <c r="B1326" s="5">
        <f>COUNTIF($A$1:A1326,Loads[[#This Row],[Load]])</f>
        <v>2</v>
      </c>
      <c r="C1326" s="3" t="str">
        <f>Loads[[#This Row],[Load]]&amp;Loads[[#This Row],[Count]]</f>
        <v>44244Product12</v>
      </c>
      <c r="D1326" s="90">
        <v>44244</v>
      </c>
      <c r="E1326" s="143">
        <v>7.5694444444444439E-2</v>
      </c>
      <c r="F1326" s="1" t="s">
        <v>9</v>
      </c>
      <c r="G1326" s="2" t="s">
        <v>12</v>
      </c>
      <c r="H1326" s="2" t="s">
        <v>42</v>
      </c>
      <c r="I1326" s="1" t="s">
        <v>10</v>
      </c>
      <c r="J1326" s="1">
        <v>793</v>
      </c>
      <c r="K1326" s="89">
        <v>31440</v>
      </c>
      <c r="L1326" s="3">
        <v>8.17</v>
      </c>
      <c r="M1326" s="3">
        <v>20.46</v>
      </c>
      <c r="N1326" s="3" t="s">
        <v>8</v>
      </c>
      <c r="O1326" s="3" t="s">
        <v>8</v>
      </c>
    </row>
    <row r="1327" spans="1:15" x14ac:dyDescent="0.35">
      <c r="A1327" s="5" t="str">
        <f>Loads[[#This Row],[Date]]&amp;Loads[[#This Row],[Product]]</f>
        <v>44244Product1</v>
      </c>
      <c r="B1327" s="5">
        <f>COUNTIF($A$1:A1327,Loads[[#This Row],[Load]])</f>
        <v>3</v>
      </c>
      <c r="C1327" s="3" t="str">
        <f>Loads[[#This Row],[Load]]&amp;Loads[[#This Row],[Count]]</f>
        <v>44244Product13</v>
      </c>
      <c r="D1327" s="90">
        <v>44244</v>
      </c>
      <c r="E1327" s="143">
        <v>7.6388888888888895E-2</v>
      </c>
      <c r="F1327" s="1" t="s">
        <v>9</v>
      </c>
      <c r="G1327" s="2" t="s">
        <v>12</v>
      </c>
      <c r="H1327" s="2" t="s">
        <v>42</v>
      </c>
      <c r="I1327" s="1" t="s">
        <v>11</v>
      </c>
      <c r="J1327" s="1" t="s">
        <v>8</v>
      </c>
      <c r="K1327" s="89">
        <v>27700</v>
      </c>
      <c r="L1327" s="3">
        <v>9.67</v>
      </c>
      <c r="M1327" s="3">
        <v>22.15</v>
      </c>
      <c r="N1327" s="3" t="s">
        <v>8</v>
      </c>
      <c r="O1327" s="3" t="s">
        <v>8</v>
      </c>
    </row>
    <row r="1328" spans="1:15" x14ac:dyDescent="0.35">
      <c r="A1328" s="5" t="str">
        <f>Loads[[#This Row],[Date]]&amp;Loads[[#This Row],[Product]]</f>
        <v>44244Product1</v>
      </c>
      <c r="B1328" s="5">
        <f>COUNTIF($A$1:A1328,Loads[[#This Row],[Load]])</f>
        <v>4</v>
      </c>
      <c r="C1328" s="3" t="str">
        <f>Loads[[#This Row],[Load]]&amp;Loads[[#This Row],[Count]]</f>
        <v>44244Product14</v>
      </c>
      <c r="D1328" s="90">
        <v>44244</v>
      </c>
      <c r="E1328" s="143">
        <v>7.6388888888888895E-2</v>
      </c>
      <c r="F1328" s="1" t="s">
        <v>9</v>
      </c>
      <c r="G1328" s="2" t="s">
        <v>12</v>
      </c>
      <c r="H1328" s="2" t="s">
        <v>42</v>
      </c>
      <c r="I1328" s="1" t="s">
        <v>11</v>
      </c>
      <c r="J1328" s="1" t="s">
        <v>8</v>
      </c>
      <c r="K1328" s="89">
        <v>32140</v>
      </c>
      <c r="L1328" s="3">
        <v>10.18</v>
      </c>
      <c r="M1328" s="3">
        <v>22.04</v>
      </c>
      <c r="N1328" s="3" t="s">
        <v>8</v>
      </c>
      <c r="O1328" s="3" t="s">
        <v>8</v>
      </c>
    </row>
    <row r="1329" spans="1:15" x14ac:dyDescent="0.35">
      <c r="A1329" s="5" t="str">
        <f>Loads[[#This Row],[Date]]&amp;Loads[[#This Row],[Product]]</f>
        <v>44244Product1</v>
      </c>
      <c r="B1329" s="5">
        <f>COUNTIF($A$1:A1329,Loads[[#This Row],[Load]])</f>
        <v>5</v>
      </c>
      <c r="C1329" s="3" t="str">
        <f>Loads[[#This Row],[Load]]&amp;Loads[[#This Row],[Count]]</f>
        <v>44244Product15</v>
      </c>
      <c r="D1329" s="90">
        <v>44244</v>
      </c>
      <c r="E1329" s="143">
        <v>7.7083333333333337E-2</v>
      </c>
      <c r="F1329" s="1" t="s">
        <v>9</v>
      </c>
      <c r="G1329" s="2" t="s">
        <v>12</v>
      </c>
      <c r="H1329" s="2" t="s">
        <v>42</v>
      </c>
      <c r="I1329" s="1" t="s">
        <v>11</v>
      </c>
      <c r="J1329" s="1" t="s">
        <v>8</v>
      </c>
      <c r="K1329" s="89">
        <v>20720</v>
      </c>
      <c r="L1329" s="3">
        <v>9.25</v>
      </c>
      <c r="M1329" s="3">
        <v>20.54</v>
      </c>
      <c r="N1329" s="3" t="s">
        <v>8</v>
      </c>
      <c r="O1329" s="3" t="s">
        <v>8</v>
      </c>
    </row>
    <row r="1330" spans="1:15" x14ac:dyDescent="0.35">
      <c r="A1330" s="5" t="str">
        <f>Loads[[#This Row],[Date]]&amp;Loads[[#This Row],[Product]]</f>
        <v>44244Product1</v>
      </c>
      <c r="B1330" s="5">
        <f>COUNTIF($A$1:A1330,Loads[[#This Row],[Load]])</f>
        <v>6</v>
      </c>
      <c r="C1330" s="3" t="str">
        <f>Loads[[#This Row],[Load]]&amp;Loads[[#This Row],[Count]]</f>
        <v>44244Product16</v>
      </c>
      <c r="D1330" s="90">
        <v>44244</v>
      </c>
      <c r="E1330" s="143">
        <v>7.7777777777777779E-2</v>
      </c>
      <c r="F1330" s="1" t="s">
        <v>9</v>
      </c>
      <c r="G1330" s="2" t="s">
        <v>12</v>
      </c>
      <c r="H1330" s="2" t="s">
        <v>42</v>
      </c>
      <c r="I1330" s="1" t="s">
        <v>11</v>
      </c>
      <c r="J1330" s="1" t="s">
        <v>8</v>
      </c>
      <c r="K1330" s="89">
        <v>27920</v>
      </c>
      <c r="L1330" s="3">
        <v>9.86</v>
      </c>
      <c r="M1330" s="3">
        <v>20.86</v>
      </c>
      <c r="N1330" s="3" t="s">
        <v>8</v>
      </c>
      <c r="O1330" s="3" t="s">
        <v>8</v>
      </c>
    </row>
    <row r="1331" spans="1:15" x14ac:dyDescent="0.35">
      <c r="A1331" s="5" t="str">
        <f>Loads[[#This Row],[Date]]&amp;Loads[[#This Row],[Product]]</f>
        <v>44244Product1</v>
      </c>
      <c r="B1331" s="5">
        <f>COUNTIF($A$1:A1331,Loads[[#This Row],[Load]])</f>
        <v>7</v>
      </c>
      <c r="C1331" s="3" t="str">
        <f>Loads[[#This Row],[Load]]&amp;Loads[[#This Row],[Count]]</f>
        <v>44244Product17</v>
      </c>
      <c r="D1331" s="90">
        <v>44244</v>
      </c>
      <c r="E1331" s="143">
        <v>7.7777777777777779E-2</v>
      </c>
      <c r="F1331" s="1" t="s">
        <v>9</v>
      </c>
      <c r="G1331" s="2" t="s">
        <v>12</v>
      </c>
      <c r="H1331" s="2" t="s">
        <v>42</v>
      </c>
      <c r="I1331" s="1" t="s">
        <v>11</v>
      </c>
      <c r="J1331" s="1" t="s">
        <v>8</v>
      </c>
      <c r="K1331" s="89">
        <v>28320</v>
      </c>
      <c r="L1331" s="3">
        <v>9.57</v>
      </c>
      <c r="M1331" s="3">
        <v>21.75</v>
      </c>
      <c r="N1331" s="3" t="s">
        <v>8</v>
      </c>
      <c r="O1331" s="3" t="s">
        <v>8</v>
      </c>
    </row>
    <row r="1332" spans="1:15" x14ac:dyDescent="0.35">
      <c r="A1332" s="5" t="str">
        <f>Loads[[#This Row],[Date]]&amp;Loads[[#This Row],[Product]]</f>
        <v>44244Product1</v>
      </c>
      <c r="B1332" s="5">
        <f>COUNTIF($A$1:A1332,Loads[[#This Row],[Load]])</f>
        <v>8</v>
      </c>
      <c r="C1332" s="3" t="str">
        <f>Loads[[#This Row],[Load]]&amp;Loads[[#This Row],[Count]]</f>
        <v>44244Product18</v>
      </c>
      <c r="D1332" s="90">
        <v>44244</v>
      </c>
      <c r="E1332" s="143">
        <v>7.9166666666666663E-2</v>
      </c>
      <c r="F1332" s="1" t="s">
        <v>9</v>
      </c>
      <c r="G1332" s="2" t="s">
        <v>12</v>
      </c>
      <c r="H1332" s="2" t="s">
        <v>42</v>
      </c>
      <c r="I1332" s="1" t="s">
        <v>11</v>
      </c>
      <c r="J1332" s="1" t="s">
        <v>8</v>
      </c>
      <c r="K1332" s="89">
        <v>24400</v>
      </c>
      <c r="L1332" s="3">
        <v>10.28</v>
      </c>
      <c r="M1332" s="3">
        <v>21.19</v>
      </c>
      <c r="N1332" s="3" t="s">
        <v>8</v>
      </c>
      <c r="O1332" s="3" t="s">
        <v>8</v>
      </c>
    </row>
    <row r="1333" spans="1:15" x14ac:dyDescent="0.35">
      <c r="A1333" s="5" t="str">
        <f>Loads[[#This Row],[Date]]&amp;Loads[[#This Row],[Product]]</f>
        <v>44244Product1</v>
      </c>
      <c r="B1333" s="5">
        <f>COUNTIF($A$1:A1333,Loads[[#This Row],[Load]])</f>
        <v>9</v>
      </c>
      <c r="C1333" s="3" t="str">
        <f>Loads[[#This Row],[Load]]&amp;Loads[[#This Row],[Count]]</f>
        <v>44244Product19</v>
      </c>
      <c r="D1333" s="90">
        <v>44244</v>
      </c>
      <c r="E1333" s="143">
        <v>7.9861111111111105E-2</v>
      </c>
      <c r="F1333" s="1" t="s">
        <v>9</v>
      </c>
      <c r="G1333" s="2" t="s">
        <v>12</v>
      </c>
      <c r="H1333" s="2" t="s">
        <v>42</v>
      </c>
      <c r="I1333" s="1" t="s">
        <v>11</v>
      </c>
      <c r="J1333" s="1" t="s">
        <v>8</v>
      </c>
      <c r="K1333" s="89">
        <v>24940</v>
      </c>
      <c r="L1333" s="3">
        <v>9.9600000000000009</v>
      </c>
      <c r="M1333" s="3">
        <v>20.88</v>
      </c>
      <c r="N1333" s="3" t="s">
        <v>8</v>
      </c>
      <c r="O1333" s="3" t="s">
        <v>8</v>
      </c>
    </row>
    <row r="1334" spans="1:15" x14ac:dyDescent="0.35">
      <c r="A1334" s="5" t="str">
        <f>Loads[[#This Row],[Date]]&amp;Loads[[#This Row],[Product]]</f>
        <v>44244Product1</v>
      </c>
      <c r="B1334" s="5">
        <f>COUNTIF($A$1:A1334,Loads[[#This Row],[Load]])</f>
        <v>10</v>
      </c>
      <c r="C1334" s="3" t="str">
        <f>Loads[[#This Row],[Load]]&amp;Loads[[#This Row],[Count]]</f>
        <v>44244Product110</v>
      </c>
      <c r="D1334" s="90">
        <v>44244</v>
      </c>
      <c r="E1334" s="143">
        <v>7.9861111111111105E-2</v>
      </c>
      <c r="F1334" s="1" t="s">
        <v>9</v>
      </c>
      <c r="G1334" s="2" t="s">
        <v>12</v>
      </c>
      <c r="H1334" s="2" t="s">
        <v>42</v>
      </c>
      <c r="I1334" s="1" t="s">
        <v>11</v>
      </c>
      <c r="J1334" s="1" t="s">
        <v>8</v>
      </c>
      <c r="K1334" s="89">
        <v>19660</v>
      </c>
      <c r="L1334" s="3">
        <v>8.77</v>
      </c>
      <c r="M1334" s="3">
        <v>21.46</v>
      </c>
      <c r="N1334" s="3" t="s">
        <v>8</v>
      </c>
      <c r="O1334" s="3" t="s">
        <v>8</v>
      </c>
    </row>
    <row r="1335" spans="1:15" x14ac:dyDescent="0.35">
      <c r="A1335" s="5" t="str">
        <f>Loads[[#This Row],[Date]]&amp;Loads[[#This Row],[Product]]</f>
        <v>44244Product1</v>
      </c>
      <c r="B1335" s="5">
        <f>COUNTIF($A$1:A1335,Loads[[#This Row],[Load]])</f>
        <v>11</v>
      </c>
      <c r="C1335" s="3" t="str">
        <f>Loads[[#This Row],[Load]]&amp;Loads[[#This Row],[Count]]</f>
        <v>44244Product111</v>
      </c>
      <c r="D1335" s="90">
        <v>44244</v>
      </c>
      <c r="E1335" s="143">
        <v>8.0555555555555561E-2</v>
      </c>
      <c r="F1335" s="1" t="s">
        <v>9</v>
      </c>
      <c r="G1335" s="2" t="s">
        <v>12</v>
      </c>
      <c r="H1335" s="2" t="s">
        <v>42</v>
      </c>
      <c r="I1335" s="1" t="s">
        <v>11</v>
      </c>
      <c r="J1335" s="1" t="s">
        <v>8</v>
      </c>
      <c r="K1335" s="89">
        <v>18760</v>
      </c>
      <c r="L1335" s="3">
        <v>7.84</v>
      </c>
      <c r="M1335" s="3">
        <v>22.31</v>
      </c>
      <c r="N1335" s="3" t="s">
        <v>8</v>
      </c>
      <c r="O1335" s="3" t="s">
        <v>8</v>
      </c>
    </row>
    <row r="1336" spans="1:15" x14ac:dyDescent="0.35">
      <c r="A1336" s="5" t="str">
        <f>Loads[[#This Row],[Date]]&amp;Loads[[#This Row],[Product]]</f>
        <v>44244Product1</v>
      </c>
      <c r="B1336" s="5">
        <f>COUNTIF($A$1:A1336,Loads[[#This Row],[Load]])</f>
        <v>12</v>
      </c>
      <c r="C1336" s="3" t="str">
        <f>Loads[[#This Row],[Load]]&amp;Loads[[#This Row],[Count]]</f>
        <v>44244Product112</v>
      </c>
      <c r="D1336" s="90">
        <v>44244</v>
      </c>
      <c r="E1336" s="143">
        <v>8.1250000000000003E-2</v>
      </c>
      <c r="F1336" s="1" t="s">
        <v>9</v>
      </c>
      <c r="G1336" s="2" t="s">
        <v>12</v>
      </c>
      <c r="H1336" s="2" t="s">
        <v>42</v>
      </c>
      <c r="I1336" s="1" t="s">
        <v>10</v>
      </c>
      <c r="J1336" s="1">
        <v>762</v>
      </c>
      <c r="K1336" s="89">
        <v>30440</v>
      </c>
      <c r="L1336" s="3">
        <v>8.9700000000000006</v>
      </c>
      <c r="M1336" s="3">
        <v>21.33</v>
      </c>
      <c r="N1336" s="3" t="s">
        <v>8</v>
      </c>
      <c r="O1336" s="3" t="s">
        <v>8</v>
      </c>
    </row>
    <row r="1337" spans="1:15" x14ac:dyDescent="0.35">
      <c r="A1337" s="5" t="str">
        <f>Loads[[#This Row],[Date]]&amp;Loads[[#This Row],[Product]]</f>
        <v>44244Product4</v>
      </c>
      <c r="B1337" s="5">
        <f>COUNTIF($A$1:A1337,Loads[[#This Row],[Load]])</f>
        <v>1</v>
      </c>
      <c r="C1337" s="3" t="str">
        <f>Loads[[#This Row],[Load]]&amp;Loads[[#This Row],[Count]]</f>
        <v>44244Product41</v>
      </c>
      <c r="D1337" s="90">
        <v>44244</v>
      </c>
      <c r="E1337" s="143">
        <v>8.1250000000000003E-2</v>
      </c>
      <c r="F1337" s="1" t="s">
        <v>9</v>
      </c>
      <c r="G1337" s="2" t="s">
        <v>15</v>
      </c>
      <c r="H1337" s="2" t="s">
        <v>42</v>
      </c>
      <c r="I1337" s="1" t="s">
        <v>11</v>
      </c>
      <c r="J1337" s="1" t="s">
        <v>8</v>
      </c>
      <c r="K1337" s="89">
        <v>30500</v>
      </c>
      <c r="L1337" s="3">
        <v>9.56</v>
      </c>
      <c r="M1337" s="3">
        <v>62.07</v>
      </c>
      <c r="N1337" s="3" t="s">
        <v>8</v>
      </c>
      <c r="O1337" s="3" t="s">
        <v>8</v>
      </c>
    </row>
    <row r="1338" spans="1:15" x14ac:dyDescent="0.35">
      <c r="A1338" s="5" t="str">
        <f>Loads[[#This Row],[Date]]&amp;Loads[[#This Row],[Product]]</f>
        <v>44244Product4</v>
      </c>
      <c r="B1338" s="5">
        <f>COUNTIF($A$1:A1338,Loads[[#This Row],[Load]])</f>
        <v>2</v>
      </c>
      <c r="C1338" s="3" t="str">
        <f>Loads[[#This Row],[Load]]&amp;Loads[[#This Row],[Count]]</f>
        <v>44244Product42</v>
      </c>
      <c r="D1338" s="90">
        <v>44244</v>
      </c>
      <c r="E1338" s="143">
        <v>8.1944444444444445E-2</v>
      </c>
      <c r="F1338" s="1" t="s">
        <v>9</v>
      </c>
      <c r="G1338" s="2" t="s">
        <v>15</v>
      </c>
      <c r="H1338" s="2" t="s">
        <v>42</v>
      </c>
      <c r="I1338" s="1" t="s">
        <v>0</v>
      </c>
      <c r="J1338" s="1">
        <v>22</v>
      </c>
      <c r="K1338" s="89">
        <v>26680</v>
      </c>
      <c r="L1338" s="3">
        <v>9.3000000000000007</v>
      </c>
      <c r="M1338" s="3">
        <v>61.98</v>
      </c>
      <c r="N1338" s="3" t="s">
        <v>8</v>
      </c>
      <c r="O1338" s="3" t="s">
        <v>8</v>
      </c>
    </row>
    <row r="1339" spans="1:15" x14ac:dyDescent="0.35">
      <c r="A1339" s="5" t="str">
        <f>Loads[[#This Row],[Date]]&amp;Loads[[#This Row],[Product]]</f>
        <v>44244Product4</v>
      </c>
      <c r="B1339" s="5">
        <f>COUNTIF($A$1:A1339,Loads[[#This Row],[Load]])</f>
        <v>3</v>
      </c>
      <c r="C1339" s="3" t="str">
        <f>Loads[[#This Row],[Load]]&amp;Loads[[#This Row],[Count]]</f>
        <v>44244Product43</v>
      </c>
      <c r="D1339" s="90">
        <v>44244</v>
      </c>
      <c r="E1339" s="143">
        <v>8.2638888888888887E-2</v>
      </c>
      <c r="F1339" s="1" t="s">
        <v>9</v>
      </c>
      <c r="G1339" s="2" t="s">
        <v>15</v>
      </c>
      <c r="H1339" s="2" t="s">
        <v>42</v>
      </c>
      <c r="I1339" s="1" t="s">
        <v>11</v>
      </c>
      <c r="J1339" s="1" t="s">
        <v>8</v>
      </c>
      <c r="K1339" s="89">
        <v>31240</v>
      </c>
      <c r="L1339" s="3">
        <v>9.61</v>
      </c>
      <c r="M1339" s="3">
        <v>61.73</v>
      </c>
      <c r="N1339" s="3" t="s">
        <v>8</v>
      </c>
      <c r="O1339" s="3" t="s">
        <v>8</v>
      </c>
    </row>
    <row r="1340" spans="1:15" x14ac:dyDescent="0.35">
      <c r="A1340" s="5" t="str">
        <f>Loads[[#This Row],[Date]]&amp;Loads[[#This Row],[Product]]</f>
        <v>44244Product8</v>
      </c>
      <c r="B1340" s="5">
        <f>COUNTIF($A$1:A1340,Loads[[#This Row],[Load]])</f>
        <v>1</v>
      </c>
      <c r="C1340" s="3" t="str">
        <f>Loads[[#This Row],[Load]]&amp;Loads[[#This Row],[Count]]</f>
        <v>44244Product81</v>
      </c>
      <c r="D1340" s="90">
        <v>44244</v>
      </c>
      <c r="E1340" s="143">
        <v>8.2638888888888887E-2</v>
      </c>
      <c r="F1340" s="1" t="s">
        <v>9</v>
      </c>
      <c r="G1340" s="2" t="s">
        <v>19</v>
      </c>
      <c r="H1340" s="2" t="s">
        <v>42</v>
      </c>
      <c r="I1340" s="1" t="s">
        <v>11</v>
      </c>
      <c r="J1340" s="1" t="s">
        <v>8</v>
      </c>
      <c r="K1340" s="89">
        <v>9780</v>
      </c>
      <c r="L1340" s="3">
        <v>11.99</v>
      </c>
      <c r="M1340" s="3">
        <v>7.2</v>
      </c>
      <c r="N1340" s="3" t="s">
        <v>8</v>
      </c>
      <c r="O1340" s="3" t="s">
        <v>8</v>
      </c>
    </row>
    <row r="1341" spans="1:15" x14ac:dyDescent="0.35">
      <c r="A1341" s="5" t="str">
        <f>Loads[[#This Row],[Date]]&amp;Loads[[#This Row],[Product]]</f>
        <v>44244Product6</v>
      </c>
      <c r="B1341" s="5">
        <f>COUNTIF($A$1:A1341,Loads[[#This Row],[Load]])</f>
        <v>1</v>
      </c>
      <c r="C1341" s="3" t="str">
        <f>Loads[[#This Row],[Load]]&amp;Loads[[#This Row],[Count]]</f>
        <v>44244Product61</v>
      </c>
      <c r="D1341" s="90">
        <v>44244</v>
      </c>
      <c r="E1341" s="143">
        <v>8.3333333333333329E-2</v>
      </c>
      <c r="F1341" s="1" t="s">
        <v>9</v>
      </c>
      <c r="G1341" s="2" t="s">
        <v>17</v>
      </c>
      <c r="H1341" s="2" t="s">
        <v>42</v>
      </c>
      <c r="I1341" s="1" t="s">
        <v>11</v>
      </c>
      <c r="J1341" s="1" t="s">
        <v>8</v>
      </c>
      <c r="K1341" s="89">
        <v>35140</v>
      </c>
      <c r="L1341" s="3">
        <v>0.09</v>
      </c>
      <c r="M1341" s="3" t="s">
        <v>8</v>
      </c>
      <c r="N1341" s="3">
        <v>2.25</v>
      </c>
      <c r="O1341" s="3" t="s">
        <v>8</v>
      </c>
    </row>
    <row r="1342" spans="1:15" x14ac:dyDescent="0.35">
      <c r="A1342" s="5" t="str">
        <f>Loads[[#This Row],[Date]]&amp;Loads[[#This Row],[Product]]</f>
        <v>44244Product7</v>
      </c>
      <c r="B1342" s="5">
        <f>COUNTIF($A$1:A1342,Loads[[#This Row],[Load]])</f>
        <v>1</v>
      </c>
      <c r="C1342" s="3" t="str">
        <f>Loads[[#This Row],[Load]]&amp;Loads[[#This Row],[Count]]</f>
        <v>44244Product71</v>
      </c>
      <c r="D1342" s="90">
        <v>44244</v>
      </c>
      <c r="E1342" s="143">
        <v>8.4027777777777771E-2</v>
      </c>
      <c r="F1342" s="1" t="s">
        <v>9</v>
      </c>
      <c r="G1342" s="2" t="s">
        <v>18</v>
      </c>
      <c r="H1342" s="2" t="s">
        <v>42</v>
      </c>
      <c r="I1342" s="1" t="s">
        <v>11</v>
      </c>
      <c r="J1342" s="1" t="s">
        <v>8</v>
      </c>
      <c r="K1342" s="89">
        <v>26400</v>
      </c>
      <c r="L1342" s="3" t="s">
        <v>8</v>
      </c>
      <c r="M1342" s="3">
        <v>24</v>
      </c>
      <c r="N1342" s="3" t="s">
        <v>8</v>
      </c>
      <c r="O1342" s="3">
        <v>41.05</v>
      </c>
    </row>
    <row r="1343" spans="1:15" x14ac:dyDescent="0.35">
      <c r="A1343" s="5" t="str">
        <f>Loads[[#This Row],[Date]]&amp;Loads[[#This Row],[Product]]</f>
        <v>44244Product2</v>
      </c>
      <c r="B1343" s="5">
        <f>COUNTIF($A$1:A1343,Loads[[#This Row],[Load]])</f>
        <v>1</v>
      </c>
      <c r="C1343" s="3" t="str">
        <f>Loads[[#This Row],[Load]]&amp;Loads[[#This Row],[Count]]</f>
        <v>44244Product21</v>
      </c>
      <c r="D1343" s="90">
        <v>44244</v>
      </c>
      <c r="E1343" s="143">
        <v>9.375E-2</v>
      </c>
      <c r="F1343" s="1" t="s">
        <v>9</v>
      </c>
      <c r="G1343" s="2" t="s">
        <v>13</v>
      </c>
      <c r="H1343" s="2" t="s">
        <v>42</v>
      </c>
      <c r="I1343" s="1" t="s">
        <v>11</v>
      </c>
      <c r="J1343" s="1" t="s">
        <v>8</v>
      </c>
      <c r="K1343" s="89">
        <v>12760</v>
      </c>
      <c r="L1343" s="3">
        <v>59.83</v>
      </c>
      <c r="M1343" s="3">
        <v>10.39</v>
      </c>
      <c r="N1343" s="3" t="s">
        <v>8</v>
      </c>
      <c r="O1343" s="3" t="s">
        <v>8</v>
      </c>
    </row>
    <row r="1344" spans="1:15" x14ac:dyDescent="0.35">
      <c r="A1344" s="5" t="str">
        <f>Loads[[#This Row],[Date]]&amp;Loads[[#This Row],[Product]]</f>
        <v>44244Product2</v>
      </c>
      <c r="B1344" s="5">
        <f>COUNTIF($A$1:A1344,Loads[[#This Row],[Load]])</f>
        <v>2</v>
      </c>
      <c r="C1344" s="3" t="str">
        <f>Loads[[#This Row],[Load]]&amp;Loads[[#This Row],[Count]]</f>
        <v>44244Product22</v>
      </c>
      <c r="D1344" s="90">
        <v>44244</v>
      </c>
      <c r="E1344" s="143">
        <v>9.4444444444444442E-2</v>
      </c>
      <c r="F1344" s="1" t="s">
        <v>9</v>
      </c>
      <c r="G1344" s="2" t="s">
        <v>13</v>
      </c>
      <c r="H1344" s="2" t="s">
        <v>42</v>
      </c>
      <c r="I1344" s="1" t="s">
        <v>11</v>
      </c>
      <c r="J1344" s="1" t="s">
        <v>8</v>
      </c>
      <c r="K1344" s="89">
        <v>11720</v>
      </c>
      <c r="L1344" s="3">
        <v>61.29</v>
      </c>
      <c r="M1344" s="3">
        <v>8.65</v>
      </c>
      <c r="N1344" s="3" t="s">
        <v>8</v>
      </c>
      <c r="O1344" s="3" t="s">
        <v>8</v>
      </c>
    </row>
    <row r="1345" spans="1:15" x14ac:dyDescent="0.35">
      <c r="A1345" s="5" t="str">
        <f>Loads[[#This Row],[Date]]&amp;Loads[[#This Row],[Product]]</f>
        <v>44244Product2</v>
      </c>
      <c r="B1345" s="5">
        <f>COUNTIF($A$1:A1345,Loads[[#This Row],[Load]])</f>
        <v>3</v>
      </c>
      <c r="C1345" s="3" t="str">
        <f>Loads[[#This Row],[Load]]&amp;Loads[[#This Row],[Count]]</f>
        <v>44244Product23</v>
      </c>
      <c r="D1345" s="90">
        <v>44244</v>
      </c>
      <c r="E1345" s="143">
        <v>9.4444444444444442E-2</v>
      </c>
      <c r="F1345" s="1" t="s">
        <v>9</v>
      </c>
      <c r="G1345" s="2" t="s">
        <v>13</v>
      </c>
      <c r="H1345" s="2" t="s">
        <v>42</v>
      </c>
      <c r="I1345" s="1" t="s">
        <v>11</v>
      </c>
      <c r="J1345" s="1" t="s">
        <v>8</v>
      </c>
      <c r="K1345" s="89">
        <v>16840</v>
      </c>
      <c r="L1345" s="3">
        <v>60.5</v>
      </c>
      <c r="M1345" s="3">
        <v>9.9</v>
      </c>
      <c r="N1345" s="3" t="s">
        <v>8</v>
      </c>
      <c r="O1345" s="3" t="s">
        <v>8</v>
      </c>
    </row>
    <row r="1346" spans="1:15" x14ac:dyDescent="0.35">
      <c r="A1346" s="5" t="str">
        <f>Loads[[#This Row],[Date]]&amp;Loads[[#This Row],[Product]]</f>
        <v>44244Product3</v>
      </c>
      <c r="B1346" s="5">
        <f>COUNTIF($A$1:A1346,Loads[[#This Row],[Load]])</f>
        <v>1</v>
      </c>
      <c r="C1346" s="3" t="str">
        <f>Loads[[#This Row],[Load]]&amp;Loads[[#This Row],[Count]]</f>
        <v>44244Product31</v>
      </c>
      <c r="D1346" s="90">
        <v>44244</v>
      </c>
      <c r="E1346" s="143">
        <v>9.5138888888888884E-2</v>
      </c>
      <c r="F1346" s="1" t="s">
        <v>9</v>
      </c>
      <c r="G1346" s="2" t="s">
        <v>14</v>
      </c>
      <c r="H1346" s="2" t="s">
        <v>42</v>
      </c>
      <c r="I1346" s="1" t="s">
        <v>11</v>
      </c>
      <c r="J1346" s="1" t="s">
        <v>8</v>
      </c>
      <c r="K1346" s="89">
        <v>13080</v>
      </c>
      <c r="L1346" s="3">
        <v>62.15</v>
      </c>
      <c r="M1346" s="3">
        <v>8.58</v>
      </c>
      <c r="N1346" s="3" t="s">
        <v>8</v>
      </c>
      <c r="O1346" s="3" t="s">
        <v>8</v>
      </c>
    </row>
    <row r="1347" spans="1:15" x14ac:dyDescent="0.35">
      <c r="A1347" s="5" t="str">
        <f>Loads[[#This Row],[Date]]&amp;Loads[[#This Row],[Product]]</f>
        <v>44244Product2</v>
      </c>
      <c r="B1347" s="5">
        <f>COUNTIF($A$1:A1347,Loads[[#This Row],[Load]])</f>
        <v>4</v>
      </c>
      <c r="C1347" s="3" t="str">
        <f>Loads[[#This Row],[Load]]&amp;Loads[[#This Row],[Count]]</f>
        <v>44244Product24</v>
      </c>
      <c r="D1347" s="90">
        <v>44244</v>
      </c>
      <c r="E1347" s="143">
        <v>9.5833333333333326E-2</v>
      </c>
      <c r="F1347" s="1" t="s">
        <v>9</v>
      </c>
      <c r="G1347" s="2" t="s">
        <v>13</v>
      </c>
      <c r="H1347" s="2" t="s">
        <v>42</v>
      </c>
      <c r="I1347" s="1" t="s">
        <v>11</v>
      </c>
      <c r="J1347" s="1" t="s">
        <v>8</v>
      </c>
      <c r="K1347" s="89">
        <v>12640</v>
      </c>
      <c r="L1347" s="3">
        <v>64.430000000000007</v>
      </c>
      <c r="M1347" s="3">
        <v>9.74</v>
      </c>
      <c r="N1347" s="3" t="s">
        <v>8</v>
      </c>
      <c r="O1347" s="3" t="s">
        <v>8</v>
      </c>
    </row>
    <row r="1348" spans="1:15" x14ac:dyDescent="0.35">
      <c r="A1348" s="5" t="str">
        <f>Loads[[#This Row],[Date]]&amp;Loads[[#This Row],[Product]]</f>
        <v>44244Product2</v>
      </c>
      <c r="B1348" s="5">
        <f>COUNTIF($A$1:A1348,Loads[[#This Row],[Load]])</f>
        <v>5</v>
      </c>
      <c r="C1348" s="3" t="str">
        <f>Loads[[#This Row],[Load]]&amp;Loads[[#This Row],[Count]]</f>
        <v>44244Product25</v>
      </c>
      <c r="D1348" s="90">
        <v>44244</v>
      </c>
      <c r="E1348" s="143">
        <v>9.5833333333333326E-2</v>
      </c>
      <c r="F1348" s="1" t="s">
        <v>9</v>
      </c>
      <c r="G1348" s="2" t="s">
        <v>13</v>
      </c>
      <c r="H1348" s="2" t="s">
        <v>42</v>
      </c>
      <c r="I1348" s="1" t="s">
        <v>11</v>
      </c>
      <c r="J1348" s="1" t="s">
        <v>8</v>
      </c>
      <c r="K1348" s="89">
        <v>11060</v>
      </c>
      <c r="L1348" s="3">
        <v>60.56</v>
      </c>
      <c r="M1348" s="3">
        <v>10.1</v>
      </c>
      <c r="N1348" s="3" t="s">
        <v>8</v>
      </c>
      <c r="O1348" s="3" t="s">
        <v>8</v>
      </c>
    </row>
    <row r="1349" spans="1:15" x14ac:dyDescent="0.35">
      <c r="A1349" s="5" t="str">
        <f>Loads[[#This Row],[Date]]&amp;Loads[[#This Row],[Product]]</f>
        <v>44244Product2</v>
      </c>
      <c r="B1349" s="5">
        <f>COUNTIF($A$1:A1349,Loads[[#This Row],[Load]])</f>
        <v>6</v>
      </c>
      <c r="C1349" s="3" t="str">
        <f>Loads[[#This Row],[Load]]&amp;Loads[[#This Row],[Count]]</f>
        <v>44244Product26</v>
      </c>
      <c r="D1349" s="90">
        <v>44244</v>
      </c>
      <c r="E1349" s="143">
        <v>9.6527777777777768E-2</v>
      </c>
      <c r="F1349" s="1" t="s">
        <v>9</v>
      </c>
      <c r="G1349" s="2" t="s">
        <v>13</v>
      </c>
      <c r="H1349" s="2" t="s">
        <v>42</v>
      </c>
      <c r="I1349" s="1" t="s">
        <v>11</v>
      </c>
      <c r="J1349" s="1" t="s">
        <v>8</v>
      </c>
      <c r="K1349" s="89">
        <v>10220</v>
      </c>
      <c r="L1349" s="3">
        <v>62.61</v>
      </c>
      <c r="M1349" s="3">
        <v>8.69</v>
      </c>
      <c r="N1349" s="3" t="s">
        <v>8</v>
      </c>
      <c r="O1349" s="3" t="s">
        <v>8</v>
      </c>
    </row>
    <row r="1350" spans="1:15" x14ac:dyDescent="0.35">
      <c r="A1350" s="5" t="str">
        <f>Loads[[#This Row],[Date]]&amp;Loads[[#This Row],[Product]]</f>
        <v>44244Product2</v>
      </c>
      <c r="B1350" s="5">
        <f>COUNTIF($A$1:A1350,Loads[[#This Row],[Load]])</f>
        <v>7</v>
      </c>
      <c r="C1350" s="3" t="str">
        <f>Loads[[#This Row],[Load]]&amp;Loads[[#This Row],[Count]]</f>
        <v>44244Product27</v>
      </c>
      <c r="D1350" s="90">
        <v>44244</v>
      </c>
      <c r="E1350" s="143">
        <v>9.6527777777777768E-2</v>
      </c>
      <c r="F1350" s="1" t="s">
        <v>9</v>
      </c>
      <c r="G1350" s="2" t="s">
        <v>13</v>
      </c>
      <c r="H1350" s="2" t="s">
        <v>42</v>
      </c>
      <c r="I1350" s="1" t="s">
        <v>11</v>
      </c>
      <c r="J1350" s="1" t="s">
        <v>8</v>
      </c>
      <c r="K1350" s="89">
        <v>16520</v>
      </c>
      <c r="L1350" s="3">
        <v>63.79</v>
      </c>
      <c r="M1350" s="3">
        <v>8.6199999999999992</v>
      </c>
      <c r="N1350" s="3" t="s">
        <v>8</v>
      </c>
      <c r="O1350" s="3" t="s">
        <v>8</v>
      </c>
    </row>
    <row r="1351" spans="1:15" x14ac:dyDescent="0.35">
      <c r="A1351" s="5" t="str">
        <f>Loads[[#This Row],[Date]]&amp;Loads[[#This Row],[Product]]</f>
        <v>44244Product2</v>
      </c>
      <c r="B1351" s="5">
        <f>COUNTIF($A$1:A1351,Loads[[#This Row],[Load]])</f>
        <v>8</v>
      </c>
      <c r="C1351" s="3" t="str">
        <f>Loads[[#This Row],[Load]]&amp;Loads[[#This Row],[Count]]</f>
        <v>44244Product28</v>
      </c>
      <c r="D1351" s="90">
        <v>44244</v>
      </c>
      <c r="E1351" s="143">
        <v>9.7222222222222224E-2</v>
      </c>
      <c r="F1351" s="1" t="s">
        <v>9</v>
      </c>
      <c r="G1351" s="2" t="s">
        <v>13</v>
      </c>
      <c r="H1351" s="2" t="s">
        <v>42</v>
      </c>
      <c r="I1351" s="1" t="s">
        <v>11</v>
      </c>
      <c r="J1351" s="1" t="s">
        <v>8</v>
      </c>
      <c r="K1351" s="89">
        <v>11700</v>
      </c>
      <c r="L1351" s="3">
        <v>64.53</v>
      </c>
      <c r="M1351" s="3">
        <v>8.9600000000000009</v>
      </c>
      <c r="N1351" s="3" t="s">
        <v>8</v>
      </c>
      <c r="O1351" s="3" t="s">
        <v>8</v>
      </c>
    </row>
    <row r="1352" spans="1:15" x14ac:dyDescent="0.35">
      <c r="A1352" s="5" t="str">
        <f>Loads[[#This Row],[Date]]&amp;Loads[[#This Row],[Product]]</f>
        <v>44244Product2</v>
      </c>
      <c r="B1352" s="5">
        <f>COUNTIF($A$1:A1352,Loads[[#This Row],[Load]])</f>
        <v>9</v>
      </c>
      <c r="C1352" s="3" t="str">
        <f>Loads[[#This Row],[Load]]&amp;Loads[[#This Row],[Count]]</f>
        <v>44244Product29</v>
      </c>
      <c r="D1352" s="90">
        <v>44244</v>
      </c>
      <c r="E1352" s="143">
        <v>9.7916666666666666E-2</v>
      </c>
      <c r="F1352" s="1" t="s">
        <v>9</v>
      </c>
      <c r="G1352" s="2" t="s">
        <v>13</v>
      </c>
      <c r="H1352" s="2" t="s">
        <v>42</v>
      </c>
      <c r="I1352" s="1" t="s">
        <v>11</v>
      </c>
      <c r="J1352" s="1" t="s">
        <v>8</v>
      </c>
      <c r="K1352" s="89">
        <v>15300</v>
      </c>
      <c r="L1352" s="3">
        <v>60.24</v>
      </c>
      <c r="M1352" s="3">
        <v>10.28</v>
      </c>
      <c r="N1352" s="3" t="s">
        <v>8</v>
      </c>
      <c r="O1352" s="3" t="s">
        <v>8</v>
      </c>
    </row>
    <row r="1353" spans="1:15" x14ac:dyDescent="0.35">
      <c r="A1353" s="5" t="str">
        <f>Loads[[#This Row],[Date]]&amp;Loads[[#This Row],[Product]]</f>
        <v>44244Product2</v>
      </c>
      <c r="B1353" s="5">
        <f>COUNTIF($A$1:A1353,Loads[[#This Row],[Load]])</f>
        <v>10</v>
      </c>
      <c r="C1353" s="3" t="str">
        <f>Loads[[#This Row],[Load]]&amp;Loads[[#This Row],[Count]]</f>
        <v>44244Product210</v>
      </c>
      <c r="D1353" s="90">
        <v>44244</v>
      </c>
      <c r="E1353" s="143">
        <v>9.7916666666666666E-2</v>
      </c>
      <c r="F1353" s="1" t="s">
        <v>9</v>
      </c>
      <c r="G1353" s="2" t="s">
        <v>13</v>
      </c>
      <c r="H1353" s="2" t="s">
        <v>42</v>
      </c>
      <c r="I1353" s="1" t="s">
        <v>11</v>
      </c>
      <c r="J1353" s="1" t="s">
        <v>8</v>
      </c>
      <c r="K1353" s="89">
        <v>11620</v>
      </c>
      <c r="L1353" s="3">
        <v>59.79</v>
      </c>
      <c r="M1353" s="3">
        <v>10.49</v>
      </c>
      <c r="N1353" s="3" t="s">
        <v>8</v>
      </c>
      <c r="O1353" s="3" t="s">
        <v>8</v>
      </c>
    </row>
    <row r="1354" spans="1:15" x14ac:dyDescent="0.35">
      <c r="A1354" s="5" t="str">
        <f>Loads[[#This Row],[Date]]&amp;Loads[[#This Row],[Product]]</f>
        <v>44244Product2</v>
      </c>
      <c r="B1354" s="5">
        <f>COUNTIF($A$1:A1354,Loads[[#This Row],[Load]])</f>
        <v>11</v>
      </c>
      <c r="C1354" s="3" t="str">
        <f>Loads[[#This Row],[Load]]&amp;Loads[[#This Row],[Count]]</f>
        <v>44244Product211</v>
      </c>
      <c r="D1354" s="90">
        <v>44244</v>
      </c>
      <c r="E1354" s="143">
        <v>9.8611111111111108E-2</v>
      </c>
      <c r="F1354" s="1" t="s">
        <v>9</v>
      </c>
      <c r="G1354" s="2" t="s">
        <v>13</v>
      </c>
      <c r="H1354" s="2" t="s">
        <v>42</v>
      </c>
      <c r="I1354" s="1" t="s">
        <v>11</v>
      </c>
      <c r="J1354" s="1" t="s">
        <v>8</v>
      </c>
      <c r="K1354" s="89">
        <v>11840</v>
      </c>
      <c r="L1354" s="3">
        <v>60.43</v>
      </c>
      <c r="M1354" s="3">
        <v>9.32</v>
      </c>
      <c r="N1354" s="3" t="s">
        <v>8</v>
      </c>
      <c r="O1354" s="3" t="s">
        <v>8</v>
      </c>
    </row>
    <row r="1355" spans="1:15" x14ac:dyDescent="0.35">
      <c r="A1355" s="5" t="str">
        <f>Loads[[#This Row],[Date]]&amp;Loads[[#This Row],[Product]]</f>
        <v>44245Product1</v>
      </c>
      <c r="B1355" s="5">
        <f>COUNTIF($A$1:A1355,Loads[[#This Row],[Load]])</f>
        <v>1</v>
      </c>
      <c r="C1355" s="3" t="str">
        <f>Loads[[#This Row],[Load]]&amp;Loads[[#This Row],[Count]]</f>
        <v>44245Product11</v>
      </c>
      <c r="D1355" s="90">
        <v>44245</v>
      </c>
      <c r="E1355" s="143">
        <v>9.6527777777777768E-2</v>
      </c>
      <c r="F1355" s="1" t="s">
        <v>9</v>
      </c>
      <c r="G1355" s="2" t="s">
        <v>12</v>
      </c>
      <c r="H1355" s="2" t="s">
        <v>42</v>
      </c>
      <c r="I1355" s="1" t="s">
        <v>11</v>
      </c>
      <c r="J1355" s="1" t="s">
        <v>8</v>
      </c>
      <c r="K1355" s="89">
        <v>16920</v>
      </c>
      <c r="L1355" s="3">
        <v>7.23</v>
      </c>
      <c r="M1355" s="3">
        <v>22.41</v>
      </c>
      <c r="N1355" s="3" t="s">
        <v>8</v>
      </c>
      <c r="O1355" s="3" t="s">
        <v>8</v>
      </c>
    </row>
    <row r="1356" spans="1:15" x14ac:dyDescent="0.35">
      <c r="A1356" s="5" t="str">
        <f>Loads[[#This Row],[Date]]&amp;Loads[[#This Row],[Product]]</f>
        <v>44245Product1</v>
      </c>
      <c r="B1356" s="5">
        <f>COUNTIF($A$1:A1356,Loads[[#This Row],[Load]])</f>
        <v>2</v>
      </c>
      <c r="C1356" s="3" t="str">
        <f>Loads[[#This Row],[Load]]&amp;Loads[[#This Row],[Count]]</f>
        <v>44245Product12</v>
      </c>
      <c r="D1356" s="90">
        <v>44245</v>
      </c>
      <c r="E1356" s="143">
        <v>9.7222222222222224E-2</v>
      </c>
      <c r="F1356" s="1" t="s">
        <v>9</v>
      </c>
      <c r="G1356" s="2" t="s">
        <v>12</v>
      </c>
      <c r="H1356" s="2" t="s">
        <v>42</v>
      </c>
      <c r="I1356" s="1" t="s">
        <v>11</v>
      </c>
      <c r="J1356" s="1" t="s">
        <v>8</v>
      </c>
      <c r="K1356" s="89">
        <v>25660</v>
      </c>
      <c r="L1356" s="3">
        <v>6.87</v>
      </c>
      <c r="M1356" s="3">
        <v>21.58</v>
      </c>
      <c r="N1356" s="3" t="s">
        <v>8</v>
      </c>
      <c r="O1356" s="3" t="s">
        <v>8</v>
      </c>
    </row>
    <row r="1357" spans="1:15" x14ac:dyDescent="0.35">
      <c r="A1357" s="5" t="str">
        <f>Loads[[#This Row],[Date]]&amp;Loads[[#This Row],[Product]]</f>
        <v>44245Product1</v>
      </c>
      <c r="B1357" s="5">
        <f>COUNTIF($A$1:A1357,Loads[[#This Row],[Load]])</f>
        <v>3</v>
      </c>
      <c r="C1357" s="3" t="str">
        <f>Loads[[#This Row],[Load]]&amp;Loads[[#This Row],[Count]]</f>
        <v>44245Product13</v>
      </c>
      <c r="D1357" s="90">
        <v>44245</v>
      </c>
      <c r="E1357" s="143">
        <v>9.7916666666666666E-2</v>
      </c>
      <c r="F1357" s="1" t="s">
        <v>9</v>
      </c>
      <c r="G1357" s="2" t="s">
        <v>12</v>
      </c>
      <c r="H1357" s="2" t="s">
        <v>42</v>
      </c>
      <c r="I1357" s="1" t="s">
        <v>10</v>
      </c>
      <c r="J1357" s="1">
        <v>900</v>
      </c>
      <c r="K1357" s="89">
        <v>36000</v>
      </c>
      <c r="L1357" s="3">
        <v>8.98</v>
      </c>
      <c r="M1357" s="3">
        <v>21.38</v>
      </c>
      <c r="N1357" s="3" t="s">
        <v>8</v>
      </c>
      <c r="O1357" s="3" t="s">
        <v>8</v>
      </c>
    </row>
    <row r="1358" spans="1:15" x14ac:dyDescent="0.35">
      <c r="A1358" s="5" t="str">
        <f>Loads[[#This Row],[Date]]&amp;Loads[[#This Row],[Product]]</f>
        <v>44245Product1</v>
      </c>
      <c r="B1358" s="5">
        <f>COUNTIF($A$1:A1358,Loads[[#This Row],[Load]])</f>
        <v>4</v>
      </c>
      <c r="C1358" s="3" t="str">
        <f>Loads[[#This Row],[Load]]&amp;Loads[[#This Row],[Count]]</f>
        <v>44245Product14</v>
      </c>
      <c r="D1358" s="90">
        <v>44245</v>
      </c>
      <c r="E1358" s="143">
        <v>9.8611111111111108E-2</v>
      </c>
      <c r="F1358" s="1" t="s">
        <v>9</v>
      </c>
      <c r="G1358" s="2" t="s">
        <v>12</v>
      </c>
      <c r="H1358" s="2" t="s">
        <v>42</v>
      </c>
      <c r="I1358" s="1" t="s">
        <v>11</v>
      </c>
      <c r="J1358" s="1" t="s">
        <v>8</v>
      </c>
      <c r="K1358" s="89">
        <v>20600</v>
      </c>
      <c r="L1358" s="3">
        <v>9.26</v>
      </c>
      <c r="M1358" s="3">
        <v>21.4</v>
      </c>
      <c r="N1358" s="3" t="s">
        <v>8</v>
      </c>
      <c r="O1358" s="3" t="s">
        <v>8</v>
      </c>
    </row>
    <row r="1359" spans="1:15" x14ac:dyDescent="0.35">
      <c r="A1359" s="5" t="str">
        <f>Loads[[#This Row],[Date]]&amp;Loads[[#This Row],[Product]]</f>
        <v>44245Product1</v>
      </c>
      <c r="B1359" s="5">
        <f>COUNTIF($A$1:A1359,Loads[[#This Row],[Load]])</f>
        <v>5</v>
      </c>
      <c r="C1359" s="3" t="str">
        <f>Loads[[#This Row],[Load]]&amp;Loads[[#This Row],[Count]]</f>
        <v>44245Product15</v>
      </c>
      <c r="D1359" s="90">
        <v>44245</v>
      </c>
      <c r="E1359" s="143">
        <v>9.930555555555555E-2</v>
      </c>
      <c r="F1359" s="1" t="s">
        <v>9</v>
      </c>
      <c r="G1359" s="2" t="s">
        <v>12</v>
      </c>
      <c r="H1359" s="2" t="s">
        <v>42</v>
      </c>
      <c r="I1359" s="1" t="s">
        <v>11</v>
      </c>
      <c r="J1359" s="1" t="s">
        <v>8</v>
      </c>
      <c r="K1359" s="89">
        <v>18740</v>
      </c>
      <c r="L1359" s="3">
        <v>9.24</v>
      </c>
      <c r="M1359" s="3">
        <v>21.49</v>
      </c>
      <c r="N1359" s="3" t="s">
        <v>8</v>
      </c>
      <c r="O1359" s="3" t="s">
        <v>8</v>
      </c>
    </row>
    <row r="1360" spans="1:15" x14ac:dyDescent="0.35">
      <c r="A1360" s="5" t="str">
        <f>Loads[[#This Row],[Date]]&amp;Loads[[#This Row],[Product]]</f>
        <v>44245Product1</v>
      </c>
      <c r="B1360" s="5">
        <f>COUNTIF($A$1:A1360,Loads[[#This Row],[Load]])</f>
        <v>6</v>
      </c>
      <c r="C1360" s="3" t="str">
        <f>Loads[[#This Row],[Load]]&amp;Loads[[#This Row],[Count]]</f>
        <v>44245Product16</v>
      </c>
      <c r="D1360" s="90">
        <v>44245</v>
      </c>
      <c r="E1360" s="143">
        <v>9.9999999999999992E-2</v>
      </c>
      <c r="F1360" s="1" t="s">
        <v>9</v>
      </c>
      <c r="G1360" s="2" t="s">
        <v>12</v>
      </c>
      <c r="H1360" s="2" t="s">
        <v>42</v>
      </c>
      <c r="I1360" s="1" t="s">
        <v>11</v>
      </c>
      <c r="J1360" s="1" t="s">
        <v>8</v>
      </c>
      <c r="K1360" s="89">
        <v>17340</v>
      </c>
      <c r="L1360" s="3">
        <v>9.4</v>
      </c>
      <c r="M1360" s="3">
        <v>21.36</v>
      </c>
      <c r="N1360" s="3" t="s">
        <v>8</v>
      </c>
      <c r="O1360" s="3" t="s">
        <v>8</v>
      </c>
    </row>
    <row r="1361" spans="1:15" x14ac:dyDescent="0.35">
      <c r="A1361" s="5" t="str">
        <f>Loads[[#This Row],[Date]]&amp;Loads[[#This Row],[Product]]</f>
        <v>44245Product1</v>
      </c>
      <c r="B1361" s="5">
        <f>COUNTIF($A$1:A1361,Loads[[#This Row],[Load]])</f>
        <v>7</v>
      </c>
      <c r="C1361" s="3" t="str">
        <f>Loads[[#This Row],[Load]]&amp;Loads[[#This Row],[Count]]</f>
        <v>44245Product17</v>
      </c>
      <c r="D1361" s="90">
        <v>44245</v>
      </c>
      <c r="E1361" s="143">
        <v>9.9999999999999992E-2</v>
      </c>
      <c r="F1361" s="1" t="s">
        <v>9</v>
      </c>
      <c r="G1361" s="2" t="s">
        <v>12</v>
      </c>
      <c r="H1361" s="2" t="s">
        <v>42</v>
      </c>
      <c r="I1361" s="1" t="s">
        <v>11</v>
      </c>
      <c r="J1361" s="1" t="s">
        <v>8</v>
      </c>
      <c r="K1361" s="89">
        <v>25100</v>
      </c>
      <c r="L1361" s="3">
        <v>9.4499999999999993</v>
      </c>
      <c r="M1361" s="3">
        <v>21.75</v>
      </c>
      <c r="N1361" s="3" t="s">
        <v>8</v>
      </c>
      <c r="O1361" s="3" t="s">
        <v>8</v>
      </c>
    </row>
    <row r="1362" spans="1:15" x14ac:dyDescent="0.35">
      <c r="A1362" s="5" t="str">
        <f>Loads[[#This Row],[Date]]&amp;Loads[[#This Row],[Product]]</f>
        <v>44245Product1</v>
      </c>
      <c r="B1362" s="5">
        <f>COUNTIF($A$1:A1362,Loads[[#This Row],[Load]])</f>
        <v>8</v>
      </c>
      <c r="C1362" s="3" t="str">
        <f>Loads[[#This Row],[Load]]&amp;Loads[[#This Row],[Count]]</f>
        <v>44245Product18</v>
      </c>
      <c r="D1362" s="90">
        <v>44245</v>
      </c>
      <c r="E1362" s="143">
        <v>0.10069444444444443</v>
      </c>
      <c r="F1362" s="1" t="s">
        <v>9</v>
      </c>
      <c r="G1362" s="2" t="s">
        <v>12</v>
      </c>
      <c r="H1362" s="2" t="s">
        <v>42</v>
      </c>
      <c r="I1362" s="1" t="s">
        <v>11</v>
      </c>
      <c r="J1362" s="1" t="s">
        <v>8</v>
      </c>
      <c r="K1362" s="89">
        <v>25760</v>
      </c>
      <c r="L1362" s="3">
        <v>9.51</v>
      </c>
      <c r="M1362" s="3">
        <v>21.65</v>
      </c>
      <c r="N1362" s="3" t="s">
        <v>8</v>
      </c>
      <c r="O1362" s="3" t="s">
        <v>8</v>
      </c>
    </row>
    <row r="1363" spans="1:15" x14ac:dyDescent="0.35">
      <c r="A1363" s="5" t="str">
        <f>Loads[[#This Row],[Date]]&amp;Loads[[#This Row],[Product]]</f>
        <v>44245Product1</v>
      </c>
      <c r="B1363" s="5">
        <f>COUNTIF($A$1:A1363,Loads[[#This Row],[Load]])</f>
        <v>9</v>
      </c>
      <c r="C1363" s="3" t="str">
        <f>Loads[[#This Row],[Load]]&amp;Loads[[#This Row],[Count]]</f>
        <v>44245Product19</v>
      </c>
      <c r="D1363" s="90">
        <v>44245</v>
      </c>
      <c r="E1363" s="143">
        <v>0.1013888888888889</v>
      </c>
      <c r="F1363" s="1" t="s">
        <v>9</v>
      </c>
      <c r="G1363" s="2" t="s">
        <v>12</v>
      </c>
      <c r="H1363" s="2" t="s">
        <v>42</v>
      </c>
      <c r="I1363" s="1" t="s">
        <v>11</v>
      </c>
      <c r="J1363" s="1" t="s">
        <v>8</v>
      </c>
      <c r="K1363" s="89">
        <v>22100</v>
      </c>
      <c r="L1363" s="3">
        <v>9.11</v>
      </c>
      <c r="M1363" s="3">
        <v>21.96</v>
      </c>
      <c r="N1363" s="3" t="s">
        <v>8</v>
      </c>
      <c r="O1363" s="3" t="s">
        <v>8</v>
      </c>
    </row>
    <row r="1364" spans="1:15" x14ac:dyDescent="0.35">
      <c r="A1364" s="5" t="str">
        <f>Loads[[#This Row],[Date]]&amp;Loads[[#This Row],[Product]]</f>
        <v>44245Product1</v>
      </c>
      <c r="B1364" s="5">
        <f>COUNTIF($A$1:A1364,Loads[[#This Row],[Load]])</f>
        <v>10</v>
      </c>
      <c r="C1364" s="3" t="str">
        <f>Loads[[#This Row],[Load]]&amp;Loads[[#This Row],[Count]]</f>
        <v>44245Product110</v>
      </c>
      <c r="D1364" s="90">
        <v>44245</v>
      </c>
      <c r="E1364" s="143">
        <v>0.10208333333333335</v>
      </c>
      <c r="F1364" s="1" t="s">
        <v>9</v>
      </c>
      <c r="G1364" s="2" t="s">
        <v>12</v>
      </c>
      <c r="H1364" s="2" t="s">
        <v>42</v>
      </c>
      <c r="I1364" s="1" t="s">
        <v>11</v>
      </c>
      <c r="J1364" s="1" t="s">
        <v>8</v>
      </c>
      <c r="K1364" s="89">
        <v>19480</v>
      </c>
      <c r="L1364" s="3">
        <v>9.76</v>
      </c>
      <c r="M1364" s="3">
        <v>21.65</v>
      </c>
      <c r="N1364" s="3" t="s">
        <v>8</v>
      </c>
      <c r="O1364" s="3" t="s">
        <v>8</v>
      </c>
    </row>
    <row r="1365" spans="1:15" x14ac:dyDescent="0.35">
      <c r="A1365" s="5" t="str">
        <f>Loads[[#This Row],[Date]]&amp;Loads[[#This Row],[Product]]</f>
        <v>44245Product4</v>
      </c>
      <c r="B1365" s="5">
        <f>COUNTIF($A$1:A1365,Loads[[#This Row],[Load]])</f>
        <v>1</v>
      </c>
      <c r="C1365" s="3" t="str">
        <f>Loads[[#This Row],[Load]]&amp;Loads[[#This Row],[Count]]</f>
        <v>44245Product41</v>
      </c>
      <c r="D1365" s="90">
        <v>44245</v>
      </c>
      <c r="E1365" s="143">
        <v>0.10208333333333335</v>
      </c>
      <c r="F1365" s="1" t="s">
        <v>9</v>
      </c>
      <c r="G1365" s="2" t="s">
        <v>15</v>
      </c>
      <c r="H1365" s="2" t="s">
        <v>42</v>
      </c>
      <c r="I1365" s="1" t="s">
        <v>11</v>
      </c>
      <c r="J1365" s="1" t="s">
        <v>8</v>
      </c>
      <c r="K1365" s="89">
        <v>36340</v>
      </c>
      <c r="L1365" s="3">
        <v>10.98</v>
      </c>
      <c r="M1365" s="3">
        <v>61.23</v>
      </c>
      <c r="N1365" s="3" t="s">
        <v>8</v>
      </c>
      <c r="O1365" s="3" t="s">
        <v>8</v>
      </c>
    </row>
    <row r="1366" spans="1:15" x14ac:dyDescent="0.35">
      <c r="A1366" s="5" t="str">
        <f>Loads[[#This Row],[Date]]&amp;Loads[[#This Row],[Product]]</f>
        <v>44245Product4</v>
      </c>
      <c r="B1366" s="5">
        <f>COUNTIF($A$1:A1366,Loads[[#This Row],[Load]])</f>
        <v>2</v>
      </c>
      <c r="C1366" s="3" t="str">
        <f>Loads[[#This Row],[Load]]&amp;Loads[[#This Row],[Count]]</f>
        <v>44245Product42</v>
      </c>
      <c r="D1366" s="90">
        <v>44245</v>
      </c>
      <c r="E1366" s="143">
        <v>0.10277777777777779</v>
      </c>
      <c r="F1366" s="1" t="s">
        <v>9</v>
      </c>
      <c r="G1366" s="2" t="s">
        <v>15</v>
      </c>
      <c r="H1366" s="2" t="s">
        <v>42</v>
      </c>
      <c r="I1366" s="1" t="s">
        <v>11</v>
      </c>
      <c r="J1366" s="1" t="s">
        <v>8</v>
      </c>
      <c r="K1366" s="89">
        <v>30160</v>
      </c>
      <c r="L1366" s="3">
        <v>11.3</v>
      </c>
      <c r="M1366" s="3">
        <v>61.63</v>
      </c>
      <c r="N1366" s="3" t="s">
        <v>8</v>
      </c>
      <c r="O1366" s="3" t="s">
        <v>8</v>
      </c>
    </row>
    <row r="1367" spans="1:15" x14ac:dyDescent="0.35">
      <c r="A1367" s="5" t="str">
        <f>Loads[[#This Row],[Date]]&amp;Loads[[#This Row],[Product]]</f>
        <v>44245Product4</v>
      </c>
      <c r="B1367" s="5">
        <f>COUNTIF($A$1:A1367,Loads[[#This Row],[Load]])</f>
        <v>3</v>
      </c>
      <c r="C1367" s="3" t="str">
        <f>Loads[[#This Row],[Load]]&amp;Loads[[#This Row],[Count]]</f>
        <v>44245Product43</v>
      </c>
      <c r="D1367" s="90">
        <v>44245</v>
      </c>
      <c r="E1367" s="143">
        <v>0.10347222222222223</v>
      </c>
      <c r="F1367" s="1" t="s">
        <v>9</v>
      </c>
      <c r="G1367" s="2" t="s">
        <v>15</v>
      </c>
      <c r="H1367" s="2" t="s">
        <v>42</v>
      </c>
      <c r="I1367" s="1" t="s">
        <v>11</v>
      </c>
      <c r="J1367" s="1" t="s">
        <v>8</v>
      </c>
      <c r="K1367" s="89">
        <v>36260</v>
      </c>
      <c r="L1367" s="3">
        <v>9.81</v>
      </c>
      <c r="M1367" s="3">
        <v>61.72</v>
      </c>
      <c r="N1367" s="3" t="s">
        <v>8</v>
      </c>
      <c r="O1367" s="3" t="s">
        <v>8</v>
      </c>
    </row>
    <row r="1368" spans="1:15" x14ac:dyDescent="0.35">
      <c r="A1368" s="5" t="str">
        <f>Loads[[#This Row],[Date]]&amp;Loads[[#This Row],[Product]]</f>
        <v>44245Product4</v>
      </c>
      <c r="B1368" s="5">
        <f>COUNTIF($A$1:A1368,Loads[[#This Row],[Load]])</f>
        <v>4</v>
      </c>
      <c r="C1368" s="3" t="str">
        <f>Loads[[#This Row],[Load]]&amp;Loads[[#This Row],[Count]]</f>
        <v>44245Product44</v>
      </c>
      <c r="D1368" s="90">
        <v>44245</v>
      </c>
      <c r="E1368" s="143">
        <v>0.10416666666666667</v>
      </c>
      <c r="F1368" s="1" t="s">
        <v>9</v>
      </c>
      <c r="G1368" s="2" t="s">
        <v>15</v>
      </c>
      <c r="H1368" s="2" t="s">
        <v>42</v>
      </c>
      <c r="I1368" s="1" t="s">
        <v>11</v>
      </c>
      <c r="J1368" s="1" t="s">
        <v>8</v>
      </c>
      <c r="K1368" s="89">
        <v>29420</v>
      </c>
      <c r="L1368" s="3">
        <v>9.65</v>
      </c>
      <c r="M1368" s="3">
        <v>62.16</v>
      </c>
      <c r="N1368" s="3" t="s">
        <v>8</v>
      </c>
      <c r="O1368" s="3" t="s">
        <v>8</v>
      </c>
    </row>
    <row r="1369" spans="1:15" x14ac:dyDescent="0.35">
      <c r="A1369" s="5" t="str">
        <f>Loads[[#This Row],[Date]]&amp;Loads[[#This Row],[Product]]</f>
        <v>44245Product6</v>
      </c>
      <c r="B1369" s="5">
        <f>COUNTIF($A$1:A1369,Loads[[#This Row],[Load]])</f>
        <v>1</v>
      </c>
      <c r="C1369" s="3" t="str">
        <f>Loads[[#This Row],[Load]]&amp;Loads[[#This Row],[Count]]</f>
        <v>44245Product61</v>
      </c>
      <c r="D1369" s="90">
        <v>44245</v>
      </c>
      <c r="E1369" s="143">
        <v>0.10416666666666667</v>
      </c>
      <c r="F1369" s="1" t="s">
        <v>9</v>
      </c>
      <c r="G1369" s="2" t="s">
        <v>17</v>
      </c>
      <c r="H1369" s="2" t="s">
        <v>42</v>
      </c>
      <c r="I1369" s="1" t="s">
        <v>11</v>
      </c>
      <c r="J1369" s="1" t="s">
        <v>8</v>
      </c>
      <c r="K1369" s="89">
        <v>31640</v>
      </c>
      <c r="L1369" s="3">
        <v>0.1</v>
      </c>
      <c r="M1369" s="3" t="s">
        <v>8</v>
      </c>
      <c r="N1369" s="3">
        <v>2</v>
      </c>
      <c r="O1369" s="3" t="s">
        <v>8</v>
      </c>
    </row>
    <row r="1370" spans="1:15" x14ac:dyDescent="0.35">
      <c r="A1370" s="5" t="str">
        <f>Loads[[#This Row],[Date]]&amp;Loads[[#This Row],[Product]]</f>
        <v>44245Product6</v>
      </c>
      <c r="B1370" s="5">
        <f>COUNTIF($A$1:A1370,Loads[[#This Row],[Load]])</f>
        <v>2</v>
      </c>
      <c r="C1370" s="3" t="str">
        <f>Loads[[#This Row],[Load]]&amp;Loads[[#This Row],[Count]]</f>
        <v>44245Product62</v>
      </c>
      <c r="D1370" s="90">
        <v>44245</v>
      </c>
      <c r="E1370" s="143">
        <v>0.10486111111111111</v>
      </c>
      <c r="F1370" s="1" t="s">
        <v>9</v>
      </c>
      <c r="G1370" s="2" t="s">
        <v>17</v>
      </c>
      <c r="H1370" s="2" t="s">
        <v>42</v>
      </c>
      <c r="I1370" s="1" t="s">
        <v>11</v>
      </c>
      <c r="J1370" s="1" t="s">
        <v>8</v>
      </c>
      <c r="K1370" s="89">
        <v>36000</v>
      </c>
      <c r="L1370" s="3">
        <v>0.09</v>
      </c>
      <c r="M1370" s="3" t="s">
        <v>8</v>
      </c>
      <c r="N1370" s="3">
        <v>2</v>
      </c>
      <c r="O1370" s="3" t="s">
        <v>8</v>
      </c>
    </row>
    <row r="1371" spans="1:15" x14ac:dyDescent="0.35">
      <c r="A1371" s="5" t="str">
        <f>Loads[[#This Row],[Date]]&amp;Loads[[#This Row],[Product]]</f>
        <v>44245Product8</v>
      </c>
      <c r="B1371" s="5">
        <f>COUNTIF($A$1:A1371,Loads[[#This Row],[Load]])</f>
        <v>1</v>
      </c>
      <c r="C1371" s="3" t="str">
        <f>Loads[[#This Row],[Load]]&amp;Loads[[#This Row],[Count]]</f>
        <v>44245Product81</v>
      </c>
      <c r="D1371" s="90">
        <v>44245</v>
      </c>
      <c r="E1371" s="143">
        <v>0.10555555555555556</v>
      </c>
      <c r="F1371" s="1" t="s">
        <v>9</v>
      </c>
      <c r="G1371" s="2" t="s">
        <v>19</v>
      </c>
      <c r="H1371" s="2" t="s">
        <v>42</v>
      </c>
      <c r="I1371" s="1" t="s">
        <v>11</v>
      </c>
      <c r="J1371" s="1" t="s">
        <v>8</v>
      </c>
      <c r="K1371" s="89">
        <v>13600</v>
      </c>
      <c r="L1371" s="3">
        <v>12.64</v>
      </c>
      <c r="M1371" s="3">
        <v>7.2</v>
      </c>
      <c r="N1371" s="3" t="s">
        <v>8</v>
      </c>
      <c r="O1371" s="3" t="s">
        <v>8</v>
      </c>
    </row>
    <row r="1372" spans="1:15" x14ac:dyDescent="0.35">
      <c r="A1372" s="5" t="str">
        <f>Loads[[#This Row],[Date]]&amp;Loads[[#This Row],[Product]]</f>
        <v>44245Product2</v>
      </c>
      <c r="B1372" s="5">
        <f>COUNTIF($A$1:A1372,Loads[[#This Row],[Load]])</f>
        <v>1</v>
      </c>
      <c r="C1372" s="3" t="str">
        <f>Loads[[#This Row],[Load]]&amp;Loads[[#This Row],[Count]]</f>
        <v>44245Product21</v>
      </c>
      <c r="D1372" s="90">
        <v>44245</v>
      </c>
      <c r="E1372" s="143">
        <v>0.12222222222222223</v>
      </c>
      <c r="F1372" s="1" t="s">
        <v>9</v>
      </c>
      <c r="G1372" s="2" t="s">
        <v>13</v>
      </c>
      <c r="H1372" s="2" t="s">
        <v>42</v>
      </c>
      <c r="I1372" s="1" t="s">
        <v>11</v>
      </c>
      <c r="J1372" s="1" t="s">
        <v>8</v>
      </c>
      <c r="K1372" s="89">
        <v>10280</v>
      </c>
      <c r="L1372" s="3">
        <v>64.430000000000007</v>
      </c>
      <c r="M1372" s="3">
        <v>9.14</v>
      </c>
      <c r="N1372" s="3" t="s">
        <v>8</v>
      </c>
      <c r="O1372" s="3" t="s">
        <v>8</v>
      </c>
    </row>
    <row r="1373" spans="1:15" x14ac:dyDescent="0.35">
      <c r="A1373" s="5" t="str">
        <f>Loads[[#This Row],[Date]]&amp;Loads[[#This Row],[Product]]</f>
        <v>44245Product2</v>
      </c>
      <c r="B1373" s="5">
        <f>COUNTIF($A$1:A1373,Loads[[#This Row],[Load]])</f>
        <v>2</v>
      </c>
      <c r="C1373" s="3" t="str">
        <f>Loads[[#This Row],[Load]]&amp;Loads[[#This Row],[Count]]</f>
        <v>44245Product22</v>
      </c>
      <c r="D1373" s="90">
        <v>44245</v>
      </c>
      <c r="E1373" s="143">
        <v>0.12222222222222223</v>
      </c>
      <c r="F1373" s="1" t="s">
        <v>9</v>
      </c>
      <c r="G1373" s="2" t="s">
        <v>13</v>
      </c>
      <c r="H1373" s="2" t="s">
        <v>42</v>
      </c>
      <c r="I1373" s="1" t="s">
        <v>11</v>
      </c>
      <c r="J1373" s="1" t="s">
        <v>8</v>
      </c>
      <c r="K1373" s="89">
        <v>10600</v>
      </c>
      <c r="L1373" s="3">
        <v>62.83</v>
      </c>
      <c r="M1373" s="3">
        <v>10.06</v>
      </c>
      <c r="N1373" s="3" t="s">
        <v>8</v>
      </c>
      <c r="O1373" s="3" t="s">
        <v>8</v>
      </c>
    </row>
    <row r="1374" spans="1:15" x14ac:dyDescent="0.35">
      <c r="A1374" s="5" t="str">
        <f>Loads[[#This Row],[Date]]&amp;Loads[[#This Row],[Product]]</f>
        <v>44245Product2</v>
      </c>
      <c r="B1374" s="5">
        <f>COUNTIF($A$1:A1374,Loads[[#This Row],[Load]])</f>
        <v>3</v>
      </c>
      <c r="C1374" s="3" t="str">
        <f>Loads[[#This Row],[Load]]&amp;Loads[[#This Row],[Count]]</f>
        <v>44245Product23</v>
      </c>
      <c r="D1374" s="90">
        <v>44245</v>
      </c>
      <c r="E1374" s="143">
        <v>0.12291666666666667</v>
      </c>
      <c r="F1374" s="1" t="s">
        <v>9</v>
      </c>
      <c r="G1374" s="2" t="s">
        <v>13</v>
      </c>
      <c r="H1374" s="2" t="s">
        <v>42</v>
      </c>
      <c r="I1374" s="1" t="s">
        <v>11</v>
      </c>
      <c r="J1374" s="1" t="s">
        <v>8</v>
      </c>
      <c r="K1374" s="89">
        <v>10960</v>
      </c>
      <c r="L1374" s="3">
        <v>60.25</v>
      </c>
      <c r="M1374" s="3">
        <v>9.02</v>
      </c>
      <c r="N1374" s="3" t="s">
        <v>8</v>
      </c>
      <c r="O1374" s="3" t="s">
        <v>8</v>
      </c>
    </row>
    <row r="1375" spans="1:15" x14ac:dyDescent="0.35">
      <c r="A1375" s="5" t="str">
        <f>Loads[[#This Row],[Date]]&amp;Loads[[#This Row],[Product]]</f>
        <v>44245Product2</v>
      </c>
      <c r="B1375" s="5">
        <f>COUNTIF($A$1:A1375,Loads[[#This Row],[Load]])</f>
        <v>4</v>
      </c>
      <c r="C1375" s="3" t="str">
        <f>Loads[[#This Row],[Load]]&amp;Loads[[#This Row],[Count]]</f>
        <v>44245Product24</v>
      </c>
      <c r="D1375" s="90">
        <v>44245</v>
      </c>
      <c r="E1375" s="143">
        <v>0.12361111111111112</v>
      </c>
      <c r="F1375" s="1" t="s">
        <v>9</v>
      </c>
      <c r="G1375" s="2" t="s">
        <v>13</v>
      </c>
      <c r="H1375" s="2" t="s">
        <v>42</v>
      </c>
      <c r="I1375" s="1" t="s">
        <v>11</v>
      </c>
      <c r="J1375" s="1" t="s">
        <v>8</v>
      </c>
      <c r="K1375" s="89">
        <v>10620</v>
      </c>
      <c r="L1375" s="3">
        <v>63.32</v>
      </c>
      <c r="M1375" s="3">
        <v>9.59</v>
      </c>
      <c r="N1375" s="3" t="s">
        <v>8</v>
      </c>
      <c r="O1375" s="3" t="s">
        <v>8</v>
      </c>
    </row>
    <row r="1376" spans="1:15" x14ac:dyDescent="0.35">
      <c r="A1376" s="5" t="str">
        <f>Loads[[#This Row],[Date]]&amp;Loads[[#This Row],[Product]]</f>
        <v>44245Product2</v>
      </c>
      <c r="B1376" s="5">
        <f>COUNTIF($A$1:A1376,Loads[[#This Row],[Load]])</f>
        <v>5</v>
      </c>
      <c r="C1376" s="3" t="str">
        <f>Loads[[#This Row],[Load]]&amp;Loads[[#This Row],[Count]]</f>
        <v>44245Product25</v>
      </c>
      <c r="D1376" s="90">
        <v>44245</v>
      </c>
      <c r="E1376" s="143">
        <v>0.12361111111111112</v>
      </c>
      <c r="F1376" s="1" t="s">
        <v>9</v>
      </c>
      <c r="G1376" s="2" t="s">
        <v>13</v>
      </c>
      <c r="H1376" s="2" t="s">
        <v>42</v>
      </c>
      <c r="I1376" s="1" t="s">
        <v>11</v>
      </c>
      <c r="J1376" s="1" t="s">
        <v>8</v>
      </c>
      <c r="K1376" s="89">
        <v>17500</v>
      </c>
      <c r="L1376" s="3">
        <v>60.07</v>
      </c>
      <c r="M1376" s="3">
        <v>9.15</v>
      </c>
      <c r="N1376" s="3" t="s">
        <v>8</v>
      </c>
      <c r="O1376" s="3" t="s">
        <v>8</v>
      </c>
    </row>
    <row r="1377" spans="1:15" x14ac:dyDescent="0.35">
      <c r="A1377" s="5" t="str">
        <f>Loads[[#This Row],[Date]]&amp;Loads[[#This Row],[Product]]</f>
        <v>44245Product2</v>
      </c>
      <c r="B1377" s="5">
        <f>COUNTIF($A$1:A1377,Loads[[#This Row],[Load]])</f>
        <v>6</v>
      </c>
      <c r="C1377" s="3" t="str">
        <f>Loads[[#This Row],[Load]]&amp;Loads[[#This Row],[Count]]</f>
        <v>44245Product26</v>
      </c>
      <c r="D1377" s="90">
        <v>44245</v>
      </c>
      <c r="E1377" s="143">
        <v>0.12430555555555556</v>
      </c>
      <c r="F1377" s="1" t="s">
        <v>9</v>
      </c>
      <c r="G1377" s="2" t="s">
        <v>13</v>
      </c>
      <c r="H1377" s="2" t="s">
        <v>42</v>
      </c>
      <c r="I1377" s="1" t="s">
        <v>11</v>
      </c>
      <c r="J1377" s="1" t="s">
        <v>8</v>
      </c>
      <c r="K1377" s="89">
        <v>11000</v>
      </c>
      <c r="L1377" s="3">
        <v>60.46</v>
      </c>
      <c r="M1377" s="3">
        <v>9.48</v>
      </c>
      <c r="N1377" s="3" t="s">
        <v>8</v>
      </c>
      <c r="O1377" s="3" t="s">
        <v>8</v>
      </c>
    </row>
    <row r="1378" spans="1:15" x14ac:dyDescent="0.35">
      <c r="A1378" s="5" t="str">
        <f>Loads[[#This Row],[Date]]&amp;Loads[[#This Row],[Product]]</f>
        <v>44245Product2</v>
      </c>
      <c r="B1378" s="5">
        <f>COUNTIF($A$1:A1378,Loads[[#This Row],[Load]])</f>
        <v>7</v>
      </c>
      <c r="C1378" s="3" t="str">
        <f>Loads[[#This Row],[Load]]&amp;Loads[[#This Row],[Count]]</f>
        <v>44245Product27</v>
      </c>
      <c r="D1378" s="90">
        <v>44245</v>
      </c>
      <c r="E1378" s="143">
        <v>0.125</v>
      </c>
      <c r="F1378" s="1" t="s">
        <v>9</v>
      </c>
      <c r="G1378" s="2" t="s">
        <v>13</v>
      </c>
      <c r="H1378" s="2" t="s">
        <v>42</v>
      </c>
      <c r="I1378" s="1" t="s">
        <v>11</v>
      </c>
      <c r="J1378" s="1" t="s">
        <v>8</v>
      </c>
      <c r="K1378" s="89">
        <v>16840</v>
      </c>
      <c r="L1378" s="3">
        <v>61.41</v>
      </c>
      <c r="M1378" s="3">
        <v>10.5</v>
      </c>
      <c r="N1378" s="3" t="s">
        <v>8</v>
      </c>
      <c r="O1378" s="3" t="s">
        <v>8</v>
      </c>
    </row>
    <row r="1379" spans="1:15" x14ac:dyDescent="0.35">
      <c r="A1379" s="5" t="str">
        <f>Loads[[#This Row],[Date]]&amp;Loads[[#This Row],[Product]]</f>
        <v>44245Product2</v>
      </c>
      <c r="B1379" s="5">
        <f>COUNTIF($A$1:A1379,Loads[[#This Row],[Load]])</f>
        <v>8</v>
      </c>
      <c r="C1379" s="3" t="str">
        <f>Loads[[#This Row],[Load]]&amp;Loads[[#This Row],[Count]]</f>
        <v>44245Product28</v>
      </c>
      <c r="D1379" s="90">
        <v>44245</v>
      </c>
      <c r="E1379" s="143">
        <v>0.125</v>
      </c>
      <c r="F1379" s="1" t="s">
        <v>9</v>
      </c>
      <c r="G1379" s="2" t="s">
        <v>13</v>
      </c>
      <c r="H1379" s="2" t="s">
        <v>42</v>
      </c>
      <c r="I1379" s="1" t="s">
        <v>11</v>
      </c>
      <c r="J1379" s="1" t="s">
        <v>8</v>
      </c>
      <c r="K1379" s="89">
        <v>10620</v>
      </c>
      <c r="L1379" s="3">
        <v>74.260000000000005</v>
      </c>
      <c r="M1379" s="3">
        <v>5.44</v>
      </c>
      <c r="N1379" s="3" t="s">
        <v>8</v>
      </c>
      <c r="O1379" s="3" t="s">
        <v>8</v>
      </c>
    </row>
    <row r="1380" spans="1:15" x14ac:dyDescent="0.35">
      <c r="A1380" s="5" t="str">
        <f>Loads[[#This Row],[Date]]&amp;Loads[[#This Row],[Product]]</f>
        <v>44245Product2</v>
      </c>
      <c r="B1380" s="5">
        <f>COUNTIF($A$1:A1380,Loads[[#This Row],[Load]])</f>
        <v>9</v>
      </c>
      <c r="C1380" s="3" t="str">
        <f>Loads[[#This Row],[Load]]&amp;Loads[[#This Row],[Count]]</f>
        <v>44245Product29</v>
      </c>
      <c r="D1380" s="90">
        <v>44245</v>
      </c>
      <c r="E1380" s="143">
        <v>0.12569444444444444</v>
      </c>
      <c r="F1380" s="1" t="s">
        <v>9</v>
      </c>
      <c r="G1380" s="2" t="s">
        <v>13</v>
      </c>
      <c r="H1380" s="2" t="s">
        <v>42</v>
      </c>
      <c r="I1380" s="1" t="s">
        <v>11</v>
      </c>
      <c r="J1380" s="1" t="s">
        <v>8</v>
      </c>
      <c r="K1380" s="89">
        <v>13140</v>
      </c>
      <c r="L1380" s="3">
        <v>60.91</v>
      </c>
      <c r="M1380" s="3">
        <v>10.35</v>
      </c>
      <c r="N1380" s="3" t="s">
        <v>8</v>
      </c>
      <c r="O1380" s="3" t="s">
        <v>8</v>
      </c>
    </row>
    <row r="1381" spans="1:15" x14ac:dyDescent="0.35">
      <c r="A1381" s="5" t="str">
        <f>Loads[[#This Row],[Date]]&amp;Loads[[#This Row],[Product]]</f>
        <v>44245Product2</v>
      </c>
      <c r="B1381" s="5">
        <f>COUNTIF($A$1:A1381,Loads[[#This Row],[Load]])</f>
        <v>10</v>
      </c>
      <c r="C1381" s="3" t="str">
        <f>Loads[[#This Row],[Load]]&amp;Loads[[#This Row],[Count]]</f>
        <v>44245Product210</v>
      </c>
      <c r="D1381" s="90">
        <v>44245</v>
      </c>
      <c r="E1381" s="143">
        <v>0.12569444444444444</v>
      </c>
      <c r="F1381" s="1" t="s">
        <v>9</v>
      </c>
      <c r="G1381" s="2" t="s">
        <v>13</v>
      </c>
      <c r="H1381" s="2" t="s">
        <v>42</v>
      </c>
      <c r="I1381" s="1" t="s">
        <v>11</v>
      </c>
      <c r="J1381" s="1" t="s">
        <v>8</v>
      </c>
      <c r="K1381" s="89">
        <v>12620</v>
      </c>
      <c r="L1381" s="3">
        <v>62.34</v>
      </c>
      <c r="M1381" s="3">
        <v>10.56</v>
      </c>
      <c r="N1381" s="3" t="s">
        <v>8</v>
      </c>
      <c r="O1381" s="3" t="s">
        <v>8</v>
      </c>
    </row>
    <row r="1382" spans="1:15" x14ac:dyDescent="0.35">
      <c r="A1382" s="5" t="str">
        <f>Loads[[#This Row],[Date]]&amp;Loads[[#This Row],[Product]]</f>
        <v>44245Product2</v>
      </c>
      <c r="B1382" s="5">
        <f>COUNTIF($A$1:A1382,Loads[[#This Row],[Load]])</f>
        <v>11</v>
      </c>
      <c r="C1382" s="3" t="str">
        <f>Loads[[#This Row],[Load]]&amp;Loads[[#This Row],[Count]]</f>
        <v>44245Product211</v>
      </c>
      <c r="D1382" s="90">
        <v>44245</v>
      </c>
      <c r="E1382" s="143">
        <v>0.12638888888888888</v>
      </c>
      <c r="F1382" s="1" t="s">
        <v>9</v>
      </c>
      <c r="G1382" s="2" t="s">
        <v>13</v>
      </c>
      <c r="H1382" s="2" t="s">
        <v>42</v>
      </c>
      <c r="I1382" s="1" t="s">
        <v>11</v>
      </c>
      <c r="J1382" s="1" t="s">
        <v>8</v>
      </c>
      <c r="K1382" s="89">
        <v>10720</v>
      </c>
      <c r="L1382" s="3">
        <v>62.17</v>
      </c>
      <c r="M1382" s="3">
        <v>10.49</v>
      </c>
      <c r="N1382" s="3" t="s">
        <v>8</v>
      </c>
      <c r="O1382" s="3" t="s">
        <v>8</v>
      </c>
    </row>
    <row r="1383" spans="1:15" x14ac:dyDescent="0.35">
      <c r="A1383" s="5" t="str">
        <f>Loads[[#This Row],[Date]]&amp;Loads[[#This Row],[Product]]</f>
        <v>44246Product1</v>
      </c>
      <c r="B1383" s="5">
        <f>COUNTIF($A$1:A1383,Loads[[#This Row],[Load]])</f>
        <v>1</v>
      </c>
      <c r="C1383" s="3" t="str">
        <f>Loads[[#This Row],[Load]]&amp;Loads[[#This Row],[Count]]</f>
        <v>44246Product11</v>
      </c>
      <c r="D1383" s="90">
        <v>44246</v>
      </c>
      <c r="E1383" s="143">
        <v>7.2916666666666671E-2</v>
      </c>
      <c r="F1383" s="1" t="s">
        <v>9</v>
      </c>
      <c r="G1383" s="2" t="s">
        <v>12</v>
      </c>
      <c r="H1383" s="2" t="s">
        <v>42</v>
      </c>
      <c r="I1383" s="1" t="s">
        <v>10</v>
      </c>
      <c r="J1383" s="1">
        <v>785</v>
      </c>
      <c r="K1383" s="89">
        <v>31500</v>
      </c>
      <c r="L1383" s="3">
        <v>9.18</v>
      </c>
      <c r="M1383" s="3">
        <v>22.59</v>
      </c>
      <c r="N1383" s="3" t="s">
        <v>8</v>
      </c>
      <c r="O1383" s="3" t="s">
        <v>8</v>
      </c>
    </row>
    <row r="1384" spans="1:15" x14ac:dyDescent="0.35">
      <c r="A1384" s="5" t="str">
        <f>Loads[[#This Row],[Date]]&amp;Loads[[#This Row],[Product]]</f>
        <v>44246Product1</v>
      </c>
      <c r="B1384" s="5">
        <f>COUNTIF($A$1:A1384,Loads[[#This Row],[Load]])</f>
        <v>2</v>
      </c>
      <c r="C1384" s="3" t="str">
        <f>Loads[[#This Row],[Load]]&amp;Loads[[#This Row],[Count]]</f>
        <v>44246Product12</v>
      </c>
      <c r="D1384" s="90">
        <v>44246</v>
      </c>
      <c r="E1384" s="143">
        <v>7.3611111111111113E-2</v>
      </c>
      <c r="F1384" s="1" t="s">
        <v>9</v>
      </c>
      <c r="G1384" s="2" t="s">
        <v>12</v>
      </c>
      <c r="H1384" s="2" t="s">
        <v>42</v>
      </c>
      <c r="I1384" s="1" t="s">
        <v>10</v>
      </c>
      <c r="J1384" s="1">
        <v>770</v>
      </c>
      <c r="K1384" s="89">
        <v>30800</v>
      </c>
      <c r="L1384" s="3">
        <v>9.61</v>
      </c>
      <c r="M1384" s="3">
        <v>21.86</v>
      </c>
      <c r="N1384" s="3" t="s">
        <v>8</v>
      </c>
      <c r="O1384" s="3" t="s">
        <v>8</v>
      </c>
    </row>
    <row r="1385" spans="1:15" x14ac:dyDescent="0.35">
      <c r="A1385" s="5" t="str">
        <f>Loads[[#This Row],[Date]]&amp;Loads[[#This Row],[Product]]</f>
        <v>44246Product1</v>
      </c>
      <c r="B1385" s="5">
        <f>COUNTIF($A$1:A1385,Loads[[#This Row],[Load]])</f>
        <v>3</v>
      </c>
      <c r="C1385" s="3" t="str">
        <f>Loads[[#This Row],[Load]]&amp;Loads[[#This Row],[Count]]</f>
        <v>44246Product13</v>
      </c>
      <c r="D1385" s="90">
        <v>44246</v>
      </c>
      <c r="E1385" s="143">
        <v>7.4305555555555555E-2</v>
      </c>
      <c r="F1385" s="1" t="s">
        <v>9</v>
      </c>
      <c r="G1385" s="2" t="s">
        <v>12</v>
      </c>
      <c r="H1385" s="2" t="s">
        <v>42</v>
      </c>
      <c r="I1385" s="1" t="s">
        <v>10</v>
      </c>
      <c r="J1385" s="1">
        <v>790</v>
      </c>
      <c r="K1385" s="89">
        <v>31740</v>
      </c>
      <c r="L1385" s="3">
        <v>9.51</v>
      </c>
      <c r="M1385" s="3">
        <v>21.89</v>
      </c>
      <c r="N1385" s="3" t="s">
        <v>8</v>
      </c>
      <c r="O1385" s="3" t="s">
        <v>8</v>
      </c>
    </row>
    <row r="1386" spans="1:15" x14ac:dyDescent="0.35">
      <c r="A1386" s="5" t="str">
        <f>Loads[[#This Row],[Date]]&amp;Loads[[#This Row],[Product]]</f>
        <v>44246Product1</v>
      </c>
      <c r="B1386" s="5">
        <f>COUNTIF($A$1:A1386,Loads[[#This Row],[Load]])</f>
        <v>4</v>
      </c>
      <c r="C1386" s="3" t="str">
        <f>Loads[[#This Row],[Load]]&amp;Loads[[#This Row],[Count]]</f>
        <v>44246Product14</v>
      </c>
      <c r="D1386" s="90">
        <v>44246</v>
      </c>
      <c r="E1386" s="143">
        <v>7.4999999999999997E-2</v>
      </c>
      <c r="F1386" s="1" t="s">
        <v>9</v>
      </c>
      <c r="G1386" s="2" t="s">
        <v>12</v>
      </c>
      <c r="H1386" s="2" t="s">
        <v>42</v>
      </c>
      <c r="I1386" s="1" t="s">
        <v>10</v>
      </c>
      <c r="J1386" s="1">
        <v>625</v>
      </c>
      <c r="K1386" s="89">
        <v>24700</v>
      </c>
      <c r="L1386" s="3">
        <v>9.42</v>
      </c>
      <c r="M1386" s="3">
        <v>22.32</v>
      </c>
      <c r="N1386" s="3" t="s">
        <v>8</v>
      </c>
      <c r="O1386" s="3" t="s">
        <v>8</v>
      </c>
    </row>
    <row r="1387" spans="1:15" x14ac:dyDescent="0.35">
      <c r="A1387" s="5" t="str">
        <f>Loads[[#This Row],[Date]]&amp;Loads[[#This Row],[Product]]</f>
        <v>44246Product1</v>
      </c>
      <c r="B1387" s="5">
        <f>COUNTIF($A$1:A1387,Loads[[#This Row],[Load]])</f>
        <v>5</v>
      </c>
      <c r="C1387" s="3" t="str">
        <f>Loads[[#This Row],[Load]]&amp;Loads[[#This Row],[Count]]</f>
        <v>44246Product15</v>
      </c>
      <c r="D1387" s="90">
        <v>44246</v>
      </c>
      <c r="E1387" s="143">
        <v>7.5694444444444439E-2</v>
      </c>
      <c r="F1387" s="1" t="s">
        <v>9</v>
      </c>
      <c r="G1387" s="2" t="s">
        <v>12</v>
      </c>
      <c r="H1387" s="2" t="s">
        <v>42</v>
      </c>
      <c r="I1387" s="1" t="s">
        <v>11</v>
      </c>
      <c r="J1387" s="1" t="s">
        <v>8</v>
      </c>
      <c r="K1387" s="89">
        <v>27480</v>
      </c>
      <c r="L1387" s="3">
        <v>7.9</v>
      </c>
      <c r="M1387" s="3">
        <v>21.77</v>
      </c>
      <c r="N1387" s="3" t="s">
        <v>8</v>
      </c>
      <c r="O1387" s="3" t="s">
        <v>8</v>
      </c>
    </row>
    <row r="1388" spans="1:15" x14ac:dyDescent="0.35">
      <c r="A1388" s="5" t="str">
        <f>Loads[[#This Row],[Date]]&amp;Loads[[#This Row],[Product]]</f>
        <v>44246Product1</v>
      </c>
      <c r="B1388" s="5">
        <f>COUNTIF($A$1:A1388,Loads[[#This Row],[Load]])</f>
        <v>6</v>
      </c>
      <c r="C1388" s="3" t="str">
        <f>Loads[[#This Row],[Load]]&amp;Loads[[#This Row],[Count]]</f>
        <v>44246Product16</v>
      </c>
      <c r="D1388" s="90">
        <v>44246</v>
      </c>
      <c r="E1388" s="143">
        <v>7.5694444444444439E-2</v>
      </c>
      <c r="F1388" s="1" t="s">
        <v>9</v>
      </c>
      <c r="G1388" s="2" t="s">
        <v>12</v>
      </c>
      <c r="H1388" s="2" t="s">
        <v>42</v>
      </c>
      <c r="I1388" s="1" t="s">
        <v>11</v>
      </c>
      <c r="J1388" s="1" t="s">
        <v>8</v>
      </c>
      <c r="K1388" s="89">
        <v>18540</v>
      </c>
      <c r="L1388" s="3">
        <v>7.48</v>
      </c>
      <c r="M1388" s="3">
        <v>21.15</v>
      </c>
      <c r="N1388" s="3" t="s">
        <v>8</v>
      </c>
      <c r="O1388" s="3" t="s">
        <v>8</v>
      </c>
    </row>
    <row r="1389" spans="1:15" x14ac:dyDescent="0.35">
      <c r="A1389" s="5" t="str">
        <f>Loads[[#This Row],[Date]]&amp;Loads[[#This Row],[Product]]</f>
        <v>44246Product1</v>
      </c>
      <c r="B1389" s="5">
        <f>COUNTIF($A$1:A1389,Loads[[#This Row],[Load]])</f>
        <v>7</v>
      </c>
      <c r="C1389" s="3" t="str">
        <f>Loads[[#This Row],[Load]]&amp;Loads[[#This Row],[Count]]</f>
        <v>44246Product17</v>
      </c>
      <c r="D1389" s="90">
        <v>44246</v>
      </c>
      <c r="E1389" s="143">
        <v>7.6388888888888895E-2</v>
      </c>
      <c r="F1389" s="1" t="s">
        <v>9</v>
      </c>
      <c r="G1389" s="2" t="s">
        <v>12</v>
      </c>
      <c r="H1389" s="2" t="s">
        <v>42</v>
      </c>
      <c r="I1389" s="1" t="s">
        <v>11</v>
      </c>
      <c r="J1389" s="1" t="s">
        <v>8</v>
      </c>
      <c r="K1389" s="89">
        <v>23180</v>
      </c>
      <c r="L1389" s="3">
        <v>9.2200000000000006</v>
      </c>
      <c r="M1389" s="3">
        <v>21.39</v>
      </c>
      <c r="N1389" s="3" t="s">
        <v>8</v>
      </c>
      <c r="O1389" s="3" t="s">
        <v>8</v>
      </c>
    </row>
    <row r="1390" spans="1:15" x14ac:dyDescent="0.35">
      <c r="A1390" s="5" t="str">
        <f>Loads[[#This Row],[Date]]&amp;Loads[[#This Row],[Product]]</f>
        <v>44246Product1</v>
      </c>
      <c r="B1390" s="5">
        <f>COUNTIF($A$1:A1390,Loads[[#This Row],[Load]])</f>
        <v>8</v>
      </c>
      <c r="C1390" s="3" t="str">
        <f>Loads[[#This Row],[Load]]&amp;Loads[[#This Row],[Count]]</f>
        <v>44246Product18</v>
      </c>
      <c r="D1390" s="90">
        <v>44246</v>
      </c>
      <c r="E1390" s="143">
        <v>7.7083333333333337E-2</v>
      </c>
      <c r="F1390" s="1" t="s">
        <v>9</v>
      </c>
      <c r="G1390" s="2" t="s">
        <v>12</v>
      </c>
      <c r="H1390" s="2" t="s">
        <v>42</v>
      </c>
      <c r="I1390" s="1" t="s">
        <v>11</v>
      </c>
      <c r="J1390" s="1" t="s">
        <v>8</v>
      </c>
      <c r="K1390" s="89">
        <v>20540</v>
      </c>
      <c r="L1390" s="3">
        <v>9.67</v>
      </c>
      <c r="M1390" s="3">
        <v>22.57</v>
      </c>
      <c r="N1390" s="3" t="s">
        <v>8</v>
      </c>
      <c r="O1390" s="3" t="s">
        <v>8</v>
      </c>
    </row>
    <row r="1391" spans="1:15" x14ac:dyDescent="0.35">
      <c r="A1391" s="5" t="str">
        <f>Loads[[#This Row],[Date]]&amp;Loads[[#This Row],[Product]]</f>
        <v>44246Product1</v>
      </c>
      <c r="B1391" s="5">
        <f>COUNTIF($A$1:A1391,Loads[[#This Row],[Load]])</f>
        <v>9</v>
      </c>
      <c r="C1391" s="3" t="str">
        <f>Loads[[#This Row],[Load]]&amp;Loads[[#This Row],[Count]]</f>
        <v>44246Product19</v>
      </c>
      <c r="D1391" s="90">
        <v>44246</v>
      </c>
      <c r="E1391" s="143">
        <v>7.7083333333333337E-2</v>
      </c>
      <c r="F1391" s="1" t="s">
        <v>9</v>
      </c>
      <c r="G1391" s="2" t="s">
        <v>12</v>
      </c>
      <c r="H1391" s="2" t="s">
        <v>42</v>
      </c>
      <c r="I1391" s="1" t="s">
        <v>11</v>
      </c>
      <c r="J1391" s="1" t="s">
        <v>8</v>
      </c>
      <c r="K1391" s="89">
        <v>23680</v>
      </c>
      <c r="L1391" s="3">
        <v>9.6</v>
      </c>
      <c r="M1391" s="3">
        <v>22.74</v>
      </c>
      <c r="N1391" s="3" t="s">
        <v>8</v>
      </c>
      <c r="O1391" s="3" t="s">
        <v>8</v>
      </c>
    </row>
    <row r="1392" spans="1:15" x14ac:dyDescent="0.35">
      <c r="A1392" s="5" t="str">
        <f>Loads[[#This Row],[Date]]&amp;Loads[[#This Row],[Product]]</f>
        <v>44246Product1</v>
      </c>
      <c r="B1392" s="5">
        <f>COUNTIF($A$1:A1392,Loads[[#This Row],[Load]])</f>
        <v>10</v>
      </c>
      <c r="C1392" s="3" t="str">
        <f>Loads[[#This Row],[Load]]&amp;Loads[[#This Row],[Count]]</f>
        <v>44246Product110</v>
      </c>
      <c r="D1392" s="90">
        <v>44246</v>
      </c>
      <c r="E1392" s="143">
        <v>7.7777777777777779E-2</v>
      </c>
      <c r="F1392" s="1" t="s">
        <v>9</v>
      </c>
      <c r="G1392" s="2" t="s">
        <v>12</v>
      </c>
      <c r="H1392" s="2" t="s">
        <v>42</v>
      </c>
      <c r="I1392" s="1" t="s">
        <v>10</v>
      </c>
      <c r="J1392" s="1">
        <v>655</v>
      </c>
      <c r="K1392" s="89">
        <v>25960</v>
      </c>
      <c r="L1392" s="3">
        <v>6.77</v>
      </c>
      <c r="M1392" s="3">
        <v>21.35</v>
      </c>
      <c r="N1392" s="3" t="s">
        <v>8</v>
      </c>
      <c r="O1392" s="3" t="s">
        <v>8</v>
      </c>
    </row>
    <row r="1393" spans="1:15" x14ac:dyDescent="0.35">
      <c r="A1393" s="5" t="str">
        <f>Loads[[#This Row],[Date]]&amp;Loads[[#This Row],[Product]]</f>
        <v>44246Product4</v>
      </c>
      <c r="B1393" s="5">
        <f>COUNTIF($A$1:A1393,Loads[[#This Row],[Load]])</f>
        <v>1</v>
      </c>
      <c r="C1393" s="3" t="str">
        <f>Loads[[#This Row],[Load]]&amp;Loads[[#This Row],[Count]]</f>
        <v>44246Product41</v>
      </c>
      <c r="D1393" s="90">
        <v>44246</v>
      </c>
      <c r="E1393" s="143">
        <v>7.8472222222222221E-2</v>
      </c>
      <c r="F1393" s="1" t="s">
        <v>9</v>
      </c>
      <c r="G1393" s="2" t="s">
        <v>15</v>
      </c>
      <c r="H1393" s="2" t="s">
        <v>42</v>
      </c>
      <c r="I1393" s="1" t="s">
        <v>11</v>
      </c>
      <c r="J1393" s="1" t="s">
        <v>8</v>
      </c>
      <c r="K1393" s="89">
        <v>31020</v>
      </c>
      <c r="L1393" s="3">
        <v>8.57</v>
      </c>
      <c r="M1393" s="3">
        <v>62.81</v>
      </c>
      <c r="N1393" s="3" t="s">
        <v>8</v>
      </c>
      <c r="O1393" s="3" t="s">
        <v>8</v>
      </c>
    </row>
    <row r="1394" spans="1:15" x14ac:dyDescent="0.35">
      <c r="A1394" s="5" t="str">
        <f>Loads[[#This Row],[Date]]&amp;Loads[[#This Row],[Product]]</f>
        <v>44246Product4</v>
      </c>
      <c r="B1394" s="5">
        <f>COUNTIF($A$1:A1394,Loads[[#This Row],[Load]])</f>
        <v>2</v>
      </c>
      <c r="C1394" s="3" t="str">
        <f>Loads[[#This Row],[Load]]&amp;Loads[[#This Row],[Count]]</f>
        <v>44246Product42</v>
      </c>
      <c r="D1394" s="90">
        <v>44246</v>
      </c>
      <c r="E1394" s="143">
        <v>7.8472222222222221E-2</v>
      </c>
      <c r="F1394" s="1" t="s">
        <v>9</v>
      </c>
      <c r="G1394" s="2" t="s">
        <v>15</v>
      </c>
      <c r="H1394" s="2" t="s">
        <v>42</v>
      </c>
      <c r="I1394" s="1" t="s">
        <v>11</v>
      </c>
      <c r="J1394" s="1" t="s">
        <v>8</v>
      </c>
      <c r="K1394" s="89">
        <v>29680</v>
      </c>
      <c r="L1394" s="3">
        <v>9.2200000000000006</v>
      </c>
      <c r="M1394" s="3">
        <v>62.19</v>
      </c>
      <c r="N1394" s="3" t="s">
        <v>8</v>
      </c>
      <c r="O1394" s="3" t="s">
        <v>8</v>
      </c>
    </row>
    <row r="1395" spans="1:15" x14ac:dyDescent="0.35">
      <c r="A1395" s="5" t="str">
        <f>Loads[[#This Row],[Date]]&amp;Loads[[#This Row],[Product]]</f>
        <v>44246Product6</v>
      </c>
      <c r="B1395" s="5">
        <f>COUNTIF($A$1:A1395,Loads[[#This Row],[Load]])</f>
        <v>1</v>
      </c>
      <c r="C1395" s="3" t="str">
        <f>Loads[[#This Row],[Load]]&amp;Loads[[#This Row],[Count]]</f>
        <v>44246Product61</v>
      </c>
      <c r="D1395" s="90">
        <v>44246</v>
      </c>
      <c r="E1395" s="143">
        <v>7.9166666666666663E-2</v>
      </c>
      <c r="F1395" s="1" t="s">
        <v>9</v>
      </c>
      <c r="G1395" s="2" t="s">
        <v>17</v>
      </c>
      <c r="H1395" s="2" t="s">
        <v>42</v>
      </c>
      <c r="I1395" s="1" t="s">
        <v>11</v>
      </c>
      <c r="J1395" s="1" t="s">
        <v>8</v>
      </c>
      <c r="K1395" s="89">
        <v>35660</v>
      </c>
      <c r="L1395" s="3">
        <v>0.08</v>
      </c>
      <c r="M1395" s="3" t="s">
        <v>8</v>
      </c>
      <c r="N1395" s="3">
        <v>1.57</v>
      </c>
      <c r="O1395" s="3" t="s">
        <v>8</v>
      </c>
    </row>
    <row r="1396" spans="1:15" x14ac:dyDescent="0.35">
      <c r="A1396" s="5" t="str">
        <f>Loads[[#This Row],[Date]]&amp;Loads[[#This Row],[Product]]</f>
        <v>44246Product7</v>
      </c>
      <c r="B1396" s="5">
        <f>COUNTIF($A$1:A1396,Loads[[#This Row],[Load]])</f>
        <v>1</v>
      </c>
      <c r="C1396" s="3" t="str">
        <f>Loads[[#This Row],[Load]]&amp;Loads[[#This Row],[Count]]</f>
        <v>44246Product71</v>
      </c>
      <c r="D1396" s="90">
        <v>44246</v>
      </c>
      <c r="E1396" s="143">
        <v>9.1666666666666674E-2</v>
      </c>
      <c r="F1396" s="1" t="s">
        <v>9</v>
      </c>
      <c r="G1396" s="2" t="s">
        <v>18</v>
      </c>
      <c r="H1396" s="2" t="s">
        <v>42</v>
      </c>
      <c r="I1396" s="1" t="s">
        <v>11</v>
      </c>
      <c r="J1396" s="1" t="s">
        <v>8</v>
      </c>
      <c r="K1396" s="89">
        <v>26200</v>
      </c>
      <c r="L1396" s="3" t="s">
        <v>8</v>
      </c>
      <c r="M1396" s="3">
        <v>21.06</v>
      </c>
      <c r="N1396" s="3" t="s">
        <v>8</v>
      </c>
      <c r="O1396" s="3">
        <v>40.340000000000003</v>
      </c>
    </row>
    <row r="1397" spans="1:15" x14ac:dyDescent="0.35">
      <c r="A1397" s="5" t="str">
        <f>Loads[[#This Row],[Date]]&amp;Loads[[#This Row],[Product]]</f>
        <v>44246Product7</v>
      </c>
      <c r="B1397" s="5">
        <f>COUNTIF($A$1:A1397,Loads[[#This Row],[Load]])</f>
        <v>2</v>
      </c>
      <c r="C1397" s="3" t="str">
        <f>Loads[[#This Row],[Load]]&amp;Loads[[#This Row],[Count]]</f>
        <v>44246Product72</v>
      </c>
      <c r="D1397" s="90">
        <v>44246</v>
      </c>
      <c r="E1397" s="143">
        <v>9.2361111111111116E-2</v>
      </c>
      <c r="F1397" s="1" t="s">
        <v>9</v>
      </c>
      <c r="G1397" s="2" t="s">
        <v>18</v>
      </c>
      <c r="H1397" s="2" t="s">
        <v>42</v>
      </c>
      <c r="I1397" s="1" t="s">
        <v>11</v>
      </c>
      <c r="J1397" s="1" t="s">
        <v>8</v>
      </c>
      <c r="K1397" s="89">
        <v>21880</v>
      </c>
      <c r="L1397" s="3" t="s">
        <v>8</v>
      </c>
      <c r="M1397" s="3">
        <v>21.06</v>
      </c>
      <c r="N1397" s="3" t="s">
        <v>8</v>
      </c>
      <c r="O1397" s="3">
        <v>40.340000000000003</v>
      </c>
    </row>
    <row r="1398" spans="1:15" x14ac:dyDescent="0.35">
      <c r="A1398" s="5" t="str">
        <f>Loads[[#This Row],[Date]]&amp;Loads[[#This Row],[Product]]</f>
        <v>44246Product8</v>
      </c>
      <c r="B1398" s="5">
        <f>COUNTIF($A$1:A1398,Loads[[#This Row],[Load]])</f>
        <v>1</v>
      </c>
      <c r="C1398" s="3" t="str">
        <f>Loads[[#This Row],[Load]]&amp;Loads[[#This Row],[Count]]</f>
        <v>44246Product81</v>
      </c>
      <c r="D1398" s="90">
        <v>44246</v>
      </c>
      <c r="E1398" s="143">
        <v>9.3055555555555558E-2</v>
      </c>
      <c r="F1398" s="1" t="s">
        <v>9</v>
      </c>
      <c r="G1398" s="2" t="s">
        <v>19</v>
      </c>
      <c r="H1398" s="2" t="s">
        <v>42</v>
      </c>
      <c r="I1398" s="1" t="s">
        <v>11</v>
      </c>
      <c r="J1398" s="1" t="s">
        <v>8</v>
      </c>
      <c r="K1398" s="89">
        <v>12340</v>
      </c>
      <c r="L1398" s="3">
        <v>12.2</v>
      </c>
      <c r="M1398" s="3">
        <v>7.5</v>
      </c>
      <c r="N1398" s="3" t="s">
        <v>8</v>
      </c>
      <c r="O1398" s="3" t="s">
        <v>8</v>
      </c>
    </row>
    <row r="1399" spans="1:15" x14ac:dyDescent="0.35">
      <c r="A1399" s="5" t="str">
        <f>Loads[[#This Row],[Date]]&amp;Loads[[#This Row],[Product]]</f>
        <v>44246Product5</v>
      </c>
      <c r="B1399" s="5">
        <f>COUNTIF($A$1:A1399,Loads[[#This Row],[Load]])</f>
        <v>1</v>
      </c>
      <c r="C1399" s="3" t="str">
        <f>Loads[[#This Row],[Load]]&amp;Loads[[#This Row],[Count]]</f>
        <v>44246Product51</v>
      </c>
      <c r="D1399" s="90">
        <v>44246</v>
      </c>
      <c r="E1399" s="143">
        <v>9.4444444444444442E-2</v>
      </c>
      <c r="F1399" s="1" t="s">
        <v>9</v>
      </c>
      <c r="G1399" s="2" t="s">
        <v>16</v>
      </c>
      <c r="H1399" s="2" t="s">
        <v>42</v>
      </c>
      <c r="I1399" s="1" t="s">
        <v>11</v>
      </c>
      <c r="J1399" s="1" t="s">
        <v>8</v>
      </c>
      <c r="K1399" s="89">
        <v>11540</v>
      </c>
      <c r="L1399" s="3">
        <v>11.64</v>
      </c>
      <c r="N1399" s="3"/>
      <c r="O1399" s="3"/>
    </row>
    <row r="1400" spans="1:15" x14ac:dyDescent="0.35">
      <c r="A1400" s="5" t="str">
        <f>Loads[[#This Row],[Date]]&amp;Loads[[#This Row],[Product]]</f>
        <v>44246Product2</v>
      </c>
      <c r="B1400" s="5">
        <f>COUNTIF($A$1:A1400,Loads[[#This Row],[Load]])</f>
        <v>1</v>
      </c>
      <c r="C1400" s="3" t="str">
        <f>Loads[[#This Row],[Load]]&amp;Loads[[#This Row],[Count]]</f>
        <v>44246Product21</v>
      </c>
      <c r="D1400" s="90">
        <v>44246</v>
      </c>
      <c r="E1400" s="143">
        <v>9.7916666666666666E-2</v>
      </c>
      <c r="F1400" s="1" t="s">
        <v>9</v>
      </c>
      <c r="G1400" s="2" t="s">
        <v>13</v>
      </c>
      <c r="H1400" s="2" t="s">
        <v>42</v>
      </c>
      <c r="I1400" s="1" t="s">
        <v>11</v>
      </c>
      <c r="J1400" s="1" t="s">
        <v>8</v>
      </c>
      <c r="K1400" s="89">
        <v>13180</v>
      </c>
      <c r="L1400" s="3">
        <v>62.17</v>
      </c>
      <c r="M1400" s="3">
        <v>10.49</v>
      </c>
      <c r="N1400" s="3" t="s">
        <v>8</v>
      </c>
      <c r="O1400" s="3" t="s">
        <v>8</v>
      </c>
    </row>
    <row r="1401" spans="1:15" x14ac:dyDescent="0.35">
      <c r="A1401" s="5" t="str">
        <f>Loads[[#This Row],[Date]]&amp;Loads[[#This Row],[Product]]</f>
        <v>44246Product2</v>
      </c>
      <c r="B1401" s="5">
        <f>COUNTIF($A$1:A1401,Loads[[#This Row],[Load]])</f>
        <v>2</v>
      </c>
      <c r="C1401" s="3" t="str">
        <f>Loads[[#This Row],[Load]]&amp;Loads[[#This Row],[Count]]</f>
        <v>44246Product22</v>
      </c>
      <c r="D1401" s="90">
        <v>44246</v>
      </c>
      <c r="E1401" s="143">
        <v>9.8611111111111108E-2</v>
      </c>
      <c r="F1401" s="1" t="s">
        <v>9</v>
      </c>
      <c r="G1401" s="2" t="s">
        <v>13</v>
      </c>
      <c r="H1401" s="2" t="s">
        <v>42</v>
      </c>
      <c r="I1401" s="1" t="s">
        <v>11</v>
      </c>
      <c r="J1401" s="1" t="s">
        <v>8</v>
      </c>
      <c r="K1401" s="89">
        <v>12160</v>
      </c>
      <c r="L1401" s="3">
        <v>60.91</v>
      </c>
      <c r="M1401" s="3">
        <v>10.35</v>
      </c>
      <c r="N1401" s="3" t="s">
        <v>8</v>
      </c>
      <c r="O1401" s="3" t="s">
        <v>8</v>
      </c>
    </row>
    <row r="1402" spans="1:15" x14ac:dyDescent="0.35">
      <c r="A1402" s="5" t="str">
        <f>Loads[[#This Row],[Date]]&amp;Loads[[#This Row],[Product]]</f>
        <v>44246Product2</v>
      </c>
      <c r="B1402" s="5">
        <f>COUNTIF($A$1:A1402,Loads[[#This Row],[Load]])</f>
        <v>3</v>
      </c>
      <c r="C1402" s="3" t="str">
        <f>Loads[[#This Row],[Load]]&amp;Loads[[#This Row],[Count]]</f>
        <v>44246Product23</v>
      </c>
      <c r="D1402" s="90">
        <v>44246</v>
      </c>
      <c r="E1402" s="143">
        <v>9.8611111111111108E-2</v>
      </c>
      <c r="F1402" s="1" t="s">
        <v>9</v>
      </c>
      <c r="G1402" s="2" t="s">
        <v>13</v>
      </c>
      <c r="H1402" s="2" t="s">
        <v>42</v>
      </c>
      <c r="I1402" s="1" t="s">
        <v>11</v>
      </c>
      <c r="J1402" s="1" t="s">
        <v>8</v>
      </c>
      <c r="K1402" s="89">
        <v>11980</v>
      </c>
      <c r="L1402" s="3">
        <v>61.45</v>
      </c>
      <c r="M1402" s="3">
        <v>9.68</v>
      </c>
      <c r="N1402" s="3" t="s">
        <v>8</v>
      </c>
      <c r="O1402" s="3" t="s">
        <v>8</v>
      </c>
    </row>
    <row r="1403" spans="1:15" x14ac:dyDescent="0.35">
      <c r="A1403" s="5" t="str">
        <f>Loads[[#This Row],[Date]]&amp;Loads[[#This Row],[Product]]</f>
        <v>44246Product2</v>
      </c>
      <c r="B1403" s="5">
        <f>COUNTIF($A$1:A1403,Loads[[#This Row],[Load]])</f>
        <v>4</v>
      </c>
      <c r="C1403" s="3" t="str">
        <f>Loads[[#This Row],[Load]]&amp;Loads[[#This Row],[Count]]</f>
        <v>44246Product24</v>
      </c>
      <c r="D1403" s="90">
        <v>44246</v>
      </c>
      <c r="E1403" s="143">
        <v>9.930555555555555E-2</v>
      </c>
      <c r="F1403" s="1" t="s">
        <v>9</v>
      </c>
      <c r="G1403" s="2" t="s">
        <v>13</v>
      </c>
      <c r="H1403" s="2" t="s">
        <v>42</v>
      </c>
      <c r="I1403" s="1" t="s">
        <v>11</v>
      </c>
      <c r="J1403" s="1" t="s">
        <v>8</v>
      </c>
      <c r="K1403" s="89">
        <v>17000</v>
      </c>
      <c r="L1403" s="3">
        <v>61.34</v>
      </c>
      <c r="M1403" s="3">
        <v>10.16</v>
      </c>
      <c r="N1403" s="3" t="s">
        <v>8</v>
      </c>
      <c r="O1403" s="3" t="s">
        <v>8</v>
      </c>
    </row>
    <row r="1404" spans="1:15" x14ac:dyDescent="0.35">
      <c r="A1404" s="5" t="str">
        <f>Loads[[#This Row],[Date]]&amp;Loads[[#This Row],[Product]]</f>
        <v>44246Product2</v>
      </c>
      <c r="B1404" s="5">
        <f>COUNTIF($A$1:A1404,Loads[[#This Row],[Load]])</f>
        <v>5</v>
      </c>
      <c r="C1404" s="3" t="str">
        <f>Loads[[#This Row],[Load]]&amp;Loads[[#This Row],[Count]]</f>
        <v>44246Product25</v>
      </c>
      <c r="D1404" s="90">
        <v>44246</v>
      </c>
      <c r="E1404" s="143">
        <v>0.10069444444444443</v>
      </c>
      <c r="F1404" s="1" t="s">
        <v>9</v>
      </c>
      <c r="G1404" s="2" t="s">
        <v>13</v>
      </c>
      <c r="H1404" s="2" t="s">
        <v>42</v>
      </c>
      <c r="I1404" s="1" t="s">
        <v>11</v>
      </c>
      <c r="J1404" s="1" t="s">
        <v>8</v>
      </c>
      <c r="K1404" s="89">
        <v>12620</v>
      </c>
      <c r="L1404" s="3">
        <v>63.06</v>
      </c>
      <c r="M1404" s="3">
        <v>9.06</v>
      </c>
      <c r="N1404" s="3" t="s">
        <v>8</v>
      </c>
      <c r="O1404" s="3" t="s">
        <v>8</v>
      </c>
    </row>
    <row r="1405" spans="1:15" x14ac:dyDescent="0.35">
      <c r="A1405" s="5" t="str">
        <f>Loads[[#This Row],[Date]]&amp;Loads[[#This Row],[Product]]</f>
        <v>44246Product2</v>
      </c>
      <c r="B1405" s="5">
        <f>COUNTIF($A$1:A1405,Loads[[#This Row],[Load]])</f>
        <v>6</v>
      </c>
      <c r="C1405" s="3" t="str">
        <f>Loads[[#This Row],[Load]]&amp;Loads[[#This Row],[Count]]</f>
        <v>44246Product26</v>
      </c>
      <c r="D1405" s="90">
        <v>44246</v>
      </c>
      <c r="E1405" s="143">
        <v>0.10069444444444443</v>
      </c>
      <c r="F1405" s="1" t="s">
        <v>9</v>
      </c>
      <c r="G1405" s="2" t="s">
        <v>13</v>
      </c>
      <c r="H1405" s="2" t="s">
        <v>42</v>
      </c>
      <c r="I1405" s="1" t="s">
        <v>11</v>
      </c>
      <c r="J1405" s="1" t="s">
        <v>8</v>
      </c>
      <c r="K1405" s="89">
        <v>12580</v>
      </c>
      <c r="L1405" s="3">
        <v>59.73</v>
      </c>
      <c r="M1405" s="3">
        <v>10.09</v>
      </c>
      <c r="N1405" s="3" t="s">
        <v>8</v>
      </c>
      <c r="O1405" s="3" t="s">
        <v>8</v>
      </c>
    </row>
    <row r="1406" spans="1:15" x14ac:dyDescent="0.35">
      <c r="A1406" s="5" t="str">
        <f>Loads[[#This Row],[Date]]&amp;Loads[[#This Row],[Product]]</f>
        <v>44246Product2</v>
      </c>
      <c r="B1406" s="5">
        <f>COUNTIF($A$1:A1406,Loads[[#This Row],[Load]])</f>
        <v>7</v>
      </c>
      <c r="C1406" s="3" t="str">
        <f>Loads[[#This Row],[Load]]&amp;Loads[[#This Row],[Count]]</f>
        <v>44246Product27</v>
      </c>
      <c r="D1406" s="90">
        <v>44246</v>
      </c>
      <c r="E1406" s="143">
        <v>0.1013888888888889</v>
      </c>
      <c r="F1406" s="1" t="s">
        <v>9</v>
      </c>
      <c r="G1406" s="2" t="s">
        <v>13</v>
      </c>
      <c r="H1406" s="2" t="s">
        <v>42</v>
      </c>
      <c r="I1406" s="1" t="s">
        <v>11</v>
      </c>
      <c r="J1406" s="1" t="s">
        <v>8</v>
      </c>
      <c r="K1406" s="89">
        <v>12060</v>
      </c>
      <c r="L1406" s="3">
        <v>60.91</v>
      </c>
      <c r="M1406" s="3">
        <v>10.35</v>
      </c>
      <c r="N1406" s="3" t="s">
        <v>8</v>
      </c>
      <c r="O1406" s="3" t="s">
        <v>8</v>
      </c>
    </row>
    <row r="1407" spans="1:15" x14ac:dyDescent="0.35">
      <c r="A1407" s="5" t="str">
        <f>Loads[[#This Row],[Date]]&amp;Loads[[#This Row],[Product]]</f>
        <v>44246Product2</v>
      </c>
      <c r="B1407" s="5">
        <f>COUNTIF($A$1:A1407,Loads[[#This Row],[Load]])</f>
        <v>8</v>
      </c>
      <c r="C1407" s="3" t="str">
        <f>Loads[[#This Row],[Load]]&amp;Loads[[#This Row],[Count]]</f>
        <v>44246Product28</v>
      </c>
      <c r="D1407" s="90">
        <v>44246</v>
      </c>
      <c r="E1407" s="143">
        <v>0.10208333333333335</v>
      </c>
      <c r="F1407" s="1" t="s">
        <v>9</v>
      </c>
      <c r="G1407" s="2" t="s">
        <v>13</v>
      </c>
      <c r="H1407" s="2" t="s">
        <v>42</v>
      </c>
      <c r="I1407" s="1" t="s">
        <v>11</v>
      </c>
      <c r="J1407" s="1" t="s">
        <v>8</v>
      </c>
      <c r="K1407" s="89">
        <v>11340</v>
      </c>
      <c r="L1407" s="3">
        <v>60.55</v>
      </c>
      <c r="M1407" s="3">
        <v>10.98</v>
      </c>
      <c r="N1407" s="3" t="s">
        <v>8</v>
      </c>
      <c r="O1407" s="3" t="s">
        <v>8</v>
      </c>
    </row>
    <row r="1408" spans="1:15" x14ac:dyDescent="0.35">
      <c r="A1408" s="5" t="str">
        <f>Loads[[#This Row],[Date]]&amp;Loads[[#This Row],[Product]]</f>
        <v>44247Product1</v>
      </c>
      <c r="B1408" s="5">
        <f>COUNTIF($A$1:A1408,Loads[[#This Row],[Load]])</f>
        <v>1</v>
      </c>
      <c r="C1408" s="3" t="str">
        <f>Loads[[#This Row],[Load]]&amp;Loads[[#This Row],[Count]]</f>
        <v>44247Product11</v>
      </c>
      <c r="D1408" s="90">
        <v>44247</v>
      </c>
      <c r="E1408" s="143">
        <v>0.10486111111111111</v>
      </c>
      <c r="F1408" s="1" t="s">
        <v>9</v>
      </c>
      <c r="G1408" s="2" t="s">
        <v>12</v>
      </c>
      <c r="H1408" s="2" t="s">
        <v>42</v>
      </c>
      <c r="I1408" s="1" t="s">
        <v>11</v>
      </c>
      <c r="J1408" s="1" t="s">
        <v>8</v>
      </c>
      <c r="K1408" s="89">
        <v>22940</v>
      </c>
      <c r="L1408" s="3">
        <v>8.3000000000000007</v>
      </c>
      <c r="M1408" s="3">
        <v>20.5</v>
      </c>
      <c r="N1408" s="3" t="s">
        <v>8</v>
      </c>
      <c r="O1408" s="3" t="s">
        <v>8</v>
      </c>
    </row>
    <row r="1409" spans="1:15" x14ac:dyDescent="0.35">
      <c r="A1409" s="5" t="str">
        <f>Loads[[#This Row],[Date]]&amp;Loads[[#This Row],[Product]]</f>
        <v>44247Product1</v>
      </c>
      <c r="B1409" s="5">
        <f>COUNTIF($A$1:A1409,Loads[[#This Row],[Load]])</f>
        <v>2</v>
      </c>
      <c r="C1409" s="3" t="str">
        <f>Loads[[#This Row],[Load]]&amp;Loads[[#This Row],[Count]]</f>
        <v>44247Product12</v>
      </c>
      <c r="D1409" s="90">
        <v>44247</v>
      </c>
      <c r="E1409" s="143">
        <v>0.10555555555555556</v>
      </c>
      <c r="F1409" s="1" t="s">
        <v>9</v>
      </c>
      <c r="G1409" s="2" t="s">
        <v>12</v>
      </c>
      <c r="H1409" s="2" t="s">
        <v>42</v>
      </c>
      <c r="I1409" s="1" t="s">
        <v>11</v>
      </c>
      <c r="J1409" s="1" t="s">
        <v>8</v>
      </c>
      <c r="K1409" s="89">
        <v>30000</v>
      </c>
      <c r="L1409" s="3">
        <v>8.5</v>
      </c>
      <c r="M1409" s="3">
        <v>20.5</v>
      </c>
      <c r="N1409" s="3" t="s">
        <v>8</v>
      </c>
      <c r="O1409" s="3" t="s">
        <v>8</v>
      </c>
    </row>
    <row r="1410" spans="1:15" x14ac:dyDescent="0.35">
      <c r="A1410" s="5" t="str">
        <f>Loads[[#This Row],[Date]]&amp;Loads[[#This Row],[Product]]</f>
        <v>44247Product1</v>
      </c>
      <c r="B1410" s="5">
        <f>COUNTIF($A$1:A1410,Loads[[#This Row],[Load]])</f>
        <v>3</v>
      </c>
      <c r="C1410" s="3" t="str">
        <f>Loads[[#This Row],[Load]]&amp;Loads[[#This Row],[Count]]</f>
        <v>44247Product13</v>
      </c>
      <c r="D1410" s="90">
        <v>44247</v>
      </c>
      <c r="E1410" s="143">
        <v>0.10625</v>
      </c>
      <c r="F1410" s="1" t="s">
        <v>9</v>
      </c>
      <c r="G1410" s="2" t="s">
        <v>12</v>
      </c>
      <c r="H1410" s="2" t="s">
        <v>42</v>
      </c>
      <c r="I1410" s="1" t="s">
        <v>10</v>
      </c>
      <c r="J1410" s="1">
        <v>655</v>
      </c>
      <c r="K1410" s="89">
        <v>25860</v>
      </c>
      <c r="L1410" s="3">
        <v>7.72</v>
      </c>
      <c r="M1410" s="3">
        <v>21.6</v>
      </c>
      <c r="N1410" s="3" t="s">
        <v>8</v>
      </c>
      <c r="O1410" s="3" t="s">
        <v>8</v>
      </c>
    </row>
    <row r="1411" spans="1:15" x14ac:dyDescent="0.35">
      <c r="A1411" s="5" t="str">
        <f>Loads[[#This Row],[Date]]&amp;Loads[[#This Row],[Product]]</f>
        <v>44247Product1</v>
      </c>
      <c r="B1411" s="5">
        <f>COUNTIF($A$1:A1411,Loads[[#This Row],[Load]])</f>
        <v>4</v>
      </c>
      <c r="C1411" s="3" t="str">
        <f>Loads[[#This Row],[Load]]&amp;Loads[[#This Row],[Count]]</f>
        <v>44247Product14</v>
      </c>
      <c r="D1411" s="90">
        <v>44247</v>
      </c>
      <c r="E1411" s="143">
        <v>0.10694444444444444</v>
      </c>
      <c r="F1411" s="1" t="s">
        <v>9</v>
      </c>
      <c r="G1411" s="2" t="s">
        <v>12</v>
      </c>
      <c r="H1411" s="2" t="s">
        <v>42</v>
      </c>
      <c r="I1411" s="1" t="s">
        <v>11</v>
      </c>
      <c r="J1411" s="1" t="s">
        <v>8</v>
      </c>
      <c r="K1411" s="89">
        <v>25300</v>
      </c>
      <c r="L1411" s="3">
        <v>8.32</v>
      </c>
      <c r="M1411" s="3">
        <v>22.1</v>
      </c>
      <c r="N1411" s="3" t="s">
        <v>8</v>
      </c>
      <c r="O1411" s="3" t="s">
        <v>8</v>
      </c>
    </row>
    <row r="1412" spans="1:15" x14ac:dyDescent="0.35">
      <c r="A1412" s="5" t="str">
        <f>Loads[[#This Row],[Date]]&amp;Loads[[#This Row],[Product]]</f>
        <v>44247Product1</v>
      </c>
      <c r="B1412" s="5">
        <f>COUNTIF($A$1:A1412,Loads[[#This Row],[Load]])</f>
        <v>5</v>
      </c>
      <c r="C1412" s="3" t="str">
        <f>Loads[[#This Row],[Load]]&amp;Loads[[#This Row],[Count]]</f>
        <v>44247Product15</v>
      </c>
      <c r="D1412" s="90">
        <v>44247</v>
      </c>
      <c r="E1412" s="143">
        <v>0.10694444444444444</v>
      </c>
      <c r="F1412" s="1" t="s">
        <v>9</v>
      </c>
      <c r="G1412" s="2" t="s">
        <v>12</v>
      </c>
      <c r="H1412" s="2" t="s">
        <v>42</v>
      </c>
      <c r="I1412" s="1" t="s">
        <v>11</v>
      </c>
      <c r="J1412" s="1" t="s">
        <v>8</v>
      </c>
      <c r="K1412" s="89">
        <v>17220</v>
      </c>
      <c r="L1412" s="3">
        <v>9.08</v>
      </c>
      <c r="M1412" s="3">
        <v>22.16</v>
      </c>
      <c r="N1412" s="3" t="s">
        <v>8</v>
      </c>
      <c r="O1412" s="3" t="s">
        <v>8</v>
      </c>
    </row>
    <row r="1413" spans="1:15" x14ac:dyDescent="0.35">
      <c r="A1413" s="5" t="str">
        <f>Loads[[#This Row],[Date]]&amp;Loads[[#This Row],[Product]]</f>
        <v>44247Product1</v>
      </c>
      <c r="B1413" s="5">
        <f>COUNTIF($A$1:A1413,Loads[[#This Row],[Load]])</f>
        <v>6</v>
      </c>
      <c r="C1413" s="3" t="str">
        <f>Loads[[#This Row],[Load]]&amp;Loads[[#This Row],[Count]]</f>
        <v>44247Product16</v>
      </c>
      <c r="D1413" s="90">
        <v>44247</v>
      </c>
      <c r="E1413" s="143">
        <v>0.1076388888888889</v>
      </c>
      <c r="F1413" s="1" t="s">
        <v>9</v>
      </c>
      <c r="G1413" s="2" t="s">
        <v>12</v>
      </c>
      <c r="H1413" s="2" t="s">
        <v>42</v>
      </c>
      <c r="I1413" s="1" t="s">
        <v>11</v>
      </c>
      <c r="J1413" s="1" t="s">
        <v>8</v>
      </c>
      <c r="K1413" s="89">
        <v>25480</v>
      </c>
      <c r="L1413" s="3">
        <v>8.15</v>
      </c>
      <c r="M1413" s="3">
        <v>21.78</v>
      </c>
      <c r="N1413" s="3" t="s">
        <v>8</v>
      </c>
      <c r="O1413" s="3" t="s">
        <v>8</v>
      </c>
    </row>
    <row r="1414" spans="1:15" x14ac:dyDescent="0.35">
      <c r="A1414" s="5" t="str">
        <f>Loads[[#This Row],[Date]]&amp;Loads[[#This Row],[Product]]</f>
        <v>44247Product1</v>
      </c>
      <c r="B1414" s="5">
        <f>COUNTIF($A$1:A1414,Loads[[#This Row],[Load]])</f>
        <v>7</v>
      </c>
      <c r="C1414" s="3" t="str">
        <f>Loads[[#This Row],[Load]]&amp;Loads[[#This Row],[Count]]</f>
        <v>44247Product17</v>
      </c>
      <c r="D1414" s="90">
        <v>44247</v>
      </c>
      <c r="E1414" s="143">
        <v>0.10833333333333334</v>
      </c>
      <c r="F1414" s="1" t="s">
        <v>9</v>
      </c>
      <c r="G1414" s="2" t="s">
        <v>12</v>
      </c>
      <c r="H1414" s="2" t="s">
        <v>42</v>
      </c>
      <c r="I1414" s="1" t="s">
        <v>11</v>
      </c>
      <c r="J1414" s="1" t="s">
        <v>8</v>
      </c>
      <c r="K1414" s="89">
        <v>32160</v>
      </c>
      <c r="L1414" s="3">
        <v>10.06</v>
      </c>
      <c r="M1414" s="3">
        <v>21.77</v>
      </c>
      <c r="N1414" s="3" t="s">
        <v>8</v>
      </c>
      <c r="O1414" s="3" t="s">
        <v>8</v>
      </c>
    </row>
    <row r="1415" spans="1:15" x14ac:dyDescent="0.35">
      <c r="A1415" s="5" t="str">
        <f>Loads[[#This Row],[Date]]&amp;Loads[[#This Row],[Product]]</f>
        <v>44247Product1</v>
      </c>
      <c r="B1415" s="5">
        <f>COUNTIF($A$1:A1415,Loads[[#This Row],[Load]])</f>
        <v>8</v>
      </c>
      <c r="C1415" s="3" t="str">
        <f>Loads[[#This Row],[Load]]&amp;Loads[[#This Row],[Count]]</f>
        <v>44247Product18</v>
      </c>
      <c r="D1415" s="90">
        <v>44247</v>
      </c>
      <c r="E1415" s="143">
        <v>0.10833333333333334</v>
      </c>
      <c r="F1415" s="1" t="s">
        <v>9</v>
      </c>
      <c r="G1415" s="2" t="s">
        <v>12</v>
      </c>
      <c r="H1415" s="2" t="s">
        <v>42</v>
      </c>
      <c r="I1415" s="1" t="s">
        <v>11</v>
      </c>
      <c r="J1415" s="1" t="s">
        <v>8</v>
      </c>
      <c r="K1415" s="89">
        <v>25380</v>
      </c>
      <c r="L1415" s="3">
        <v>8.31</v>
      </c>
      <c r="M1415" s="3">
        <v>21.76</v>
      </c>
      <c r="N1415" s="3" t="s">
        <v>8</v>
      </c>
      <c r="O1415" s="3" t="s">
        <v>8</v>
      </c>
    </row>
    <row r="1416" spans="1:15" x14ac:dyDescent="0.35">
      <c r="A1416" s="5" t="str">
        <f>Loads[[#This Row],[Date]]&amp;Loads[[#This Row],[Product]]</f>
        <v>44247Product1</v>
      </c>
      <c r="B1416" s="5">
        <f>COUNTIF($A$1:A1416,Loads[[#This Row],[Load]])</f>
        <v>9</v>
      </c>
      <c r="C1416" s="3" t="str">
        <f>Loads[[#This Row],[Load]]&amp;Loads[[#This Row],[Count]]</f>
        <v>44247Product19</v>
      </c>
      <c r="D1416" s="90">
        <v>44247</v>
      </c>
      <c r="E1416" s="143">
        <v>0.10902777777777778</v>
      </c>
      <c r="F1416" s="1" t="s">
        <v>9</v>
      </c>
      <c r="G1416" s="2" t="s">
        <v>12</v>
      </c>
      <c r="H1416" s="2" t="s">
        <v>42</v>
      </c>
      <c r="I1416" s="1" t="s">
        <v>10</v>
      </c>
      <c r="J1416" s="1">
        <v>925</v>
      </c>
      <c r="K1416" s="89">
        <v>36580</v>
      </c>
      <c r="L1416" s="3">
        <v>8.27</v>
      </c>
      <c r="M1416" s="3">
        <v>21.8</v>
      </c>
      <c r="N1416" s="3" t="s">
        <v>8</v>
      </c>
      <c r="O1416" s="3" t="s">
        <v>8</v>
      </c>
    </row>
    <row r="1417" spans="1:15" x14ac:dyDescent="0.35">
      <c r="A1417" s="5" t="str">
        <f>Loads[[#This Row],[Date]]&amp;Loads[[#This Row],[Product]]</f>
        <v>44247Product1</v>
      </c>
      <c r="B1417" s="5">
        <f>COUNTIF($A$1:A1417,Loads[[#This Row],[Load]])</f>
        <v>10</v>
      </c>
      <c r="C1417" s="3" t="str">
        <f>Loads[[#This Row],[Load]]&amp;Loads[[#This Row],[Count]]</f>
        <v>44247Product110</v>
      </c>
      <c r="D1417" s="90">
        <v>44247</v>
      </c>
      <c r="E1417" s="143">
        <v>0.10972222222222222</v>
      </c>
      <c r="F1417" s="1" t="s">
        <v>9</v>
      </c>
      <c r="G1417" s="2" t="s">
        <v>12</v>
      </c>
      <c r="H1417" s="2" t="s">
        <v>42</v>
      </c>
      <c r="I1417" s="1" t="s">
        <v>11</v>
      </c>
      <c r="J1417" s="1" t="s">
        <v>8</v>
      </c>
      <c r="K1417" s="89">
        <v>20520</v>
      </c>
      <c r="L1417" s="3">
        <v>9</v>
      </c>
      <c r="M1417" s="3">
        <v>21.84</v>
      </c>
      <c r="N1417" s="3" t="s">
        <v>8</v>
      </c>
      <c r="O1417" s="3" t="s">
        <v>8</v>
      </c>
    </row>
    <row r="1418" spans="1:15" x14ac:dyDescent="0.35">
      <c r="A1418" s="5" t="str">
        <f>Loads[[#This Row],[Date]]&amp;Loads[[#This Row],[Product]]</f>
        <v>44247Product1</v>
      </c>
      <c r="B1418" s="5">
        <f>COUNTIF($A$1:A1418,Loads[[#This Row],[Load]])</f>
        <v>11</v>
      </c>
      <c r="C1418" s="3" t="str">
        <f>Loads[[#This Row],[Load]]&amp;Loads[[#This Row],[Count]]</f>
        <v>44247Product111</v>
      </c>
      <c r="D1418" s="90">
        <v>44247</v>
      </c>
      <c r="E1418" s="143">
        <v>0.10972222222222222</v>
      </c>
      <c r="F1418" s="1" t="s">
        <v>9</v>
      </c>
      <c r="G1418" s="2" t="s">
        <v>12</v>
      </c>
      <c r="H1418" s="2" t="s">
        <v>42</v>
      </c>
      <c r="I1418" s="1" t="s">
        <v>11</v>
      </c>
      <c r="J1418" s="1" t="s">
        <v>8</v>
      </c>
      <c r="K1418" s="89">
        <v>23940</v>
      </c>
      <c r="L1418" s="3">
        <v>8.94</v>
      </c>
      <c r="M1418" s="3">
        <v>21.26</v>
      </c>
      <c r="N1418" s="3" t="s">
        <v>8</v>
      </c>
      <c r="O1418" s="3" t="s">
        <v>8</v>
      </c>
    </row>
    <row r="1419" spans="1:15" x14ac:dyDescent="0.35">
      <c r="A1419" s="5" t="str">
        <f>Loads[[#This Row],[Date]]&amp;Loads[[#This Row],[Product]]</f>
        <v>44247Product1</v>
      </c>
      <c r="B1419" s="5">
        <f>COUNTIF($A$1:A1419,Loads[[#This Row],[Load]])</f>
        <v>12</v>
      </c>
      <c r="C1419" s="3" t="str">
        <f>Loads[[#This Row],[Load]]&amp;Loads[[#This Row],[Count]]</f>
        <v>44247Product112</v>
      </c>
      <c r="D1419" s="90">
        <v>44247</v>
      </c>
      <c r="E1419" s="143">
        <v>0.11041666666666666</v>
      </c>
      <c r="F1419" s="1" t="s">
        <v>9</v>
      </c>
      <c r="G1419" s="2" t="s">
        <v>12</v>
      </c>
      <c r="H1419" s="2" t="s">
        <v>42</v>
      </c>
      <c r="I1419" s="1" t="s">
        <v>11</v>
      </c>
      <c r="J1419" s="1" t="s">
        <v>8</v>
      </c>
      <c r="K1419" s="89">
        <v>28120</v>
      </c>
      <c r="L1419" s="3">
        <v>8.06</v>
      </c>
      <c r="M1419" s="3">
        <v>22.22</v>
      </c>
      <c r="N1419" s="3" t="s">
        <v>8</v>
      </c>
      <c r="O1419" s="3" t="s">
        <v>8</v>
      </c>
    </row>
    <row r="1420" spans="1:15" x14ac:dyDescent="0.35">
      <c r="A1420" s="5" t="str">
        <f>Loads[[#This Row],[Date]]&amp;Loads[[#This Row],[Product]]</f>
        <v>44247Product1</v>
      </c>
      <c r="B1420" s="5">
        <f>COUNTIF($A$1:A1420,Loads[[#This Row],[Load]])</f>
        <v>13</v>
      </c>
      <c r="C1420" s="3" t="str">
        <f>Loads[[#This Row],[Load]]&amp;Loads[[#This Row],[Count]]</f>
        <v>44247Product113</v>
      </c>
      <c r="D1420" s="90">
        <v>44247</v>
      </c>
      <c r="E1420" s="143">
        <v>0.11041666666666666</v>
      </c>
      <c r="F1420" s="1" t="s">
        <v>9</v>
      </c>
      <c r="G1420" s="2" t="s">
        <v>12</v>
      </c>
      <c r="H1420" s="2" t="s">
        <v>42</v>
      </c>
      <c r="I1420" s="1" t="s">
        <v>11</v>
      </c>
      <c r="J1420" s="1" t="s">
        <v>8</v>
      </c>
      <c r="K1420" s="89">
        <v>17360</v>
      </c>
      <c r="L1420" s="3">
        <v>8.39</v>
      </c>
      <c r="M1420" s="3">
        <v>22.19</v>
      </c>
      <c r="N1420" s="3" t="s">
        <v>8</v>
      </c>
      <c r="O1420" s="3" t="s">
        <v>8</v>
      </c>
    </row>
    <row r="1421" spans="1:15" x14ac:dyDescent="0.35">
      <c r="A1421" s="5" t="str">
        <f>Loads[[#This Row],[Date]]&amp;Loads[[#This Row],[Product]]</f>
        <v>44247Product1</v>
      </c>
      <c r="B1421" s="5">
        <f>COUNTIF($A$1:A1421,Loads[[#This Row],[Load]])</f>
        <v>14</v>
      </c>
      <c r="C1421" s="3" t="str">
        <f>Loads[[#This Row],[Load]]&amp;Loads[[#This Row],[Count]]</f>
        <v>44247Product114</v>
      </c>
      <c r="D1421" s="90">
        <v>44247</v>
      </c>
      <c r="E1421" s="143">
        <v>0.1111111111111111</v>
      </c>
      <c r="F1421" s="1" t="s">
        <v>9</v>
      </c>
      <c r="G1421" s="2" t="s">
        <v>12</v>
      </c>
      <c r="H1421" s="2" t="s">
        <v>42</v>
      </c>
      <c r="I1421" s="1" t="s">
        <v>11</v>
      </c>
      <c r="J1421" s="1" t="s">
        <v>8</v>
      </c>
      <c r="K1421" s="89">
        <v>23240</v>
      </c>
      <c r="L1421" s="3">
        <v>5.62</v>
      </c>
      <c r="M1421" s="3">
        <v>21.8</v>
      </c>
      <c r="N1421" s="3" t="s">
        <v>8</v>
      </c>
      <c r="O1421" s="3" t="s">
        <v>8</v>
      </c>
    </row>
    <row r="1422" spans="1:15" x14ac:dyDescent="0.35">
      <c r="A1422" s="5" t="str">
        <f>Loads[[#This Row],[Date]]&amp;Loads[[#This Row],[Product]]</f>
        <v>44247Product4</v>
      </c>
      <c r="B1422" s="5">
        <f>COUNTIF($A$1:A1422,Loads[[#This Row],[Load]])</f>
        <v>1</v>
      </c>
      <c r="C1422" s="3" t="str">
        <f>Loads[[#This Row],[Load]]&amp;Loads[[#This Row],[Count]]</f>
        <v>44247Product41</v>
      </c>
      <c r="D1422" s="90">
        <v>44247</v>
      </c>
      <c r="E1422" s="143">
        <v>0.11180555555555556</v>
      </c>
      <c r="F1422" s="1" t="s">
        <v>9</v>
      </c>
      <c r="G1422" s="2" t="s">
        <v>15</v>
      </c>
      <c r="H1422" s="2" t="s">
        <v>42</v>
      </c>
      <c r="I1422" s="1" t="s">
        <v>11</v>
      </c>
      <c r="J1422" s="1" t="s">
        <v>8</v>
      </c>
      <c r="K1422" s="89">
        <v>30560</v>
      </c>
      <c r="L1422" s="3">
        <v>8.5500000000000007</v>
      </c>
      <c r="M1422" s="3">
        <v>64.569999999999993</v>
      </c>
      <c r="N1422" s="3" t="s">
        <v>8</v>
      </c>
      <c r="O1422" s="3" t="s">
        <v>8</v>
      </c>
    </row>
    <row r="1423" spans="1:15" x14ac:dyDescent="0.35">
      <c r="A1423" s="5" t="str">
        <f>Loads[[#This Row],[Date]]&amp;Loads[[#This Row],[Product]]</f>
        <v>44247Product4</v>
      </c>
      <c r="B1423" s="5">
        <f>COUNTIF($A$1:A1423,Loads[[#This Row],[Load]])</f>
        <v>2</v>
      </c>
      <c r="C1423" s="3" t="str">
        <f>Loads[[#This Row],[Load]]&amp;Loads[[#This Row],[Count]]</f>
        <v>44247Product42</v>
      </c>
      <c r="D1423" s="90">
        <v>44247</v>
      </c>
      <c r="E1423" s="143">
        <v>0.11180555555555556</v>
      </c>
      <c r="F1423" s="1" t="s">
        <v>9</v>
      </c>
      <c r="G1423" s="2" t="s">
        <v>15</v>
      </c>
      <c r="H1423" s="2" t="s">
        <v>42</v>
      </c>
      <c r="I1423" s="1" t="s">
        <v>11</v>
      </c>
      <c r="J1423" s="1" t="s">
        <v>8</v>
      </c>
      <c r="K1423" s="89">
        <v>35900</v>
      </c>
      <c r="L1423" s="3">
        <v>6.22</v>
      </c>
      <c r="M1423" s="3">
        <v>66.650000000000006</v>
      </c>
      <c r="N1423" s="3" t="s">
        <v>8</v>
      </c>
      <c r="O1423" s="3" t="s">
        <v>8</v>
      </c>
    </row>
    <row r="1424" spans="1:15" x14ac:dyDescent="0.35">
      <c r="A1424" s="5" t="str">
        <f>Loads[[#This Row],[Date]]&amp;Loads[[#This Row],[Product]]</f>
        <v>44247Product6</v>
      </c>
      <c r="B1424" s="5">
        <f>COUNTIF($A$1:A1424,Loads[[#This Row],[Load]])</f>
        <v>1</v>
      </c>
      <c r="C1424" s="3" t="str">
        <f>Loads[[#This Row],[Load]]&amp;Loads[[#This Row],[Count]]</f>
        <v>44247Product61</v>
      </c>
      <c r="D1424" s="90">
        <v>44247</v>
      </c>
      <c r="E1424" s="143">
        <v>0.1125</v>
      </c>
      <c r="F1424" s="1" t="s">
        <v>9</v>
      </c>
      <c r="G1424" s="2" t="s">
        <v>17</v>
      </c>
      <c r="H1424" s="2" t="s">
        <v>42</v>
      </c>
      <c r="I1424" s="1" t="s">
        <v>11</v>
      </c>
      <c r="J1424" s="1" t="s">
        <v>8</v>
      </c>
      <c r="K1424" s="89">
        <v>35400</v>
      </c>
      <c r="L1424" s="3">
        <v>0.1</v>
      </c>
      <c r="M1424" s="3" t="s">
        <v>8</v>
      </c>
      <c r="N1424" s="3">
        <v>1.8</v>
      </c>
      <c r="O1424" s="3" t="s">
        <v>8</v>
      </c>
    </row>
    <row r="1425" spans="1:15" x14ac:dyDescent="0.35">
      <c r="A1425" s="5" t="str">
        <f>Loads[[#This Row],[Date]]&amp;Loads[[#This Row],[Product]]</f>
        <v>44247Product8</v>
      </c>
      <c r="B1425" s="5">
        <f>COUNTIF($A$1:A1425,Loads[[#This Row],[Load]])</f>
        <v>1</v>
      </c>
      <c r="C1425" s="3" t="str">
        <f>Loads[[#This Row],[Load]]&amp;Loads[[#This Row],[Count]]</f>
        <v>44247Product81</v>
      </c>
      <c r="D1425" s="90">
        <v>44247</v>
      </c>
      <c r="E1425" s="143">
        <v>0.1125</v>
      </c>
      <c r="F1425" s="1" t="s">
        <v>9</v>
      </c>
      <c r="G1425" s="2" t="s">
        <v>19</v>
      </c>
      <c r="H1425" s="2" t="s">
        <v>42</v>
      </c>
      <c r="I1425" s="1" t="s">
        <v>11</v>
      </c>
      <c r="J1425" s="1" t="s">
        <v>8</v>
      </c>
      <c r="K1425" s="89">
        <v>22100</v>
      </c>
      <c r="L1425" s="3">
        <v>10.210000000000001</v>
      </c>
      <c r="M1425" s="3">
        <v>7.2</v>
      </c>
      <c r="N1425" s="3" t="s">
        <v>8</v>
      </c>
      <c r="O1425" s="3" t="s">
        <v>8</v>
      </c>
    </row>
    <row r="1426" spans="1:15" x14ac:dyDescent="0.35">
      <c r="A1426" s="5" t="str">
        <f>Loads[[#This Row],[Date]]&amp;Loads[[#This Row],[Product]]</f>
        <v>44247Product2</v>
      </c>
      <c r="B1426" s="5">
        <f>COUNTIF($A$1:A1426,Loads[[#This Row],[Load]])</f>
        <v>1</v>
      </c>
      <c r="C1426" s="3" t="str">
        <f>Loads[[#This Row],[Load]]&amp;Loads[[#This Row],[Count]]</f>
        <v>44247Product21</v>
      </c>
      <c r="D1426" s="90">
        <v>44247</v>
      </c>
      <c r="E1426" s="143">
        <v>0.1173611111111111</v>
      </c>
      <c r="F1426" s="1" t="s">
        <v>9</v>
      </c>
      <c r="G1426" s="2" t="s">
        <v>13</v>
      </c>
      <c r="H1426" s="2" t="s">
        <v>42</v>
      </c>
      <c r="I1426" s="1" t="s">
        <v>11</v>
      </c>
      <c r="J1426" s="1" t="s">
        <v>8</v>
      </c>
      <c r="K1426" s="89">
        <v>10500</v>
      </c>
      <c r="L1426" s="3">
        <v>62.91</v>
      </c>
      <c r="M1426" s="3">
        <v>8.81</v>
      </c>
      <c r="N1426" s="3" t="s">
        <v>8</v>
      </c>
      <c r="O1426" s="3" t="s">
        <v>8</v>
      </c>
    </row>
    <row r="1427" spans="1:15" x14ac:dyDescent="0.35">
      <c r="A1427" s="5" t="str">
        <f>Loads[[#This Row],[Date]]&amp;Loads[[#This Row],[Product]]</f>
        <v>44247Product2</v>
      </c>
      <c r="B1427" s="5">
        <f>COUNTIF($A$1:A1427,Loads[[#This Row],[Load]])</f>
        <v>2</v>
      </c>
      <c r="C1427" s="3" t="str">
        <f>Loads[[#This Row],[Load]]&amp;Loads[[#This Row],[Count]]</f>
        <v>44247Product22</v>
      </c>
      <c r="D1427" s="90">
        <v>44247</v>
      </c>
      <c r="E1427" s="143">
        <v>0.1173611111111111</v>
      </c>
      <c r="F1427" s="1" t="s">
        <v>9</v>
      </c>
      <c r="G1427" s="2" t="s">
        <v>13</v>
      </c>
      <c r="H1427" s="2" t="s">
        <v>42</v>
      </c>
      <c r="I1427" s="1" t="s">
        <v>11</v>
      </c>
      <c r="J1427" s="1" t="s">
        <v>8</v>
      </c>
      <c r="K1427" s="89">
        <v>17100</v>
      </c>
      <c r="L1427" s="3">
        <v>63.04</v>
      </c>
      <c r="M1427" s="3">
        <v>9.1</v>
      </c>
      <c r="N1427" s="3" t="s">
        <v>8</v>
      </c>
      <c r="O1427" s="3" t="s">
        <v>8</v>
      </c>
    </row>
    <row r="1428" spans="1:15" x14ac:dyDescent="0.35">
      <c r="A1428" s="5" t="str">
        <f>Loads[[#This Row],[Date]]&amp;Loads[[#This Row],[Product]]</f>
        <v>44247Product2</v>
      </c>
      <c r="B1428" s="5">
        <f>COUNTIF($A$1:A1428,Loads[[#This Row],[Load]])</f>
        <v>3</v>
      </c>
      <c r="C1428" s="3" t="str">
        <f>Loads[[#This Row],[Load]]&amp;Loads[[#This Row],[Count]]</f>
        <v>44247Product23</v>
      </c>
      <c r="D1428" s="90">
        <v>44247</v>
      </c>
      <c r="E1428" s="143">
        <v>0.11805555555555557</v>
      </c>
      <c r="F1428" s="1" t="s">
        <v>9</v>
      </c>
      <c r="G1428" s="2" t="s">
        <v>13</v>
      </c>
      <c r="H1428" s="2" t="s">
        <v>42</v>
      </c>
      <c r="I1428" s="1" t="s">
        <v>11</v>
      </c>
      <c r="J1428" s="1" t="s">
        <v>8</v>
      </c>
      <c r="K1428" s="89">
        <v>12660</v>
      </c>
      <c r="L1428" s="3">
        <v>60.89</v>
      </c>
      <c r="M1428" s="3">
        <v>9.39</v>
      </c>
      <c r="N1428" s="3" t="s">
        <v>8</v>
      </c>
      <c r="O1428" s="3" t="s">
        <v>8</v>
      </c>
    </row>
    <row r="1429" spans="1:15" x14ac:dyDescent="0.35">
      <c r="A1429" s="5" t="str">
        <f>Loads[[#This Row],[Date]]&amp;Loads[[#This Row],[Product]]</f>
        <v>44247Product2</v>
      </c>
      <c r="B1429" s="5">
        <f>COUNTIF($A$1:A1429,Loads[[#This Row],[Load]])</f>
        <v>4</v>
      </c>
      <c r="C1429" s="3" t="str">
        <f>Loads[[#This Row],[Load]]&amp;Loads[[#This Row],[Count]]</f>
        <v>44247Product24</v>
      </c>
      <c r="D1429" s="90">
        <v>44247</v>
      </c>
      <c r="E1429" s="143">
        <v>0.11805555555555557</v>
      </c>
      <c r="F1429" s="1" t="s">
        <v>9</v>
      </c>
      <c r="G1429" s="2" t="s">
        <v>13</v>
      </c>
      <c r="H1429" s="2" t="s">
        <v>42</v>
      </c>
      <c r="I1429" s="1" t="s">
        <v>11</v>
      </c>
      <c r="J1429" s="1" t="s">
        <v>8</v>
      </c>
      <c r="K1429" s="89">
        <v>12940</v>
      </c>
      <c r="L1429" s="3">
        <v>62.2</v>
      </c>
      <c r="M1429" s="3">
        <v>10.039999999999999</v>
      </c>
      <c r="N1429" s="3" t="s">
        <v>8</v>
      </c>
      <c r="O1429" s="3" t="s">
        <v>8</v>
      </c>
    </row>
    <row r="1430" spans="1:15" x14ac:dyDescent="0.35">
      <c r="A1430" s="5" t="str">
        <f>Loads[[#This Row],[Date]]&amp;Loads[[#This Row],[Product]]</f>
        <v>44247Product2</v>
      </c>
      <c r="B1430" s="5">
        <f>COUNTIF($A$1:A1430,Loads[[#This Row],[Load]])</f>
        <v>5</v>
      </c>
      <c r="C1430" s="3" t="str">
        <f>Loads[[#This Row],[Load]]&amp;Loads[[#This Row],[Count]]</f>
        <v>44247Product25</v>
      </c>
      <c r="D1430" s="90">
        <v>44247</v>
      </c>
      <c r="E1430" s="143">
        <v>0.11875000000000001</v>
      </c>
      <c r="F1430" s="1" t="s">
        <v>9</v>
      </c>
      <c r="G1430" s="2" t="s">
        <v>13</v>
      </c>
      <c r="H1430" s="2" t="s">
        <v>42</v>
      </c>
      <c r="I1430" s="1" t="s">
        <v>11</v>
      </c>
      <c r="J1430" s="1" t="s">
        <v>8</v>
      </c>
      <c r="K1430" s="89">
        <v>12000</v>
      </c>
      <c r="L1430" s="3">
        <v>61.34</v>
      </c>
      <c r="M1430" s="3">
        <v>9.14</v>
      </c>
      <c r="N1430" s="3" t="s">
        <v>8</v>
      </c>
      <c r="O1430" s="3" t="s">
        <v>8</v>
      </c>
    </row>
    <row r="1431" spans="1:15" x14ac:dyDescent="0.35">
      <c r="A1431" s="5" t="str">
        <f>Loads[[#This Row],[Date]]&amp;Loads[[#This Row],[Product]]</f>
        <v>44247Product2</v>
      </c>
      <c r="B1431" s="5">
        <f>COUNTIF($A$1:A1431,Loads[[#This Row],[Load]])</f>
        <v>6</v>
      </c>
      <c r="C1431" s="3" t="str">
        <f>Loads[[#This Row],[Load]]&amp;Loads[[#This Row],[Count]]</f>
        <v>44247Product26</v>
      </c>
      <c r="D1431" s="90">
        <v>44247</v>
      </c>
      <c r="E1431" s="143">
        <v>0.11875000000000001</v>
      </c>
      <c r="F1431" s="1" t="s">
        <v>9</v>
      </c>
      <c r="G1431" s="2" t="s">
        <v>13</v>
      </c>
      <c r="H1431" s="2" t="s">
        <v>42</v>
      </c>
      <c r="I1431" s="1" t="s">
        <v>11</v>
      </c>
      <c r="J1431" s="1" t="s">
        <v>8</v>
      </c>
      <c r="K1431" s="89">
        <v>11420</v>
      </c>
      <c r="L1431" s="3">
        <v>58.97</v>
      </c>
      <c r="M1431" s="3">
        <v>11.45</v>
      </c>
      <c r="N1431" s="3" t="s">
        <v>8</v>
      </c>
      <c r="O1431" s="3" t="s">
        <v>8</v>
      </c>
    </row>
    <row r="1432" spans="1:15" x14ac:dyDescent="0.35">
      <c r="A1432" s="5" t="str">
        <f>Loads[[#This Row],[Date]]&amp;Loads[[#This Row],[Product]]</f>
        <v>44247Product2</v>
      </c>
      <c r="B1432" s="5">
        <f>COUNTIF($A$1:A1432,Loads[[#This Row],[Load]])</f>
        <v>7</v>
      </c>
      <c r="C1432" s="3" t="str">
        <f>Loads[[#This Row],[Load]]&amp;Loads[[#This Row],[Count]]</f>
        <v>44247Product27</v>
      </c>
      <c r="D1432" s="90">
        <v>44247</v>
      </c>
      <c r="E1432" s="143">
        <v>0.11944444444444445</v>
      </c>
      <c r="F1432" s="1" t="s">
        <v>9</v>
      </c>
      <c r="G1432" s="2" t="s">
        <v>13</v>
      </c>
      <c r="H1432" s="2" t="s">
        <v>42</v>
      </c>
      <c r="I1432" s="1" t="s">
        <v>11</v>
      </c>
      <c r="J1432" s="1" t="s">
        <v>8</v>
      </c>
      <c r="K1432" s="89">
        <v>11900</v>
      </c>
      <c r="L1432" s="3">
        <v>61.34</v>
      </c>
      <c r="M1432" s="3">
        <v>10.01</v>
      </c>
      <c r="N1432" s="3" t="s">
        <v>8</v>
      </c>
      <c r="O1432" s="3" t="s">
        <v>8</v>
      </c>
    </row>
    <row r="1433" spans="1:15" x14ac:dyDescent="0.35">
      <c r="A1433" s="5" t="str">
        <f>Loads[[#This Row],[Date]]&amp;Loads[[#This Row],[Product]]</f>
        <v>44247Product2</v>
      </c>
      <c r="B1433" s="5">
        <f>COUNTIF($A$1:A1433,Loads[[#This Row],[Load]])</f>
        <v>8</v>
      </c>
      <c r="C1433" s="3" t="str">
        <f>Loads[[#This Row],[Load]]&amp;Loads[[#This Row],[Count]]</f>
        <v>44247Product28</v>
      </c>
      <c r="D1433" s="90">
        <v>44247</v>
      </c>
      <c r="E1433" s="143">
        <v>0.11944444444444445</v>
      </c>
      <c r="F1433" s="1" t="s">
        <v>9</v>
      </c>
      <c r="G1433" s="2" t="s">
        <v>13</v>
      </c>
      <c r="H1433" s="2" t="s">
        <v>42</v>
      </c>
      <c r="I1433" s="1" t="s">
        <v>11</v>
      </c>
      <c r="J1433" s="1" t="s">
        <v>8</v>
      </c>
      <c r="K1433" s="89">
        <v>10040</v>
      </c>
      <c r="L1433" s="3">
        <v>58.04</v>
      </c>
      <c r="M1433" s="3">
        <v>11.83</v>
      </c>
      <c r="N1433" s="3" t="s">
        <v>8</v>
      </c>
      <c r="O1433" s="3" t="s">
        <v>8</v>
      </c>
    </row>
    <row r="1434" spans="1:15" x14ac:dyDescent="0.35">
      <c r="A1434" s="5" t="str">
        <f>Loads[[#This Row],[Date]]&amp;Loads[[#This Row],[Product]]</f>
        <v>44247Product2</v>
      </c>
      <c r="B1434" s="5">
        <f>COUNTIF($A$1:A1434,Loads[[#This Row],[Load]])</f>
        <v>9</v>
      </c>
      <c r="C1434" s="3" t="str">
        <f>Loads[[#This Row],[Load]]&amp;Loads[[#This Row],[Count]]</f>
        <v>44247Product29</v>
      </c>
      <c r="D1434" s="90">
        <v>44247</v>
      </c>
      <c r="E1434" s="143">
        <v>0.12013888888888889</v>
      </c>
      <c r="F1434" s="1" t="s">
        <v>9</v>
      </c>
      <c r="G1434" s="2" t="s">
        <v>13</v>
      </c>
      <c r="H1434" s="2" t="s">
        <v>42</v>
      </c>
      <c r="I1434" s="1" t="s">
        <v>11</v>
      </c>
      <c r="J1434" s="1" t="s">
        <v>8</v>
      </c>
      <c r="K1434" s="89">
        <v>16560</v>
      </c>
      <c r="L1434" s="3">
        <v>60.61</v>
      </c>
      <c r="M1434" s="3">
        <v>10.16</v>
      </c>
      <c r="N1434" s="3" t="s">
        <v>8</v>
      </c>
      <c r="O1434" s="3" t="s">
        <v>8</v>
      </c>
    </row>
    <row r="1435" spans="1:15" x14ac:dyDescent="0.35">
      <c r="A1435" s="5" t="str">
        <f>Loads[[#This Row],[Date]]&amp;Loads[[#This Row],[Product]]</f>
        <v>44248Product1</v>
      </c>
      <c r="B1435" s="5">
        <f>COUNTIF($A$1:A1435,Loads[[#This Row],[Load]])</f>
        <v>1</v>
      </c>
      <c r="C1435" s="3" t="str">
        <f>Loads[[#This Row],[Load]]&amp;Loads[[#This Row],[Count]]</f>
        <v>44248Product11</v>
      </c>
      <c r="D1435" s="90">
        <v>44248</v>
      </c>
      <c r="E1435" s="143">
        <v>2.5694444444444447E-2</v>
      </c>
      <c r="F1435" s="1" t="s">
        <v>9</v>
      </c>
      <c r="G1435" s="2" t="s">
        <v>12</v>
      </c>
      <c r="H1435" s="2" t="s">
        <v>42</v>
      </c>
      <c r="I1435" s="1" t="s">
        <v>10</v>
      </c>
      <c r="J1435" s="1">
        <v>782</v>
      </c>
      <c r="K1435" s="89">
        <v>31060</v>
      </c>
      <c r="L1435" s="3">
        <v>8.7200000000000006</v>
      </c>
      <c r="M1435" s="3">
        <v>22.27</v>
      </c>
      <c r="N1435" s="3" t="s">
        <v>8</v>
      </c>
      <c r="O1435" s="3" t="s">
        <v>8</v>
      </c>
    </row>
    <row r="1436" spans="1:15" x14ac:dyDescent="0.35">
      <c r="A1436" s="5" t="str">
        <f>Loads[[#This Row],[Date]]&amp;Loads[[#This Row],[Product]]</f>
        <v>44248Product1</v>
      </c>
      <c r="B1436" s="5">
        <f>COUNTIF($A$1:A1436,Loads[[#This Row],[Load]])</f>
        <v>2</v>
      </c>
      <c r="C1436" s="3" t="str">
        <f>Loads[[#This Row],[Load]]&amp;Loads[[#This Row],[Count]]</f>
        <v>44248Product12</v>
      </c>
      <c r="D1436" s="90">
        <v>44248</v>
      </c>
      <c r="E1436" s="143">
        <v>0.3888888888888889</v>
      </c>
      <c r="F1436" s="1" t="s">
        <v>9</v>
      </c>
      <c r="G1436" s="2" t="s">
        <v>12</v>
      </c>
      <c r="H1436" s="2" t="s">
        <v>42</v>
      </c>
      <c r="I1436" s="1" t="s">
        <v>11</v>
      </c>
      <c r="J1436" s="1" t="s">
        <v>8</v>
      </c>
      <c r="K1436" s="89">
        <v>19260</v>
      </c>
      <c r="L1436" s="3">
        <v>9.73</v>
      </c>
      <c r="M1436" s="3">
        <v>21.46</v>
      </c>
      <c r="N1436" s="3" t="s">
        <v>8</v>
      </c>
      <c r="O1436" s="3" t="s">
        <v>8</v>
      </c>
    </row>
    <row r="1437" spans="1:15" x14ac:dyDescent="0.35">
      <c r="A1437" s="5" t="str">
        <f>Loads[[#This Row],[Date]]&amp;Loads[[#This Row],[Product]]</f>
        <v>44248Product1</v>
      </c>
      <c r="B1437" s="5">
        <f>COUNTIF($A$1:A1437,Loads[[#This Row],[Load]])</f>
        <v>3</v>
      </c>
      <c r="C1437" s="3" t="str">
        <f>Loads[[#This Row],[Load]]&amp;Loads[[#This Row],[Count]]</f>
        <v>44248Product13</v>
      </c>
      <c r="D1437" s="90">
        <v>44248</v>
      </c>
      <c r="E1437" s="143">
        <v>0.40972222222222227</v>
      </c>
      <c r="F1437" s="1" t="s">
        <v>9</v>
      </c>
      <c r="G1437" s="2" t="s">
        <v>12</v>
      </c>
      <c r="H1437" s="2" t="s">
        <v>42</v>
      </c>
      <c r="I1437" s="1" t="s">
        <v>11</v>
      </c>
      <c r="J1437" s="1" t="s">
        <v>8</v>
      </c>
      <c r="K1437" s="89">
        <v>19620</v>
      </c>
      <c r="L1437" s="3">
        <v>9.5299999999999994</v>
      </c>
      <c r="M1437" s="3">
        <v>21.73</v>
      </c>
      <c r="N1437" s="3" t="s">
        <v>8</v>
      </c>
      <c r="O1437" s="3" t="s">
        <v>8</v>
      </c>
    </row>
    <row r="1438" spans="1:15" x14ac:dyDescent="0.35">
      <c r="A1438" s="5" t="str">
        <f>Loads[[#This Row],[Date]]&amp;Loads[[#This Row],[Product]]</f>
        <v>44248Product1</v>
      </c>
      <c r="B1438" s="5">
        <f>COUNTIF($A$1:A1438,Loads[[#This Row],[Load]])</f>
        <v>4</v>
      </c>
      <c r="C1438" s="3" t="str">
        <f>Loads[[#This Row],[Load]]&amp;Loads[[#This Row],[Count]]</f>
        <v>44248Product14</v>
      </c>
      <c r="D1438" s="90">
        <v>44248</v>
      </c>
      <c r="E1438" s="143">
        <v>0.4513888888888889</v>
      </c>
      <c r="F1438" s="1" t="s">
        <v>9</v>
      </c>
      <c r="G1438" s="2" t="s">
        <v>12</v>
      </c>
      <c r="H1438" s="2" t="s">
        <v>42</v>
      </c>
      <c r="I1438" s="1" t="s">
        <v>10</v>
      </c>
      <c r="J1438" s="1">
        <v>350</v>
      </c>
      <c r="K1438" s="89">
        <v>13840</v>
      </c>
      <c r="L1438" s="3">
        <v>9.44</v>
      </c>
      <c r="M1438" s="3">
        <v>21.29</v>
      </c>
      <c r="N1438" s="3" t="s">
        <v>8</v>
      </c>
      <c r="O1438" s="3" t="s">
        <v>8</v>
      </c>
    </row>
    <row r="1439" spans="1:15" x14ac:dyDescent="0.35">
      <c r="A1439" s="5" t="str">
        <f>Loads[[#This Row],[Date]]&amp;Loads[[#This Row],[Product]]</f>
        <v>44248Product1</v>
      </c>
      <c r="B1439" s="5">
        <f>COUNTIF($A$1:A1439,Loads[[#This Row],[Load]])</f>
        <v>5</v>
      </c>
      <c r="C1439" s="3" t="str">
        <f>Loads[[#This Row],[Load]]&amp;Loads[[#This Row],[Count]]</f>
        <v>44248Product15</v>
      </c>
      <c r="D1439" s="90">
        <v>44248</v>
      </c>
      <c r="E1439" s="143">
        <v>0.4513888888888889</v>
      </c>
      <c r="F1439" s="1" t="s">
        <v>9</v>
      </c>
      <c r="G1439" s="2" t="s">
        <v>12</v>
      </c>
      <c r="H1439" s="2" t="s">
        <v>42</v>
      </c>
      <c r="I1439" s="1" t="s">
        <v>11</v>
      </c>
      <c r="J1439" s="1" t="s">
        <v>8</v>
      </c>
      <c r="K1439" s="89">
        <v>18400</v>
      </c>
      <c r="L1439" s="3">
        <v>9.48</v>
      </c>
      <c r="M1439" s="3">
        <v>21.35</v>
      </c>
      <c r="N1439" s="3" t="s">
        <v>8</v>
      </c>
      <c r="O1439" s="3" t="s">
        <v>8</v>
      </c>
    </row>
    <row r="1440" spans="1:15" x14ac:dyDescent="0.35">
      <c r="A1440" s="5" t="str">
        <f>Loads[[#This Row],[Date]]&amp;Loads[[#This Row],[Product]]</f>
        <v>44248Product1</v>
      </c>
      <c r="B1440" s="5">
        <f>COUNTIF($A$1:A1440,Loads[[#This Row],[Load]])</f>
        <v>6</v>
      </c>
      <c r="C1440" s="3" t="str">
        <f>Loads[[#This Row],[Load]]&amp;Loads[[#This Row],[Count]]</f>
        <v>44248Product16</v>
      </c>
      <c r="D1440" s="90">
        <v>44248</v>
      </c>
      <c r="E1440" s="143">
        <v>0.49305555555555558</v>
      </c>
      <c r="F1440" s="1" t="s">
        <v>9</v>
      </c>
      <c r="G1440" s="2" t="s">
        <v>12</v>
      </c>
      <c r="H1440" s="2" t="s">
        <v>42</v>
      </c>
      <c r="I1440" s="1" t="s">
        <v>10</v>
      </c>
      <c r="J1440" s="1">
        <v>350</v>
      </c>
      <c r="K1440" s="89">
        <v>13920</v>
      </c>
      <c r="L1440" s="3">
        <v>9.35</v>
      </c>
      <c r="M1440" s="3">
        <v>20.74</v>
      </c>
      <c r="N1440" s="3" t="s">
        <v>8</v>
      </c>
      <c r="O1440" s="3" t="s">
        <v>8</v>
      </c>
    </row>
    <row r="1441" spans="1:15" x14ac:dyDescent="0.35">
      <c r="A1441" s="5" t="str">
        <f>Loads[[#This Row],[Date]]&amp;Loads[[#This Row],[Product]]</f>
        <v>44248Product1</v>
      </c>
      <c r="B1441" s="5">
        <f>COUNTIF($A$1:A1441,Loads[[#This Row],[Load]])</f>
        <v>7</v>
      </c>
      <c r="C1441" s="3" t="str">
        <f>Loads[[#This Row],[Load]]&amp;Loads[[#This Row],[Count]]</f>
        <v>44248Product17</v>
      </c>
      <c r="D1441" s="90">
        <v>44248</v>
      </c>
      <c r="E1441" s="143">
        <v>0.51388888888888895</v>
      </c>
      <c r="F1441" s="1" t="s">
        <v>9</v>
      </c>
      <c r="G1441" s="2" t="s">
        <v>12</v>
      </c>
      <c r="H1441" s="2" t="s">
        <v>42</v>
      </c>
      <c r="I1441" s="1" t="s">
        <v>11</v>
      </c>
      <c r="J1441" s="1" t="s">
        <v>8</v>
      </c>
      <c r="K1441" s="89">
        <v>18860</v>
      </c>
      <c r="L1441" s="3">
        <v>9.49</v>
      </c>
      <c r="M1441" s="3">
        <v>21.37</v>
      </c>
      <c r="N1441" s="3" t="s">
        <v>8</v>
      </c>
      <c r="O1441" s="3" t="s">
        <v>8</v>
      </c>
    </row>
    <row r="1442" spans="1:15" x14ac:dyDescent="0.35">
      <c r="A1442" s="5" t="str">
        <f>Loads[[#This Row],[Date]]&amp;Loads[[#This Row],[Product]]</f>
        <v>44248Product1</v>
      </c>
      <c r="B1442" s="5">
        <f>COUNTIF($A$1:A1442,Loads[[#This Row],[Load]])</f>
        <v>8</v>
      </c>
      <c r="C1442" s="3" t="str">
        <f>Loads[[#This Row],[Load]]&amp;Loads[[#This Row],[Count]]</f>
        <v>44248Product18</v>
      </c>
      <c r="D1442" s="90">
        <v>44248</v>
      </c>
      <c r="E1442" s="143">
        <v>0.53472222222222221</v>
      </c>
      <c r="F1442" s="1" t="s">
        <v>9</v>
      </c>
      <c r="G1442" s="2" t="s">
        <v>12</v>
      </c>
      <c r="H1442" s="2" t="s">
        <v>42</v>
      </c>
      <c r="I1442" s="1" t="s">
        <v>11</v>
      </c>
      <c r="J1442" s="1" t="s">
        <v>8</v>
      </c>
      <c r="K1442" s="89">
        <v>18680</v>
      </c>
      <c r="L1442" s="3">
        <v>9.4700000000000006</v>
      </c>
      <c r="M1442" s="3">
        <v>21.48</v>
      </c>
      <c r="N1442" s="3" t="s">
        <v>8</v>
      </c>
      <c r="O1442" s="3" t="s">
        <v>8</v>
      </c>
    </row>
    <row r="1443" spans="1:15" x14ac:dyDescent="0.35">
      <c r="A1443" s="5" t="str">
        <f>Loads[[#This Row],[Date]]&amp;Loads[[#This Row],[Product]]</f>
        <v>44248Product1</v>
      </c>
      <c r="B1443" s="5">
        <f>COUNTIF($A$1:A1443,Loads[[#This Row],[Load]])</f>
        <v>9</v>
      </c>
      <c r="C1443" s="3" t="str">
        <f>Loads[[#This Row],[Load]]&amp;Loads[[#This Row],[Count]]</f>
        <v>44248Product19</v>
      </c>
      <c r="D1443" s="90">
        <v>44248</v>
      </c>
      <c r="E1443" s="143">
        <v>0.49305555555555558</v>
      </c>
      <c r="F1443" s="1" t="s">
        <v>9</v>
      </c>
      <c r="G1443" s="2" t="s">
        <v>12</v>
      </c>
      <c r="H1443" s="2" t="s">
        <v>42</v>
      </c>
      <c r="I1443" s="1" t="s">
        <v>11</v>
      </c>
      <c r="J1443" s="1" t="s">
        <v>8</v>
      </c>
      <c r="K1443" s="89">
        <v>32680</v>
      </c>
      <c r="L1443" s="3">
        <v>9.4600000000000009</v>
      </c>
      <c r="M1443" s="3">
        <v>21.23</v>
      </c>
      <c r="N1443" s="3" t="s">
        <v>8</v>
      </c>
      <c r="O1443" s="3" t="s">
        <v>8</v>
      </c>
    </row>
    <row r="1444" spans="1:15" x14ac:dyDescent="0.35">
      <c r="A1444" s="5" t="str">
        <f>Loads[[#This Row],[Date]]&amp;Loads[[#This Row],[Product]]</f>
        <v>44248Product1</v>
      </c>
      <c r="B1444" s="5">
        <f>COUNTIF($A$1:A1444,Loads[[#This Row],[Load]])</f>
        <v>10</v>
      </c>
      <c r="C1444" s="3" t="str">
        <f>Loads[[#This Row],[Load]]&amp;Loads[[#This Row],[Count]]</f>
        <v>44248Product110</v>
      </c>
      <c r="D1444" s="90">
        <v>44248</v>
      </c>
      <c r="E1444" s="143">
        <v>0.60416666666666663</v>
      </c>
      <c r="F1444" s="1" t="s">
        <v>9</v>
      </c>
      <c r="G1444" s="2" t="s">
        <v>12</v>
      </c>
      <c r="H1444" s="2" t="s">
        <v>42</v>
      </c>
      <c r="I1444" s="1" t="s">
        <v>11</v>
      </c>
      <c r="J1444" s="1" t="s">
        <v>8</v>
      </c>
      <c r="K1444" s="89">
        <v>21040</v>
      </c>
      <c r="L1444" s="3">
        <v>9.7100000000000009</v>
      </c>
      <c r="M1444" s="3">
        <v>21.58</v>
      </c>
      <c r="N1444" s="3" t="s">
        <v>8</v>
      </c>
      <c r="O1444" s="3" t="s">
        <v>8</v>
      </c>
    </row>
    <row r="1445" spans="1:15" x14ac:dyDescent="0.35">
      <c r="A1445" s="5" t="str">
        <f>Loads[[#This Row],[Date]]&amp;Loads[[#This Row],[Product]]</f>
        <v>44248Product1</v>
      </c>
      <c r="B1445" s="5">
        <f>COUNTIF($A$1:A1445,Loads[[#This Row],[Load]])</f>
        <v>11</v>
      </c>
      <c r="C1445" s="3" t="str">
        <f>Loads[[#This Row],[Load]]&amp;Loads[[#This Row],[Count]]</f>
        <v>44248Product111</v>
      </c>
      <c r="D1445" s="90">
        <v>44248</v>
      </c>
      <c r="E1445" s="143">
        <v>0.625</v>
      </c>
      <c r="F1445" s="1" t="s">
        <v>9</v>
      </c>
      <c r="G1445" s="2" t="s">
        <v>12</v>
      </c>
      <c r="H1445" s="2" t="s">
        <v>42</v>
      </c>
      <c r="I1445" s="1" t="s">
        <v>11</v>
      </c>
      <c r="J1445" s="1" t="s">
        <v>8</v>
      </c>
      <c r="K1445" s="89">
        <v>18340</v>
      </c>
      <c r="L1445" s="3">
        <v>9.89</v>
      </c>
      <c r="M1445" s="3">
        <v>21.9</v>
      </c>
      <c r="N1445" s="3" t="s">
        <v>8</v>
      </c>
      <c r="O1445" s="3" t="s">
        <v>8</v>
      </c>
    </row>
    <row r="1446" spans="1:15" x14ac:dyDescent="0.35">
      <c r="A1446" s="5" t="str">
        <f>Loads[[#This Row],[Date]]&amp;Loads[[#This Row],[Product]]</f>
        <v>44248Product1</v>
      </c>
      <c r="B1446" s="5">
        <f>COUNTIF($A$1:A1446,Loads[[#This Row],[Load]])</f>
        <v>12</v>
      </c>
      <c r="C1446" s="3" t="str">
        <f>Loads[[#This Row],[Load]]&amp;Loads[[#This Row],[Count]]</f>
        <v>44248Product112</v>
      </c>
      <c r="D1446" s="90">
        <v>44248</v>
      </c>
      <c r="E1446" s="143">
        <v>0.68055555555555547</v>
      </c>
      <c r="F1446" s="1" t="s">
        <v>9</v>
      </c>
      <c r="G1446" s="2" t="s">
        <v>12</v>
      </c>
      <c r="H1446" s="2" t="s">
        <v>42</v>
      </c>
      <c r="I1446" s="1" t="s">
        <v>11</v>
      </c>
      <c r="J1446" s="1" t="s">
        <v>8</v>
      </c>
      <c r="K1446" s="89">
        <v>27500</v>
      </c>
      <c r="L1446" s="3">
        <v>9.17</v>
      </c>
      <c r="M1446" s="3">
        <v>21.43</v>
      </c>
      <c r="N1446" s="3" t="s">
        <v>8</v>
      </c>
      <c r="O1446" s="3" t="s">
        <v>8</v>
      </c>
    </row>
    <row r="1447" spans="1:15" x14ac:dyDescent="0.35">
      <c r="A1447" s="5" t="str">
        <f>Loads[[#This Row],[Date]]&amp;Loads[[#This Row],[Product]]</f>
        <v>44248Product4</v>
      </c>
      <c r="B1447" s="5">
        <f>COUNTIF($A$1:A1447,Loads[[#This Row],[Load]])</f>
        <v>1</v>
      </c>
      <c r="C1447" s="3" t="str">
        <f>Loads[[#This Row],[Load]]&amp;Loads[[#This Row],[Count]]</f>
        <v>44248Product41</v>
      </c>
      <c r="D1447" s="90">
        <v>44248</v>
      </c>
      <c r="E1447" s="143">
        <v>0.12222222222222223</v>
      </c>
      <c r="F1447" s="1" t="s">
        <v>9</v>
      </c>
      <c r="G1447" s="2" t="s">
        <v>15</v>
      </c>
      <c r="H1447" s="2" t="s">
        <v>42</v>
      </c>
      <c r="I1447" s="1" t="s">
        <v>0</v>
      </c>
      <c r="J1447" s="1">
        <v>22</v>
      </c>
      <c r="K1447" s="89">
        <v>26700</v>
      </c>
      <c r="L1447" s="3">
        <v>9.42</v>
      </c>
      <c r="M1447" s="3">
        <v>63.99</v>
      </c>
      <c r="N1447" s="3" t="s">
        <v>8</v>
      </c>
      <c r="O1447" s="3" t="s">
        <v>8</v>
      </c>
    </row>
    <row r="1448" spans="1:15" x14ac:dyDescent="0.35">
      <c r="A1448" s="5" t="str">
        <f>Loads[[#This Row],[Date]]&amp;Loads[[#This Row],[Product]]</f>
        <v>44248Product4</v>
      </c>
      <c r="B1448" s="5">
        <f>COUNTIF($A$1:A1448,Loads[[#This Row],[Load]])</f>
        <v>2</v>
      </c>
      <c r="C1448" s="3" t="str">
        <f>Loads[[#This Row],[Load]]&amp;Loads[[#This Row],[Count]]</f>
        <v>44248Product42</v>
      </c>
      <c r="D1448" s="90">
        <v>44248</v>
      </c>
      <c r="E1448" s="143">
        <v>0.25</v>
      </c>
      <c r="F1448" s="1" t="s">
        <v>9</v>
      </c>
      <c r="G1448" s="2" t="s">
        <v>15</v>
      </c>
      <c r="H1448" s="2" t="s">
        <v>42</v>
      </c>
      <c r="I1448" s="1" t="s">
        <v>11</v>
      </c>
      <c r="J1448" s="1" t="s">
        <v>8</v>
      </c>
      <c r="K1448" s="89">
        <v>30640</v>
      </c>
      <c r="L1448" s="3">
        <v>9.8800000000000008</v>
      </c>
      <c r="M1448" s="3">
        <v>64.14</v>
      </c>
      <c r="N1448" s="3" t="s">
        <v>8</v>
      </c>
      <c r="O1448" s="3" t="s">
        <v>8</v>
      </c>
    </row>
    <row r="1449" spans="1:15" x14ac:dyDescent="0.35">
      <c r="A1449" s="5" t="str">
        <f>Loads[[#This Row],[Date]]&amp;Loads[[#This Row],[Product]]</f>
        <v>44248Product4</v>
      </c>
      <c r="B1449" s="5">
        <f>COUNTIF($A$1:A1449,Loads[[#This Row],[Load]])</f>
        <v>3</v>
      </c>
      <c r="C1449" s="3" t="str">
        <f>Loads[[#This Row],[Load]]&amp;Loads[[#This Row],[Count]]</f>
        <v>44248Product43</v>
      </c>
      <c r="D1449" s="90">
        <v>44248</v>
      </c>
      <c r="E1449" s="143">
        <v>0.83333333333333337</v>
      </c>
      <c r="F1449" s="1" t="s">
        <v>9</v>
      </c>
      <c r="G1449" s="2" t="s">
        <v>15</v>
      </c>
      <c r="H1449" s="2" t="s">
        <v>42</v>
      </c>
      <c r="I1449" s="1" t="s">
        <v>0</v>
      </c>
      <c r="J1449" s="1">
        <v>22</v>
      </c>
      <c r="K1449" s="89">
        <v>27120</v>
      </c>
      <c r="L1449" s="3">
        <v>9.8699999999999992</v>
      </c>
      <c r="M1449" s="3">
        <v>63.14</v>
      </c>
      <c r="N1449" s="3" t="s">
        <v>8</v>
      </c>
      <c r="O1449" s="3" t="s">
        <v>8</v>
      </c>
    </row>
    <row r="1450" spans="1:15" x14ac:dyDescent="0.35">
      <c r="A1450" s="5" t="str">
        <f>Loads[[#This Row],[Date]]&amp;Loads[[#This Row],[Product]]</f>
        <v>44248Product8</v>
      </c>
      <c r="B1450" s="5">
        <f>COUNTIF($A$1:A1450,Loads[[#This Row],[Load]])</f>
        <v>1</v>
      </c>
      <c r="C1450" s="3" t="str">
        <f>Loads[[#This Row],[Load]]&amp;Loads[[#This Row],[Count]]</f>
        <v>44248Product81</v>
      </c>
      <c r="D1450" s="90">
        <v>44248</v>
      </c>
      <c r="E1450" s="143">
        <v>0.66666666666666663</v>
      </c>
      <c r="F1450" s="1" t="s">
        <v>9</v>
      </c>
      <c r="G1450" s="2" t="s">
        <v>19</v>
      </c>
      <c r="H1450" s="2" t="s">
        <v>42</v>
      </c>
      <c r="I1450" s="1" t="s">
        <v>11</v>
      </c>
      <c r="J1450" s="1" t="s">
        <v>8</v>
      </c>
      <c r="K1450" s="89">
        <v>13980</v>
      </c>
      <c r="L1450" s="3">
        <v>12.16</v>
      </c>
      <c r="M1450" s="3">
        <v>7.2</v>
      </c>
      <c r="N1450" s="3" t="s">
        <v>8</v>
      </c>
      <c r="O1450" s="3" t="s">
        <v>8</v>
      </c>
    </row>
    <row r="1451" spans="1:15" x14ac:dyDescent="0.35">
      <c r="A1451" s="5" t="str">
        <f>Loads[[#This Row],[Date]]&amp;Loads[[#This Row],[Product]]</f>
        <v>44248Product6</v>
      </c>
      <c r="B1451" s="5">
        <f>COUNTIF($A$1:A1451,Loads[[#This Row],[Load]])</f>
        <v>1</v>
      </c>
      <c r="C1451" s="3" t="str">
        <f>Loads[[#This Row],[Load]]&amp;Loads[[#This Row],[Count]]</f>
        <v>44248Product61</v>
      </c>
      <c r="D1451" s="90">
        <v>44248</v>
      </c>
      <c r="E1451" s="143">
        <v>0.29166666666666669</v>
      </c>
      <c r="F1451" s="1" t="s">
        <v>9</v>
      </c>
      <c r="G1451" s="2" t="s">
        <v>17</v>
      </c>
      <c r="H1451" s="2" t="s">
        <v>42</v>
      </c>
      <c r="I1451" s="1" t="s">
        <v>11</v>
      </c>
      <c r="J1451" s="1" t="s">
        <v>8</v>
      </c>
      <c r="K1451" s="89">
        <v>35480</v>
      </c>
      <c r="L1451" s="3">
        <v>0.08</v>
      </c>
      <c r="M1451" s="3" t="s">
        <v>8</v>
      </c>
      <c r="N1451" s="3">
        <v>1.63</v>
      </c>
      <c r="O1451" s="3" t="s">
        <v>8</v>
      </c>
    </row>
    <row r="1452" spans="1:15" x14ac:dyDescent="0.35">
      <c r="A1452" s="5" t="str">
        <f>Loads[[#This Row],[Date]]&amp;Loads[[#This Row],[Product]]</f>
        <v>44248Product7</v>
      </c>
      <c r="B1452" s="5">
        <f>COUNTIF($A$1:A1452,Loads[[#This Row],[Load]])</f>
        <v>1</v>
      </c>
      <c r="C1452" s="3" t="str">
        <f>Loads[[#This Row],[Load]]&amp;Loads[[#This Row],[Count]]</f>
        <v>44248Product71</v>
      </c>
      <c r="D1452" s="90">
        <v>44248</v>
      </c>
      <c r="E1452" s="143">
        <v>0.375</v>
      </c>
      <c r="F1452" s="1" t="s">
        <v>9</v>
      </c>
      <c r="G1452" s="2" t="s">
        <v>18</v>
      </c>
      <c r="H1452" s="2" t="s">
        <v>42</v>
      </c>
      <c r="I1452" s="1" t="s">
        <v>11</v>
      </c>
      <c r="J1452" s="1" t="s">
        <v>8</v>
      </c>
      <c r="K1452" s="89">
        <v>28280</v>
      </c>
      <c r="L1452" s="3" t="s">
        <v>8</v>
      </c>
      <c r="M1452" s="3">
        <v>21.45</v>
      </c>
      <c r="N1452" s="3" t="s">
        <v>8</v>
      </c>
      <c r="O1452" s="3">
        <v>42.13</v>
      </c>
    </row>
    <row r="1453" spans="1:15" x14ac:dyDescent="0.35">
      <c r="A1453" s="5" t="str">
        <f>Loads[[#This Row],[Date]]&amp;Loads[[#This Row],[Product]]</f>
        <v>44248Product2</v>
      </c>
      <c r="B1453" s="5">
        <f>COUNTIF($A$1:A1453,Loads[[#This Row],[Load]])</f>
        <v>1</v>
      </c>
      <c r="C1453" s="3" t="str">
        <f>Loads[[#This Row],[Load]]&amp;Loads[[#This Row],[Count]]</f>
        <v>44248Product21</v>
      </c>
      <c r="D1453" s="90">
        <v>44248</v>
      </c>
      <c r="E1453" s="143">
        <v>0.24652777777777779</v>
      </c>
      <c r="F1453" s="1" t="s">
        <v>9</v>
      </c>
      <c r="G1453" s="2" t="s">
        <v>13</v>
      </c>
      <c r="H1453" s="2" t="s">
        <v>42</v>
      </c>
      <c r="I1453" s="1" t="s">
        <v>11</v>
      </c>
      <c r="J1453" s="1" t="s">
        <v>8</v>
      </c>
      <c r="K1453" s="89">
        <v>11680</v>
      </c>
      <c r="L1453" s="3">
        <v>63.64</v>
      </c>
      <c r="M1453" s="3">
        <v>7.53</v>
      </c>
      <c r="N1453" s="3" t="s">
        <v>8</v>
      </c>
      <c r="O1453" s="3" t="s">
        <v>8</v>
      </c>
    </row>
    <row r="1454" spans="1:15" x14ac:dyDescent="0.35">
      <c r="A1454" s="5" t="str">
        <f>Loads[[#This Row],[Date]]&amp;Loads[[#This Row],[Product]]</f>
        <v>44248Product2</v>
      </c>
      <c r="B1454" s="5">
        <f>COUNTIF($A$1:A1454,Loads[[#This Row],[Load]])</f>
        <v>2</v>
      </c>
      <c r="C1454" s="3" t="str">
        <f>Loads[[#This Row],[Load]]&amp;Loads[[#This Row],[Count]]</f>
        <v>44248Product22</v>
      </c>
      <c r="D1454" s="90">
        <v>44248</v>
      </c>
      <c r="E1454" s="143">
        <v>1.6666666666666666E-2</v>
      </c>
      <c r="F1454" s="1" t="s">
        <v>9</v>
      </c>
      <c r="G1454" s="2" t="s">
        <v>13</v>
      </c>
      <c r="H1454" s="2" t="s">
        <v>42</v>
      </c>
      <c r="I1454" s="1" t="s">
        <v>11</v>
      </c>
      <c r="J1454" s="1" t="s">
        <v>8</v>
      </c>
      <c r="K1454" s="89">
        <v>12920</v>
      </c>
      <c r="L1454" s="3">
        <v>61.34</v>
      </c>
      <c r="M1454" s="3">
        <v>9.14</v>
      </c>
      <c r="N1454" s="3" t="s">
        <v>8</v>
      </c>
      <c r="O1454" s="3" t="s">
        <v>8</v>
      </c>
    </row>
    <row r="1455" spans="1:15" x14ac:dyDescent="0.35">
      <c r="A1455" s="5" t="str">
        <f>Loads[[#This Row],[Date]]&amp;Loads[[#This Row],[Product]]</f>
        <v>44248Product2</v>
      </c>
      <c r="B1455" s="5">
        <f>COUNTIF($A$1:A1455,Loads[[#This Row],[Load]])</f>
        <v>3</v>
      </c>
      <c r="C1455" s="3" t="str">
        <f>Loads[[#This Row],[Load]]&amp;Loads[[#This Row],[Count]]</f>
        <v>44248Product23</v>
      </c>
      <c r="D1455" s="90">
        <v>44248</v>
      </c>
      <c r="E1455" s="143">
        <v>8.1250000000000003E-2</v>
      </c>
      <c r="F1455" s="1" t="s">
        <v>9</v>
      </c>
      <c r="G1455" s="2" t="s">
        <v>13</v>
      </c>
      <c r="H1455" s="2" t="s">
        <v>42</v>
      </c>
      <c r="I1455" s="1" t="s">
        <v>11</v>
      </c>
      <c r="J1455" s="1" t="s">
        <v>8</v>
      </c>
      <c r="K1455" s="89">
        <v>12560</v>
      </c>
      <c r="L1455" s="3">
        <v>62.01</v>
      </c>
      <c r="M1455" s="3">
        <v>8.43</v>
      </c>
      <c r="N1455" s="3" t="s">
        <v>8</v>
      </c>
      <c r="O1455" s="3" t="s">
        <v>8</v>
      </c>
    </row>
    <row r="1456" spans="1:15" x14ac:dyDescent="0.35">
      <c r="A1456" s="5" t="str">
        <f>Loads[[#This Row],[Date]]&amp;Loads[[#This Row],[Product]]</f>
        <v>44248Product2</v>
      </c>
      <c r="B1456" s="5">
        <f>COUNTIF($A$1:A1456,Loads[[#This Row],[Load]])</f>
        <v>4</v>
      </c>
      <c r="C1456" s="3" t="str">
        <f>Loads[[#This Row],[Load]]&amp;Loads[[#This Row],[Count]]</f>
        <v>44248Product24</v>
      </c>
      <c r="D1456" s="90">
        <v>44248</v>
      </c>
      <c r="E1456" s="143">
        <v>0.16944444444444443</v>
      </c>
      <c r="F1456" s="1" t="s">
        <v>9</v>
      </c>
      <c r="G1456" s="2" t="s">
        <v>13</v>
      </c>
      <c r="H1456" s="2" t="s">
        <v>42</v>
      </c>
      <c r="I1456" s="1" t="s">
        <v>11</v>
      </c>
      <c r="J1456" s="1" t="s">
        <v>8</v>
      </c>
      <c r="K1456" s="89">
        <v>12820</v>
      </c>
      <c r="L1456" s="3">
        <v>63.31</v>
      </c>
      <c r="M1456" s="3">
        <v>8.09</v>
      </c>
      <c r="N1456" s="3" t="s">
        <v>8</v>
      </c>
      <c r="O1456" s="3" t="s">
        <v>8</v>
      </c>
    </row>
    <row r="1457" spans="1:15" x14ac:dyDescent="0.35">
      <c r="A1457" s="5" t="str">
        <f>Loads[[#This Row],[Date]]&amp;Loads[[#This Row],[Product]]</f>
        <v>44248Product2</v>
      </c>
      <c r="B1457" s="5">
        <f>COUNTIF($A$1:A1457,Loads[[#This Row],[Load]])</f>
        <v>5</v>
      </c>
      <c r="C1457" s="3" t="str">
        <f>Loads[[#This Row],[Load]]&amp;Loads[[#This Row],[Count]]</f>
        <v>44248Product25</v>
      </c>
      <c r="D1457" s="90">
        <v>44248</v>
      </c>
      <c r="E1457" s="143">
        <v>0.42152777777777778</v>
      </c>
      <c r="F1457" s="1" t="s">
        <v>9</v>
      </c>
      <c r="G1457" s="2" t="s">
        <v>13</v>
      </c>
      <c r="H1457" s="2" t="s">
        <v>42</v>
      </c>
      <c r="I1457" s="1" t="s">
        <v>11</v>
      </c>
      <c r="J1457" s="1" t="s">
        <v>8</v>
      </c>
      <c r="K1457" s="89">
        <v>10980</v>
      </c>
      <c r="L1457" s="3">
        <v>58.04</v>
      </c>
      <c r="M1457" s="3">
        <v>11.83</v>
      </c>
      <c r="N1457" s="3" t="s">
        <v>8</v>
      </c>
      <c r="O1457" s="3" t="s">
        <v>8</v>
      </c>
    </row>
    <row r="1458" spans="1:15" x14ac:dyDescent="0.35">
      <c r="A1458" s="5" t="str">
        <f>Loads[[#This Row],[Date]]&amp;Loads[[#This Row],[Product]]</f>
        <v>44248Product2</v>
      </c>
      <c r="B1458" s="5">
        <f>COUNTIF($A$1:A1458,Loads[[#This Row],[Load]])</f>
        <v>6</v>
      </c>
      <c r="C1458" s="3" t="str">
        <f>Loads[[#This Row],[Load]]&amp;Loads[[#This Row],[Count]]</f>
        <v>44248Product26</v>
      </c>
      <c r="D1458" s="90">
        <v>44248</v>
      </c>
      <c r="E1458" s="143">
        <v>0.35694444444444445</v>
      </c>
      <c r="F1458" s="1" t="s">
        <v>9</v>
      </c>
      <c r="G1458" s="2" t="s">
        <v>13</v>
      </c>
      <c r="H1458" s="2" t="s">
        <v>42</v>
      </c>
      <c r="I1458" s="1" t="s">
        <v>11</v>
      </c>
      <c r="J1458" s="1" t="s">
        <v>8</v>
      </c>
      <c r="K1458" s="89">
        <v>15920</v>
      </c>
      <c r="L1458" s="3">
        <v>63.63</v>
      </c>
      <c r="M1458" s="3">
        <v>7.16</v>
      </c>
      <c r="N1458" s="3" t="s">
        <v>8</v>
      </c>
      <c r="O1458" s="3" t="s">
        <v>8</v>
      </c>
    </row>
    <row r="1459" spans="1:15" x14ac:dyDescent="0.35">
      <c r="A1459" s="5" t="str">
        <f>Loads[[#This Row],[Date]]&amp;Loads[[#This Row],[Product]]</f>
        <v>44248Product2</v>
      </c>
      <c r="B1459" s="5">
        <f>COUNTIF($A$1:A1459,Loads[[#This Row],[Load]])</f>
        <v>7</v>
      </c>
      <c r="C1459" s="3" t="str">
        <f>Loads[[#This Row],[Load]]&amp;Loads[[#This Row],[Count]]</f>
        <v>44248Product27</v>
      </c>
      <c r="D1459" s="90">
        <v>44248</v>
      </c>
      <c r="E1459" s="143">
        <v>0.65972222222222221</v>
      </c>
      <c r="F1459" s="1" t="s">
        <v>9</v>
      </c>
      <c r="G1459" s="2" t="s">
        <v>13</v>
      </c>
      <c r="H1459" s="2" t="s">
        <v>42</v>
      </c>
      <c r="I1459" s="1" t="s">
        <v>11</v>
      </c>
      <c r="J1459" s="1" t="s">
        <v>8</v>
      </c>
      <c r="K1459" s="89">
        <v>11740</v>
      </c>
      <c r="L1459" s="3">
        <v>56.7</v>
      </c>
      <c r="M1459" s="3">
        <v>10.56</v>
      </c>
      <c r="N1459" s="3" t="s">
        <v>8</v>
      </c>
      <c r="O1459" s="3" t="s">
        <v>8</v>
      </c>
    </row>
    <row r="1460" spans="1:15" x14ac:dyDescent="0.35">
      <c r="A1460" s="5" t="str">
        <f>Loads[[#This Row],[Date]]&amp;Loads[[#This Row],[Product]]</f>
        <v>44248Product2</v>
      </c>
      <c r="B1460" s="5">
        <f>COUNTIF($A$1:A1460,Loads[[#This Row],[Load]])</f>
        <v>8</v>
      </c>
      <c r="C1460" s="3" t="str">
        <f>Loads[[#This Row],[Load]]&amp;Loads[[#This Row],[Count]]</f>
        <v>44248Product28</v>
      </c>
      <c r="D1460" s="90">
        <v>44248</v>
      </c>
      <c r="E1460" s="143">
        <v>0.83888888888888891</v>
      </c>
      <c r="F1460" s="1" t="s">
        <v>9</v>
      </c>
      <c r="G1460" s="2" t="s">
        <v>13</v>
      </c>
      <c r="H1460" s="2" t="s">
        <v>42</v>
      </c>
      <c r="I1460" s="1" t="s">
        <v>11</v>
      </c>
      <c r="J1460" s="1" t="s">
        <v>8</v>
      </c>
      <c r="K1460" s="89">
        <v>11720</v>
      </c>
      <c r="L1460" s="3">
        <v>62.2</v>
      </c>
      <c r="M1460" s="3">
        <v>10.039999999999999</v>
      </c>
      <c r="N1460" s="3" t="s">
        <v>8</v>
      </c>
      <c r="O1460" s="3" t="s">
        <v>8</v>
      </c>
    </row>
    <row r="1461" spans="1:15" x14ac:dyDescent="0.35">
      <c r="A1461" s="5" t="str">
        <f>Loads[[#This Row],[Date]]&amp;Loads[[#This Row],[Product]]</f>
        <v>44248Product2</v>
      </c>
      <c r="B1461" s="5">
        <f>COUNTIF($A$1:A1461,Loads[[#This Row],[Load]])</f>
        <v>9</v>
      </c>
      <c r="C1461" s="3" t="str">
        <f>Loads[[#This Row],[Load]]&amp;Loads[[#This Row],[Count]]</f>
        <v>44248Product29</v>
      </c>
      <c r="D1461" s="90">
        <v>44248</v>
      </c>
      <c r="E1461" s="143">
        <v>0.94652777777777775</v>
      </c>
      <c r="F1461" s="1" t="s">
        <v>9</v>
      </c>
      <c r="G1461" s="2" t="s">
        <v>13</v>
      </c>
      <c r="H1461" s="2" t="s">
        <v>42</v>
      </c>
      <c r="I1461" s="1" t="s">
        <v>11</v>
      </c>
      <c r="J1461" s="1" t="s">
        <v>8</v>
      </c>
      <c r="K1461" s="89">
        <v>11180</v>
      </c>
      <c r="L1461" s="3">
        <v>58.78</v>
      </c>
      <c r="M1461" s="3">
        <v>10.02</v>
      </c>
      <c r="N1461" s="3" t="s">
        <v>8</v>
      </c>
      <c r="O1461" s="3" t="s">
        <v>8</v>
      </c>
    </row>
    <row r="1462" spans="1:15" x14ac:dyDescent="0.35">
      <c r="A1462" s="5" t="str">
        <f>Loads[[#This Row],[Date]]&amp;Loads[[#This Row],[Product]]</f>
        <v>44248Product2</v>
      </c>
      <c r="B1462" s="5">
        <f>COUNTIF($A$1:A1462,Loads[[#This Row],[Load]])</f>
        <v>10</v>
      </c>
      <c r="C1462" s="3" t="str">
        <f>Loads[[#This Row],[Load]]&amp;Loads[[#This Row],[Count]]</f>
        <v>44248Product210</v>
      </c>
      <c r="D1462" s="90">
        <v>44248</v>
      </c>
      <c r="E1462" s="143">
        <v>0.54583333333333328</v>
      </c>
      <c r="F1462" s="1" t="s">
        <v>9</v>
      </c>
      <c r="G1462" s="2" t="s">
        <v>13</v>
      </c>
      <c r="H1462" s="2" t="s">
        <v>42</v>
      </c>
      <c r="I1462" s="1" t="s">
        <v>11</v>
      </c>
      <c r="J1462" s="1" t="s">
        <v>8</v>
      </c>
      <c r="K1462" s="89">
        <v>11400</v>
      </c>
      <c r="L1462" s="3">
        <v>58.84</v>
      </c>
      <c r="M1462" s="3">
        <v>9.84</v>
      </c>
      <c r="N1462" s="3" t="s">
        <v>8</v>
      </c>
      <c r="O1462" s="3" t="s">
        <v>8</v>
      </c>
    </row>
    <row r="1463" spans="1:15" x14ac:dyDescent="0.35">
      <c r="A1463" s="5" t="str">
        <f>Loads[[#This Row],[Date]]&amp;Loads[[#This Row],[Product]]</f>
        <v>44249Product1</v>
      </c>
      <c r="B1463" s="5">
        <f>COUNTIF($A$1:A1463,Loads[[#This Row],[Load]])</f>
        <v>1</v>
      </c>
      <c r="C1463" s="3" t="str">
        <f>Loads[[#This Row],[Load]]&amp;Loads[[#This Row],[Count]]</f>
        <v>44249Product11</v>
      </c>
      <c r="D1463" s="90">
        <v>44249</v>
      </c>
      <c r="E1463" s="143">
        <v>0.9375</v>
      </c>
      <c r="F1463" s="1" t="s">
        <v>9</v>
      </c>
      <c r="G1463" s="2" t="s">
        <v>12</v>
      </c>
      <c r="H1463" s="2" t="s">
        <v>42</v>
      </c>
      <c r="I1463" s="1" t="s">
        <v>10</v>
      </c>
      <c r="J1463" s="1">
        <v>788</v>
      </c>
      <c r="K1463" s="89">
        <v>31100</v>
      </c>
      <c r="L1463" s="3">
        <v>8.2899999999999991</v>
      </c>
      <c r="M1463" s="3">
        <v>22.16</v>
      </c>
      <c r="N1463" s="3" t="s">
        <v>8</v>
      </c>
      <c r="O1463" s="3" t="s">
        <v>8</v>
      </c>
    </row>
    <row r="1464" spans="1:15" x14ac:dyDescent="0.35">
      <c r="A1464" s="5" t="str">
        <f>Loads[[#This Row],[Date]]&amp;Loads[[#This Row],[Product]]</f>
        <v>44249Product1</v>
      </c>
      <c r="B1464" s="5">
        <f>COUNTIF($A$1:A1464,Loads[[#This Row],[Load]])</f>
        <v>2</v>
      </c>
      <c r="C1464" s="3" t="str">
        <f>Loads[[#This Row],[Load]]&amp;Loads[[#This Row],[Count]]</f>
        <v>44249Product12</v>
      </c>
      <c r="D1464" s="90">
        <v>44249</v>
      </c>
      <c r="E1464" s="143">
        <v>0.93888888888888899</v>
      </c>
      <c r="F1464" s="1" t="s">
        <v>9</v>
      </c>
      <c r="G1464" s="2" t="s">
        <v>12</v>
      </c>
      <c r="H1464" s="2" t="s">
        <v>42</v>
      </c>
      <c r="I1464" s="1" t="s">
        <v>11</v>
      </c>
      <c r="J1464" s="1" t="s">
        <v>8</v>
      </c>
      <c r="K1464" s="89">
        <v>24360</v>
      </c>
      <c r="L1464" s="3">
        <v>8.0299999999999994</v>
      </c>
      <c r="M1464" s="3">
        <v>22.44</v>
      </c>
      <c r="N1464" s="3" t="s">
        <v>8</v>
      </c>
      <c r="O1464" s="3" t="s">
        <v>8</v>
      </c>
    </row>
    <row r="1465" spans="1:15" x14ac:dyDescent="0.35">
      <c r="A1465" s="5" t="str">
        <f>Loads[[#This Row],[Date]]&amp;Loads[[#This Row],[Product]]</f>
        <v>44249Product1</v>
      </c>
      <c r="B1465" s="5">
        <f>COUNTIF($A$1:A1465,Loads[[#This Row],[Load]])</f>
        <v>3</v>
      </c>
      <c r="C1465" s="3" t="str">
        <f>Loads[[#This Row],[Load]]&amp;Loads[[#This Row],[Count]]</f>
        <v>44249Product13</v>
      </c>
      <c r="D1465" s="90">
        <v>44249</v>
      </c>
      <c r="E1465" s="143">
        <v>0.93958333333333333</v>
      </c>
      <c r="F1465" s="1" t="s">
        <v>9</v>
      </c>
      <c r="G1465" s="2" t="s">
        <v>12</v>
      </c>
      <c r="H1465" s="2" t="s">
        <v>42</v>
      </c>
      <c r="I1465" s="1" t="s">
        <v>11</v>
      </c>
      <c r="J1465" s="1" t="s">
        <v>8</v>
      </c>
      <c r="K1465" s="89">
        <v>22420</v>
      </c>
      <c r="L1465" s="3">
        <v>7.91</v>
      </c>
      <c r="M1465" s="3">
        <v>22.59</v>
      </c>
      <c r="N1465" s="3" t="s">
        <v>8</v>
      </c>
      <c r="O1465" s="3" t="s">
        <v>8</v>
      </c>
    </row>
    <row r="1466" spans="1:15" x14ac:dyDescent="0.35">
      <c r="A1466" s="5" t="str">
        <f>Loads[[#This Row],[Date]]&amp;Loads[[#This Row],[Product]]</f>
        <v>44249Product4</v>
      </c>
      <c r="B1466" s="5">
        <f>COUNTIF($A$1:A1466,Loads[[#This Row],[Load]])</f>
        <v>1</v>
      </c>
      <c r="C1466" s="3" t="str">
        <f>Loads[[#This Row],[Load]]&amp;Loads[[#This Row],[Count]]</f>
        <v>44249Product41</v>
      </c>
      <c r="D1466" s="90">
        <v>44249</v>
      </c>
      <c r="E1466" s="143">
        <v>0.93958333333333333</v>
      </c>
      <c r="F1466" s="1" t="s">
        <v>9</v>
      </c>
      <c r="G1466" s="2" t="s">
        <v>15</v>
      </c>
      <c r="H1466" s="2" t="s">
        <v>42</v>
      </c>
      <c r="I1466" s="1" t="s">
        <v>11</v>
      </c>
      <c r="J1466" s="1" t="s">
        <v>8</v>
      </c>
      <c r="K1466" s="89">
        <v>31760</v>
      </c>
      <c r="L1466" s="3">
        <v>9.9</v>
      </c>
      <c r="M1466" s="3">
        <v>62.94</v>
      </c>
      <c r="N1466" s="3" t="s">
        <v>8</v>
      </c>
      <c r="O1466" s="3" t="s">
        <v>8</v>
      </c>
    </row>
    <row r="1467" spans="1:15" x14ac:dyDescent="0.35">
      <c r="A1467" s="5" t="str">
        <f>Loads[[#This Row],[Date]]&amp;Loads[[#This Row],[Product]]</f>
        <v>44249Product1</v>
      </c>
      <c r="B1467" s="5">
        <f>COUNTIF($A$1:A1467,Loads[[#This Row],[Load]])</f>
        <v>4</v>
      </c>
      <c r="C1467" s="3" t="str">
        <f>Loads[[#This Row],[Load]]&amp;Loads[[#This Row],[Count]]</f>
        <v>44249Product14</v>
      </c>
      <c r="D1467" s="90">
        <v>44249</v>
      </c>
      <c r="E1467" s="143">
        <v>0.94027777777777777</v>
      </c>
      <c r="F1467" s="1" t="s">
        <v>9</v>
      </c>
      <c r="G1467" s="2" t="s">
        <v>12</v>
      </c>
      <c r="H1467" s="2" t="s">
        <v>42</v>
      </c>
      <c r="I1467" s="1" t="s">
        <v>10</v>
      </c>
      <c r="J1467" s="1">
        <v>348</v>
      </c>
      <c r="K1467" s="89">
        <v>13740</v>
      </c>
      <c r="L1467" s="3">
        <v>8.65</v>
      </c>
      <c r="M1467" s="3">
        <v>22.62</v>
      </c>
      <c r="N1467" s="3" t="s">
        <v>8</v>
      </c>
      <c r="O1467" s="3" t="s">
        <v>8</v>
      </c>
    </row>
    <row r="1468" spans="1:15" x14ac:dyDescent="0.35">
      <c r="A1468" s="5" t="str">
        <f>Loads[[#This Row],[Date]]&amp;Loads[[#This Row],[Product]]</f>
        <v>44249Product1</v>
      </c>
      <c r="B1468" s="5">
        <f>COUNTIF($A$1:A1468,Loads[[#This Row],[Load]])</f>
        <v>5</v>
      </c>
      <c r="C1468" s="3" t="str">
        <f>Loads[[#This Row],[Load]]&amp;Loads[[#This Row],[Count]]</f>
        <v>44249Product15</v>
      </c>
      <c r="D1468" s="90">
        <v>44249</v>
      </c>
      <c r="E1468" s="143">
        <v>0.94097222222222221</v>
      </c>
      <c r="F1468" s="1" t="s">
        <v>9</v>
      </c>
      <c r="G1468" s="2" t="s">
        <v>12</v>
      </c>
      <c r="H1468" s="2" t="s">
        <v>42</v>
      </c>
      <c r="I1468" s="1" t="s">
        <v>11</v>
      </c>
      <c r="J1468" s="1" t="s">
        <v>8</v>
      </c>
      <c r="K1468" s="89">
        <v>30770</v>
      </c>
      <c r="L1468" s="3">
        <v>8.43</v>
      </c>
      <c r="M1468" s="3">
        <v>21.76</v>
      </c>
      <c r="N1468" s="3" t="s">
        <v>8</v>
      </c>
      <c r="O1468" s="3" t="s">
        <v>8</v>
      </c>
    </row>
    <row r="1469" spans="1:15" x14ac:dyDescent="0.35">
      <c r="A1469" s="5" t="str">
        <f>Loads[[#This Row],[Date]]&amp;Loads[[#This Row],[Product]]</f>
        <v>44249Product4</v>
      </c>
      <c r="B1469" s="5">
        <f>COUNTIF($A$1:A1469,Loads[[#This Row],[Load]])</f>
        <v>2</v>
      </c>
      <c r="C1469" s="3" t="str">
        <f>Loads[[#This Row],[Load]]&amp;Loads[[#This Row],[Count]]</f>
        <v>44249Product42</v>
      </c>
      <c r="D1469" s="90">
        <v>44249</v>
      </c>
      <c r="E1469" s="143">
        <v>0.94166666666666676</v>
      </c>
      <c r="F1469" s="1" t="s">
        <v>9</v>
      </c>
      <c r="G1469" s="2" t="s">
        <v>15</v>
      </c>
      <c r="H1469" s="2" t="s">
        <v>42</v>
      </c>
      <c r="I1469" s="1" t="s">
        <v>11</v>
      </c>
      <c r="J1469" s="1" t="s">
        <v>8</v>
      </c>
      <c r="K1469" s="89">
        <v>36640</v>
      </c>
      <c r="L1469" s="3">
        <v>9.81</v>
      </c>
      <c r="M1469" s="3">
        <v>61.72</v>
      </c>
      <c r="N1469" s="3" t="s">
        <v>8</v>
      </c>
      <c r="O1469" s="3" t="s">
        <v>8</v>
      </c>
    </row>
    <row r="1470" spans="1:15" x14ac:dyDescent="0.35">
      <c r="A1470" s="5" t="str">
        <f>Loads[[#This Row],[Date]]&amp;Loads[[#This Row],[Product]]</f>
        <v>44249Product5</v>
      </c>
      <c r="B1470" s="5">
        <f>COUNTIF($A$1:A1470,Loads[[#This Row],[Load]])</f>
        <v>1</v>
      </c>
      <c r="C1470" s="3" t="str">
        <f>Loads[[#This Row],[Load]]&amp;Loads[[#This Row],[Count]]</f>
        <v>44249Product51</v>
      </c>
      <c r="D1470" s="90">
        <v>44249</v>
      </c>
      <c r="E1470" s="143">
        <v>0.94166666666666676</v>
      </c>
      <c r="F1470" s="1" t="s">
        <v>9</v>
      </c>
      <c r="G1470" s="2" t="s">
        <v>16</v>
      </c>
      <c r="H1470" s="2" t="s">
        <v>42</v>
      </c>
      <c r="I1470" s="1" t="s">
        <v>11</v>
      </c>
      <c r="J1470" s="1" t="s">
        <v>8</v>
      </c>
      <c r="K1470" s="89">
        <v>18340</v>
      </c>
      <c r="L1470" s="3">
        <v>11.13</v>
      </c>
      <c r="N1470" s="3"/>
      <c r="O1470" s="3"/>
    </row>
    <row r="1471" spans="1:15" x14ac:dyDescent="0.35">
      <c r="A1471" s="5" t="str">
        <f>Loads[[#This Row],[Date]]&amp;Loads[[#This Row],[Product]]</f>
        <v>44249Product1</v>
      </c>
      <c r="B1471" s="5">
        <f>COUNTIF($A$1:A1471,Loads[[#This Row],[Load]])</f>
        <v>6</v>
      </c>
      <c r="C1471" s="3" t="str">
        <f>Loads[[#This Row],[Load]]&amp;Loads[[#This Row],[Count]]</f>
        <v>44249Product16</v>
      </c>
      <c r="D1471" s="90">
        <v>44249</v>
      </c>
      <c r="E1471" s="143">
        <v>0.94236111111111109</v>
      </c>
      <c r="F1471" s="1" t="s">
        <v>9</v>
      </c>
      <c r="G1471" s="2" t="s">
        <v>12</v>
      </c>
      <c r="H1471" s="2" t="s">
        <v>42</v>
      </c>
      <c r="I1471" s="1" t="s">
        <v>11</v>
      </c>
      <c r="J1471" s="1" t="s">
        <v>8</v>
      </c>
      <c r="K1471" s="89">
        <v>20400</v>
      </c>
      <c r="L1471" s="3">
        <v>9.92</v>
      </c>
      <c r="M1471" s="3">
        <v>21.95</v>
      </c>
      <c r="N1471" s="3" t="s">
        <v>8</v>
      </c>
      <c r="O1471" s="3" t="s">
        <v>8</v>
      </c>
    </row>
    <row r="1472" spans="1:15" x14ac:dyDescent="0.35">
      <c r="A1472" s="5" t="str">
        <f>Loads[[#This Row],[Date]]&amp;Loads[[#This Row],[Product]]</f>
        <v>44249Product6</v>
      </c>
      <c r="B1472" s="5">
        <f>COUNTIF($A$1:A1472,Loads[[#This Row],[Load]])</f>
        <v>1</v>
      </c>
      <c r="C1472" s="3" t="str">
        <f>Loads[[#This Row],[Load]]&amp;Loads[[#This Row],[Count]]</f>
        <v>44249Product61</v>
      </c>
      <c r="D1472" s="90">
        <v>44249</v>
      </c>
      <c r="E1472" s="143">
        <v>0.94374999999999998</v>
      </c>
      <c r="F1472" s="1" t="s">
        <v>9</v>
      </c>
      <c r="G1472" s="2" t="s">
        <v>17</v>
      </c>
      <c r="H1472" s="2" t="s">
        <v>42</v>
      </c>
      <c r="I1472" s="1" t="s">
        <v>11</v>
      </c>
      <c r="J1472" s="1" t="s">
        <v>8</v>
      </c>
      <c r="K1472" s="89">
        <v>35180</v>
      </c>
      <c r="L1472" s="3">
        <v>0.08</v>
      </c>
      <c r="M1472" s="3" t="s">
        <v>8</v>
      </c>
      <c r="N1472" s="3">
        <v>1.63</v>
      </c>
      <c r="O1472" s="3" t="s">
        <v>8</v>
      </c>
    </row>
    <row r="1473" spans="1:15" x14ac:dyDescent="0.35">
      <c r="A1473" s="5" t="str">
        <f>Loads[[#This Row],[Date]]&amp;Loads[[#This Row],[Product]]</f>
        <v>44249Product1</v>
      </c>
      <c r="B1473" s="5">
        <f>COUNTIF($A$1:A1473,Loads[[#This Row],[Load]])</f>
        <v>7</v>
      </c>
      <c r="C1473" s="3" t="str">
        <f>Loads[[#This Row],[Load]]&amp;Loads[[#This Row],[Count]]</f>
        <v>44249Product17</v>
      </c>
      <c r="D1473" s="90">
        <v>44249</v>
      </c>
      <c r="E1473" s="143">
        <v>0.94444444444444453</v>
      </c>
      <c r="F1473" s="1" t="s">
        <v>9</v>
      </c>
      <c r="G1473" s="2" t="s">
        <v>12</v>
      </c>
      <c r="H1473" s="2" t="s">
        <v>42</v>
      </c>
      <c r="I1473" s="1" t="s">
        <v>11</v>
      </c>
      <c r="J1473" s="1" t="s">
        <v>8</v>
      </c>
      <c r="K1473" s="89">
        <v>27260</v>
      </c>
      <c r="L1473" s="3">
        <v>8.69</v>
      </c>
      <c r="M1473" s="3">
        <v>22.43</v>
      </c>
      <c r="N1473" s="3" t="s">
        <v>8</v>
      </c>
      <c r="O1473" s="3" t="s">
        <v>8</v>
      </c>
    </row>
    <row r="1474" spans="1:15" x14ac:dyDescent="0.35">
      <c r="A1474" s="5" t="str">
        <f>Loads[[#This Row],[Date]]&amp;Loads[[#This Row],[Product]]</f>
        <v>44249Product1</v>
      </c>
      <c r="B1474" s="5">
        <f>COUNTIF($A$1:A1474,Loads[[#This Row],[Load]])</f>
        <v>8</v>
      </c>
      <c r="C1474" s="3" t="str">
        <f>Loads[[#This Row],[Load]]&amp;Loads[[#This Row],[Count]]</f>
        <v>44249Product18</v>
      </c>
      <c r="D1474" s="90">
        <v>44249</v>
      </c>
      <c r="E1474" s="143">
        <v>0.94513888888888886</v>
      </c>
      <c r="F1474" s="1" t="s">
        <v>9</v>
      </c>
      <c r="G1474" s="2" t="s">
        <v>12</v>
      </c>
      <c r="H1474" s="2" t="s">
        <v>42</v>
      </c>
      <c r="I1474" s="1" t="s">
        <v>10</v>
      </c>
      <c r="J1474" s="1">
        <v>325</v>
      </c>
      <c r="K1474" s="89">
        <v>12880</v>
      </c>
      <c r="L1474" s="3">
        <v>7.95</v>
      </c>
      <c r="M1474" s="3">
        <v>22.44</v>
      </c>
      <c r="N1474" s="3" t="s">
        <v>8</v>
      </c>
      <c r="O1474" s="3" t="s">
        <v>8</v>
      </c>
    </row>
    <row r="1475" spans="1:15" x14ac:dyDescent="0.35">
      <c r="A1475" s="5" t="str">
        <f>Loads[[#This Row],[Date]]&amp;Loads[[#This Row],[Product]]</f>
        <v>44249Product1</v>
      </c>
      <c r="B1475" s="5">
        <f>COUNTIF($A$1:A1475,Loads[[#This Row],[Load]])</f>
        <v>9</v>
      </c>
      <c r="C1475" s="3" t="str">
        <f>Loads[[#This Row],[Load]]&amp;Loads[[#This Row],[Count]]</f>
        <v>44249Product19</v>
      </c>
      <c r="D1475" s="90">
        <v>44249</v>
      </c>
      <c r="E1475" s="143">
        <v>0.95208333333333339</v>
      </c>
      <c r="F1475" s="1" t="s">
        <v>9</v>
      </c>
      <c r="G1475" s="2" t="s">
        <v>12</v>
      </c>
      <c r="H1475" s="2" t="s">
        <v>42</v>
      </c>
      <c r="I1475" s="1" t="s">
        <v>11</v>
      </c>
      <c r="J1475" s="1" t="s">
        <v>8</v>
      </c>
      <c r="K1475" s="89">
        <v>29940</v>
      </c>
      <c r="L1475" s="3">
        <v>8.8000000000000007</v>
      </c>
      <c r="M1475" s="3">
        <v>22.1</v>
      </c>
      <c r="N1475" s="3" t="s">
        <v>8</v>
      </c>
      <c r="O1475" s="3" t="s">
        <v>8</v>
      </c>
    </row>
    <row r="1476" spans="1:15" x14ac:dyDescent="0.35">
      <c r="A1476" s="5" t="str">
        <f>Loads[[#This Row],[Date]]&amp;Loads[[#This Row],[Product]]</f>
        <v>44249Product1</v>
      </c>
      <c r="B1476" s="5">
        <f>COUNTIF($A$1:A1476,Loads[[#This Row],[Load]])</f>
        <v>10</v>
      </c>
      <c r="C1476" s="3" t="str">
        <f>Loads[[#This Row],[Load]]&amp;Loads[[#This Row],[Count]]</f>
        <v>44249Product110</v>
      </c>
      <c r="D1476" s="90">
        <v>44249</v>
      </c>
      <c r="E1476" s="143">
        <v>0.98472222222222217</v>
      </c>
      <c r="F1476" s="1" t="s">
        <v>9</v>
      </c>
      <c r="G1476" s="2" t="s">
        <v>12</v>
      </c>
      <c r="H1476" s="2" t="s">
        <v>42</v>
      </c>
      <c r="I1476" s="1" t="s">
        <v>11</v>
      </c>
      <c r="J1476" s="1" t="s">
        <v>8</v>
      </c>
      <c r="K1476" s="89">
        <v>17360</v>
      </c>
      <c r="L1476" s="3">
        <v>8.9700000000000006</v>
      </c>
      <c r="M1476" s="3">
        <v>22.7</v>
      </c>
      <c r="N1476" s="3" t="s">
        <v>8</v>
      </c>
      <c r="O1476" s="3" t="s">
        <v>8</v>
      </c>
    </row>
    <row r="1477" spans="1:15" x14ac:dyDescent="0.35">
      <c r="A1477" s="5" t="str">
        <f>Loads[[#This Row],[Date]]&amp;Loads[[#This Row],[Product]]</f>
        <v>44249Product2</v>
      </c>
      <c r="B1477" s="5">
        <f>COUNTIF($A$1:A1477,Loads[[#This Row],[Load]])</f>
        <v>1</v>
      </c>
      <c r="C1477" s="3" t="str">
        <f>Loads[[#This Row],[Load]]&amp;Loads[[#This Row],[Count]]</f>
        <v>44249Product21</v>
      </c>
      <c r="D1477" s="90">
        <v>44249</v>
      </c>
      <c r="E1477" s="143">
        <v>0.1076388888888889</v>
      </c>
      <c r="F1477" s="1" t="s">
        <v>9</v>
      </c>
      <c r="G1477" s="2" t="s">
        <v>13</v>
      </c>
      <c r="H1477" s="2" t="s">
        <v>42</v>
      </c>
      <c r="I1477" s="1" t="s">
        <v>11</v>
      </c>
      <c r="J1477" s="1" t="s">
        <v>8</v>
      </c>
      <c r="K1477" s="89">
        <v>11620</v>
      </c>
      <c r="L1477" s="3">
        <v>56.7</v>
      </c>
      <c r="M1477" s="3">
        <v>10.56</v>
      </c>
      <c r="N1477" s="3" t="s">
        <v>8</v>
      </c>
      <c r="O1477" s="3" t="s">
        <v>8</v>
      </c>
    </row>
    <row r="1478" spans="1:15" x14ac:dyDescent="0.35">
      <c r="A1478" s="5" t="str">
        <f>Loads[[#This Row],[Date]]&amp;Loads[[#This Row],[Product]]</f>
        <v>44249Product2</v>
      </c>
      <c r="B1478" s="5">
        <f>COUNTIF($A$1:A1478,Loads[[#This Row],[Load]])</f>
        <v>2</v>
      </c>
      <c r="C1478" s="3" t="str">
        <f>Loads[[#This Row],[Load]]&amp;Loads[[#This Row],[Count]]</f>
        <v>44249Product22</v>
      </c>
      <c r="D1478" s="90">
        <v>44249</v>
      </c>
      <c r="E1478" s="143">
        <v>3.4027777777777775E-2</v>
      </c>
      <c r="F1478" s="1" t="s">
        <v>9</v>
      </c>
      <c r="G1478" s="2" t="s">
        <v>13</v>
      </c>
      <c r="H1478" s="2" t="s">
        <v>42</v>
      </c>
      <c r="I1478" s="1" t="s">
        <v>11</v>
      </c>
      <c r="J1478" s="1" t="s">
        <v>8</v>
      </c>
      <c r="K1478" s="89">
        <v>13180</v>
      </c>
      <c r="L1478" s="3">
        <v>58.84</v>
      </c>
      <c r="M1478" s="3">
        <v>9.84</v>
      </c>
      <c r="N1478" s="3" t="s">
        <v>8</v>
      </c>
      <c r="O1478" s="3" t="s">
        <v>8</v>
      </c>
    </row>
    <row r="1479" spans="1:15" x14ac:dyDescent="0.35">
      <c r="A1479" s="5" t="str">
        <f>Loads[[#This Row],[Date]]&amp;Loads[[#This Row],[Product]]</f>
        <v>44249Product2</v>
      </c>
      <c r="B1479" s="5">
        <f>COUNTIF($A$1:A1479,Loads[[#This Row],[Load]])</f>
        <v>3</v>
      </c>
      <c r="C1479" s="3" t="str">
        <f>Loads[[#This Row],[Load]]&amp;Loads[[#This Row],[Count]]</f>
        <v>44249Product23</v>
      </c>
      <c r="D1479" s="90">
        <v>44249</v>
      </c>
      <c r="E1479" s="143">
        <v>0.18680555555555556</v>
      </c>
      <c r="F1479" s="1" t="s">
        <v>9</v>
      </c>
      <c r="G1479" s="2" t="s">
        <v>13</v>
      </c>
      <c r="H1479" s="2" t="s">
        <v>42</v>
      </c>
      <c r="I1479" s="1" t="s">
        <v>11</v>
      </c>
      <c r="J1479" s="1" t="s">
        <v>8</v>
      </c>
      <c r="K1479" s="89">
        <v>12120</v>
      </c>
      <c r="L1479" s="3">
        <v>68.03</v>
      </c>
      <c r="M1479" s="3">
        <v>8.93</v>
      </c>
      <c r="N1479" s="3" t="s">
        <v>8</v>
      </c>
      <c r="O1479" s="3" t="s">
        <v>8</v>
      </c>
    </row>
    <row r="1480" spans="1:15" x14ac:dyDescent="0.35">
      <c r="A1480" s="5" t="str">
        <f>Loads[[#This Row],[Date]]&amp;Loads[[#This Row],[Product]]</f>
        <v>44249Product2</v>
      </c>
      <c r="B1480" s="5">
        <f>COUNTIF($A$1:A1480,Loads[[#This Row],[Load]])</f>
        <v>4</v>
      </c>
      <c r="C1480" s="3" t="str">
        <f>Loads[[#This Row],[Load]]&amp;Loads[[#This Row],[Count]]</f>
        <v>44249Product24</v>
      </c>
      <c r="D1480" s="90">
        <v>44249</v>
      </c>
      <c r="E1480" s="143">
        <v>0.56111111111111112</v>
      </c>
      <c r="F1480" s="1" t="s">
        <v>9</v>
      </c>
      <c r="G1480" s="2" t="s">
        <v>13</v>
      </c>
      <c r="H1480" s="2" t="s">
        <v>42</v>
      </c>
      <c r="I1480" s="1" t="s">
        <v>11</v>
      </c>
      <c r="J1480" s="1" t="s">
        <v>8</v>
      </c>
      <c r="K1480" s="89">
        <v>11300</v>
      </c>
      <c r="L1480" s="3">
        <v>60.44</v>
      </c>
      <c r="M1480" s="3">
        <v>8.93</v>
      </c>
      <c r="N1480" s="3" t="s">
        <v>8</v>
      </c>
      <c r="O1480" s="3" t="s">
        <v>8</v>
      </c>
    </row>
    <row r="1481" spans="1:15" x14ac:dyDescent="0.35">
      <c r="A1481" s="5" t="str">
        <f>Loads[[#This Row],[Date]]&amp;Loads[[#This Row],[Product]]</f>
        <v>44249Product2</v>
      </c>
      <c r="B1481" s="5">
        <f>COUNTIF($A$1:A1481,Loads[[#This Row],[Load]])</f>
        <v>5</v>
      </c>
      <c r="C1481" s="3" t="str">
        <f>Loads[[#This Row],[Load]]&amp;Loads[[#This Row],[Count]]</f>
        <v>44249Product25</v>
      </c>
      <c r="D1481" s="90">
        <v>44249</v>
      </c>
      <c r="E1481" s="143">
        <v>0.93888888888888899</v>
      </c>
      <c r="F1481" s="1" t="s">
        <v>9</v>
      </c>
      <c r="G1481" s="2" t="s">
        <v>13</v>
      </c>
      <c r="H1481" s="2" t="s">
        <v>42</v>
      </c>
      <c r="I1481" s="1" t="s">
        <v>11</v>
      </c>
      <c r="J1481" s="1" t="s">
        <v>8</v>
      </c>
      <c r="K1481" s="89">
        <v>13160</v>
      </c>
      <c r="L1481" s="3">
        <v>59.13</v>
      </c>
      <c r="M1481" s="3">
        <v>11.61</v>
      </c>
      <c r="N1481" s="3" t="s">
        <v>8</v>
      </c>
      <c r="O1481" s="3" t="s">
        <v>8</v>
      </c>
    </row>
    <row r="1482" spans="1:15" x14ac:dyDescent="0.35">
      <c r="A1482" s="5" t="str">
        <f>Loads[[#This Row],[Date]]&amp;Loads[[#This Row],[Product]]</f>
        <v>44249Product8</v>
      </c>
      <c r="B1482" s="5">
        <f>COUNTIF($A$1:A1482,Loads[[#This Row],[Load]])</f>
        <v>1</v>
      </c>
      <c r="C1482" s="3" t="str">
        <f>Loads[[#This Row],[Load]]&amp;Loads[[#This Row],[Count]]</f>
        <v>44249Product81</v>
      </c>
      <c r="D1482" s="90">
        <v>44249</v>
      </c>
      <c r="E1482" s="143">
        <v>0.79791666666666661</v>
      </c>
      <c r="F1482" s="1" t="s">
        <v>9</v>
      </c>
      <c r="G1482" s="2" t="s">
        <v>19</v>
      </c>
      <c r="H1482" s="2" t="s">
        <v>42</v>
      </c>
      <c r="I1482" s="1" t="s">
        <v>11</v>
      </c>
      <c r="J1482" s="1" t="s">
        <v>8</v>
      </c>
      <c r="K1482" s="89">
        <v>25440</v>
      </c>
      <c r="L1482" s="3">
        <v>11.16</v>
      </c>
      <c r="M1482" s="3">
        <v>7.2</v>
      </c>
      <c r="N1482" s="3" t="s">
        <v>8</v>
      </c>
      <c r="O1482" s="3" t="s">
        <v>8</v>
      </c>
    </row>
    <row r="1483" spans="1:15" x14ac:dyDescent="0.35">
      <c r="A1483" s="5" t="str">
        <f>Loads[[#This Row],[Date]]&amp;Loads[[#This Row],[Product]]</f>
        <v>44249Product5</v>
      </c>
      <c r="B1483" s="5">
        <f>COUNTIF($A$1:A1483,Loads[[#This Row],[Load]])</f>
        <v>2</v>
      </c>
      <c r="C1483" s="3" t="str">
        <f>Loads[[#This Row],[Load]]&amp;Loads[[#This Row],[Count]]</f>
        <v>44249Product52</v>
      </c>
      <c r="D1483" s="90">
        <v>44249</v>
      </c>
      <c r="E1483" s="143">
        <v>0.40972222222222227</v>
      </c>
      <c r="F1483" s="1" t="s">
        <v>9</v>
      </c>
      <c r="G1483" s="2" t="s">
        <v>16</v>
      </c>
      <c r="H1483" s="2" t="s">
        <v>42</v>
      </c>
      <c r="I1483" s="1" t="s">
        <v>11</v>
      </c>
      <c r="J1483" s="1" t="s">
        <v>8</v>
      </c>
      <c r="K1483" s="89">
        <v>18340</v>
      </c>
      <c r="L1483" s="3">
        <v>11.2</v>
      </c>
      <c r="N1483" s="3"/>
      <c r="O1483" s="3"/>
    </row>
    <row r="1484" spans="1:15" x14ac:dyDescent="0.35">
      <c r="A1484" s="5" t="str">
        <f>Loads[[#This Row],[Date]]&amp;Loads[[#This Row],[Product]]</f>
        <v>44250Product1</v>
      </c>
      <c r="B1484" s="5">
        <f>COUNTIF($A$1:A1484,Loads[[#This Row],[Load]])</f>
        <v>1</v>
      </c>
      <c r="C1484" s="3" t="str">
        <f>Loads[[#This Row],[Load]]&amp;Loads[[#This Row],[Count]]</f>
        <v>44250Product11</v>
      </c>
      <c r="D1484" s="90">
        <v>44250</v>
      </c>
      <c r="E1484" s="143">
        <v>0.95763888888888893</v>
      </c>
      <c r="F1484" s="1" t="s">
        <v>9</v>
      </c>
      <c r="G1484" s="2" t="s">
        <v>12</v>
      </c>
      <c r="H1484" s="2" t="s">
        <v>42</v>
      </c>
      <c r="I1484" s="1" t="s">
        <v>11</v>
      </c>
      <c r="J1484" s="1" t="s">
        <v>8</v>
      </c>
      <c r="K1484" s="89">
        <v>27740</v>
      </c>
      <c r="L1484" s="3">
        <v>8.92</v>
      </c>
      <c r="M1484" s="3">
        <v>21.81</v>
      </c>
      <c r="N1484" s="3" t="s">
        <v>8</v>
      </c>
      <c r="O1484" s="3" t="s">
        <v>8</v>
      </c>
    </row>
    <row r="1485" spans="1:15" x14ac:dyDescent="0.35">
      <c r="A1485" s="5" t="str">
        <f>Loads[[#This Row],[Date]]&amp;Loads[[#This Row],[Product]]</f>
        <v>44250Product1</v>
      </c>
      <c r="B1485" s="5">
        <f>COUNTIF($A$1:A1485,Loads[[#This Row],[Load]])</f>
        <v>2</v>
      </c>
      <c r="C1485" s="3" t="str">
        <f>Loads[[#This Row],[Load]]&amp;Loads[[#This Row],[Count]]</f>
        <v>44250Product12</v>
      </c>
      <c r="D1485" s="90">
        <v>44250</v>
      </c>
      <c r="E1485" s="143">
        <v>0.9590277777777777</v>
      </c>
      <c r="F1485" s="1" t="s">
        <v>9</v>
      </c>
      <c r="G1485" s="2" t="s">
        <v>12</v>
      </c>
      <c r="H1485" s="2" t="s">
        <v>42</v>
      </c>
      <c r="I1485" s="1" t="s">
        <v>10</v>
      </c>
      <c r="J1485" s="1">
        <v>425</v>
      </c>
      <c r="K1485" s="89">
        <v>16820</v>
      </c>
      <c r="L1485" s="3">
        <v>8.81</v>
      </c>
      <c r="M1485" s="3">
        <v>21.24</v>
      </c>
      <c r="N1485" s="3" t="s">
        <v>8</v>
      </c>
      <c r="O1485" s="3" t="s">
        <v>8</v>
      </c>
    </row>
    <row r="1486" spans="1:15" x14ac:dyDescent="0.35">
      <c r="A1486" s="5" t="str">
        <f>Loads[[#This Row],[Date]]&amp;Loads[[#This Row],[Product]]</f>
        <v>44250Product1</v>
      </c>
      <c r="B1486" s="5">
        <f>COUNTIF($A$1:A1486,Loads[[#This Row],[Load]])</f>
        <v>3</v>
      </c>
      <c r="C1486" s="3" t="str">
        <f>Loads[[#This Row],[Load]]&amp;Loads[[#This Row],[Count]]</f>
        <v>44250Product13</v>
      </c>
      <c r="D1486" s="90">
        <v>44250</v>
      </c>
      <c r="E1486" s="143">
        <v>0.9590277777777777</v>
      </c>
      <c r="F1486" s="1" t="s">
        <v>9</v>
      </c>
      <c r="G1486" s="2" t="s">
        <v>12</v>
      </c>
      <c r="H1486" s="2" t="s">
        <v>42</v>
      </c>
      <c r="I1486" s="1" t="s">
        <v>10</v>
      </c>
      <c r="J1486" s="1">
        <v>780</v>
      </c>
      <c r="K1486" s="89">
        <v>30940</v>
      </c>
      <c r="L1486" s="3">
        <v>8.49</v>
      </c>
      <c r="M1486" s="3">
        <v>20.8</v>
      </c>
      <c r="N1486" s="3" t="s">
        <v>8</v>
      </c>
      <c r="O1486" s="3" t="s">
        <v>8</v>
      </c>
    </row>
    <row r="1487" spans="1:15" x14ac:dyDescent="0.35">
      <c r="A1487" s="5" t="str">
        <f>Loads[[#This Row],[Date]]&amp;Loads[[#This Row],[Product]]</f>
        <v>44250Product4</v>
      </c>
      <c r="B1487" s="5">
        <f>COUNTIF($A$1:A1487,Loads[[#This Row],[Load]])</f>
        <v>1</v>
      </c>
      <c r="C1487" s="3" t="str">
        <f>Loads[[#This Row],[Load]]&amp;Loads[[#This Row],[Count]]</f>
        <v>44250Product41</v>
      </c>
      <c r="D1487" s="90">
        <v>44250</v>
      </c>
      <c r="E1487" s="143">
        <v>0.95972222222222225</v>
      </c>
      <c r="F1487" s="1" t="s">
        <v>9</v>
      </c>
      <c r="G1487" s="2" t="s">
        <v>15</v>
      </c>
      <c r="H1487" s="2" t="s">
        <v>42</v>
      </c>
      <c r="I1487" s="1" t="s">
        <v>11</v>
      </c>
      <c r="J1487" s="1" t="s">
        <v>8</v>
      </c>
      <c r="K1487" s="89">
        <v>35300</v>
      </c>
      <c r="L1487" s="3">
        <v>9.84</v>
      </c>
      <c r="M1487" s="3">
        <v>62.74</v>
      </c>
      <c r="N1487" s="3" t="s">
        <v>8</v>
      </c>
      <c r="O1487" s="3" t="s">
        <v>8</v>
      </c>
    </row>
    <row r="1488" spans="1:15" x14ac:dyDescent="0.35">
      <c r="A1488" s="5" t="str">
        <f>Loads[[#This Row],[Date]]&amp;Loads[[#This Row],[Product]]</f>
        <v>44250Product1</v>
      </c>
      <c r="B1488" s="5">
        <f>COUNTIF($A$1:A1488,Loads[[#This Row],[Load]])</f>
        <v>4</v>
      </c>
      <c r="C1488" s="3" t="str">
        <f>Loads[[#This Row],[Load]]&amp;Loads[[#This Row],[Count]]</f>
        <v>44250Product14</v>
      </c>
      <c r="D1488" s="90">
        <v>44250</v>
      </c>
      <c r="E1488" s="143">
        <v>0.9604166666666667</v>
      </c>
      <c r="F1488" s="1" t="s">
        <v>9</v>
      </c>
      <c r="G1488" s="2" t="s">
        <v>12</v>
      </c>
      <c r="H1488" s="2" t="s">
        <v>42</v>
      </c>
      <c r="I1488" s="1" t="s">
        <v>11</v>
      </c>
      <c r="J1488" s="1" t="s">
        <v>8</v>
      </c>
      <c r="K1488" s="89">
        <v>27640</v>
      </c>
      <c r="L1488" s="3">
        <v>8.0500000000000007</v>
      </c>
      <c r="M1488" s="3">
        <v>21.46</v>
      </c>
      <c r="N1488" s="3" t="s">
        <v>8</v>
      </c>
      <c r="O1488" s="3" t="s">
        <v>8</v>
      </c>
    </row>
    <row r="1489" spans="1:15" x14ac:dyDescent="0.35">
      <c r="A1489" s="5" t="str">
        <f>Loads[[#This Row],[Date]]&amp;Loads[[#This Row],[Product]]</f>
        <v>44250Product1</v>
      </c>
      <c r="B1489" s="5">
        <f>COUNTIF($A$1:A1489,Loads[[#This Row],[Load]])</f>
        <v>5</v>
      </c>
      <c r="C1489" s="3" t="str">
        <f>Loads[[#This Row],[Load]]&amp;Loads[[#This Row],[Count]]</f>
        <v>44250Product15</v>
      </c>
      <c r="D1489" s="90">
        <v>44250</v>
      </c>
      <c r="E1489" s="143">
        <v>0.9604166666666667</v>
      </c>
      <c r="F1489" s="1" t="s">
        <v>9</v>
      </c>
      <c r="G1489" s="2" t="s">
        <v>12</v>
      </c>
      <c r="H1489" s="2" t="s">
        <v>42</v>
      </c>
      <c r="I1489" s="1" t="s">
        <v>11</v>
      </c>
      <c r="J1489" s="1" t="s">
        <v>8</v>
      </c>
      <c r="K1489" s="89">
        <v>20220</v>
      </c>
      <c r="L1489" s="3">
        <v>7.93</v>
      </c>
      <c r="M1489" s="3">
        <v>21.02</v>
      </c>
      <c r="N1489" s="3" t="s">
        <v>8</v>
      </c>
      <c r="O1489" s="3" t="s">
        <v>8</v>
      </c>
    </row>
    <row r="1490" spans="1:15" x14ac:dyDescent="0.35">
      <c r="A1490" s="5" t="str">
        <f>Loads[[#This Row],[Date]]&amp;Loads[[#This Row],[Product]]</f>
        <v>44250Product1</v>
      </c>
      <c r="B1490" s="5">
        <f>COUNTIF($A$1:A1490,Loads[[#This Row],[Load]])</f>
        <v>6</v>
      </c>
      <c r="C1490" s="3" t="str">
        <f>Loads[[#This Row],[Load]]&amp;Loads[[#This Row],[Count]]</f>
        <v>44250Product16</v>
      </c>
      <c r="D1490" s="90">
        <v>44250</v>
      </c>
      <c r="E1490" s="143">
        <v>0.96111111111111114</v>
      </c>
      <c r="F1490" s="1" t="s">
        <v>9</v>
      </c>
      <c r="G1490" s="2" t="s">
        <v>12</v>
      </c>
      <c r="H1490" s="2" t="s">
        <v>42</v>
      </c>
      <c r="I1490" s="1" t="s">
        <v>11</v>
      </c>
      <c r="J1490" s="1" t="s">
        <v>8</v>
      </c>
      <c r="K1490" s="89">
        <v>22280</v>
      </c>
      <c r="L1490" s="3">
        <v>8.1999999999999993</v>
      </c>
      <c r="M1490" s="3">
        <v>21.51</v>
      </c>
      <c r="N1490" s="3" t="s">
        <v>8</v>
      </c>
      <c r="O1490" s="3" t="s">
        <v>8</v>
      </c>
    </row>
    <row r="1491" spans="1:15" x14ac:dyDescent="0.35">
      <c r="A1491" s="5" t="str">
        <f>Loads[[#This Row],[Date]]&amp;Loads[[#This Row],[Product]]</f>
        <v>44250Product1</v>
      </c>
      <c r="B1491" s="5">
        <f>COUNTIF($A$1:A1491,Loads[[#This Row],[Load]])</f>
        <v>7</v>
      </c>
      <c r="C1491" s="3" t="str">
        <f>Loads[[#This Row],[Load]]&amp;Loads[[#This Row],[Count]]</f>
        <v>44250Product17</v>
      </c>
      <c r="D1491" s="90">
        <v>44250</v>
      </c>
      <c r="E1491" s="143">
        <v>0.96180555555555547</v>
      </c>
      <c r="F1491" s="1" t="s">
        <v>9</v>
      </c>
      <c r="G1491" s="2" t="s">
        <v>12</v>
      </c>
      <c r="H1491" s="2" t="s">
        <v>42</v>
      </c>
      <c r="I1491" s="1" t="s">
        <v>11</v>
      </c>
      <c r="J1491" s="1" t="s">
        <v>8</v>
      </c>
      <c r="K1491" s="89">
        <v>25160</v>
      </c>
      <c r="L1491" s="3">
        <v>7.91</v>
      </c>
      <c r="M1491" s="3">
        <v>21.02</v>
      </c>
      <c r="N1491" s="3" t="s">
        <v>8</v>
      </c>
      <c r="O1491" s="3" t="s">
        <v>8</v>
      </c>
    </row>
    <row r="1492" spans="1:15" x14ac:dyDescent="0.35">
      <c r="A1492" s="5" t="str">
        <f>Loads[[#This Row],[Date]]&amp;Loads[[#This Row],[Product]]</f>
        <v>44250Product1</v>
      </c>
      <c r="B1492" s="5">
        <f>COUNTIF($A$1:A1492,Loads[[#This Row],[Load]])</f>
        <v>8</v>
      </c>
      <c r="C1492" s="3" t="str">
        <f>Loads[[#This Row],[Load]]&amp;Loads[[#This Row],[Count]]</f>
        <v>44250Product18</v>
      </c>
      <c r="D1492" s="90">
        <v>44250</v>
      </c>
      <c r="E1492" s="143">
        <v>0.96250000000000002</v>
      </c>
      <c r="F1492" s="1" t="s">
        <v>9</v>
      </c>
      <c r="G1492" s="2" t="s">
        <v>12</v>
      </c>
      <c r="H1492" s="2" t="s">
        <v>42</v>
      </c>
      <c r="I1492" s="1" t="s">
        <v>11</v>
      </c>
      <c r="J1492" s="1" t="s">
        <v>8</v>
      </c>
      <c r="K1492" s="89">
        <v>21800</v>
      </c>
      <c r="L1492" s="3">
        <v>7.95</v>
      </c>
      <c r="M1492" s="3">
        <v>21.26</v>
      </c>
      <c r="N1492" s="3" t="s">
        <v>8</v>
      </c>
      <c r="O1492" s="3" t="s">
        <v>8</v>
      </c>
    </row>
    <row r="1493" spans="1:15" x14ac:dyDescent="0.35">
      <c r="A1493" s="5" t="str">
        <f>Loads[[#This Row],[Date]]&amp;Loads[[#This Row],[Product]]</f>
        <v>44250Product1</v>
      </c>
      <c r="B1493" s="5">
        <f>COUNTIF($A$1:A1493,Loads[[#This Row],[Load]])</f>
        <v>9</v>
      </c>
      <c r="C1493" s="3" t="str">
        <f>Loads[[#This Row],[Load]]&amp;Loads[[#This Row],[Count]]</f>
        <v>44250Product19</v>
      </c>
      <c r="D1493" s="90">
        <v>44250</v>
      </c>
      <c r="E1493" s="143">
        <v>0.96250000000000002</v>
      </c>
      <c r="F1493" s="1" t="s">
        <v>9</v>
      </c>
      <c r="G1493" s="2" t="s">
        <v>12</v>
      </c>
      <c r="H1493" s="2" t="s">
        <v>42</v>
      </c>
      <c r="I1493" s="1" t="s">
        <v>11</v>
      </c>
      <c r="J1493" s="1" t="s">
        <v>8</v>
      </c>
      <c r="K1493" s="89">
        <v>21460</v>
      </c>
      <c r="L1493" s="3">
        <v>6.79</v>
      </c>
      <c r="M1493" s="3">
        <v>21.29</v>
      </c>
      <c r="N1493" s="3" t="s">
        <v>8</v>
      </c>
      <c r="O1493" s="3" t="s">
        <v>8</v>
      </c>
    </row>
    <row r="1494" spans="1:15" x14ac:dyDescent="0.35">
      <c r="A1494" s="5" t="str">
        <f>Loads[[#This Row],[Date]]&amp;Loads[[#This Row],[Product]]</f>
        <v>44250Product6</v>
      </c>
      <c r="B1494" s="5">
        <f>COUNTIF($A$1:A1494,Loads[[#This Row],[Load]])</f>
        <v>1</v>
      </c>
      <c r="C1494" s="3" t="str">
        <f>Loads[[#This Row],[Load]]&amp;Loads[[#This Row],[Count]]</f>
        <v>44250Product61</v>
      </c>
      <c r="D1494" s="90">
        <v>44250</v>
      </c>
      <c r="E1494" s="143">
        <v>0.96319444444444446</v>
      </c>
      <c r="F1494" s="1" t="s">
        <v>9</v>
      </c>
      <c r="G1494" s="2" t="s">
        <v>17</v>
      </c>
      <c r="H1494" s="2" t="s">
        <v>42</v>
      </c>
      <c r="I1494" s="1" t="s">
        <v>11</v>
      </c>
      <c r="J1494" s="1" t="s">
        <v>8</v>
      </c>
      <c r="K1494" s="89">
        <v>35360</v>
      </c>
      <c r="L1494" s="3">
        <v>0.15</v>
      </c>
      <c r="M1494" s="3" t="s">
        <v>8</v>
      </c>
      <c r="N1494" s="3">
        <v>1.94</v>
      </c>
      <c r="O1494" s="3" t="s">
        <v>8</v>
      </c>
    </row>
    <row r="1495" spans="1:15" x14ac:dyDescent="0.35">
      <c r="A1495" s="5" t="str">
        <f>Loads[[#This Row],[Date]]&amp;Loads[[#This Row],[Product]]</f>
        <v>44250Product1</v>
      </c>
      <c r="B1495" s="5">
        <f>COUNTIF($A$1:A1495,Loads[[#This Row],[Load]])</f>
        <v>10</v>
      </c>
      <c r="C1495" s="3" t="str">
        <f>Loads[[#This Row],[Load]]&amp;Loads[[#This Row],[Count]]</f>
        <v>44250Product110</v>
      </c>
      <c r="D1495" s="90">
        <v>44250</v>
      </c>
      <c r="E1495" s="143">
        <v>0.96388888888888891</v>
      </c>
      <c r="F1495" s="1" t="s">
        <v>9</v>
      </c>
      <c r="G1495" s="2" t="s">
        <v>12</v>
      </c>
      <c r="H1495" s="2" t="s">
        <v>42</v>
      </c>
      <c r="I1495" s="1" t="s">
        <v>10</v>
      </c>
      <c r="J1495" s="1">
        <v>640</v>
      </c>
      <c r="K1495" s="89">
        <v>25520</v>
      </c>
      <c r="L1495" s="3">
        <v>9.8000000000000007</v>
      </c>
      <c r="M1495" s="3">
        <v>21.72</v>
      </c>
      <c r="N1495" s="3" t="s">
        <v>8</v>
      </c>
      <c r="O1495" s="3" t="s">
        <v>8</v>
      </c>
    </row>
    <row r="1496" spans="1:15" x14ac:dyDescent="0.35">
      <c r="A1496" s="5" t="str">
        <f>Loads[[#This Row],[Date]]&amp;Loads[[#This Row],[Product]]</f>
        <v>44250Product1</v>
      </c>
      <c r="B1496" s="5">
        <f>COUNTIF($A$1:A1496,Loads[[#This Row],[Load]])</f>
        <v>11</v>
      </c>
      <c r="C1496" s="3" t="str">
        <f>Loads[[#This Row],[Load]]&amp;Loads[[#This Row],[Count]]</f>
        <v>44250Product111</v>
      </c>
      <c r="D1496" s="90">
        <v>44250</v>
      </c>
      <c r="E1496" s="143">
        <v>0.96458333333333324</v>
      </c>
      <c r="F1496" s="1" t="s">
        <v>9</v>
      </c>
      <c r="G1496" s="2" t="s">
        <v>12</v>
      </c>
      <c r="H1496" s="2" t="s">
        <v>42</v>
      </c>
      <c r="I1496" s="1" t="s">
        <v>11</v>
      </c>
      <c r="J1496" s="1" t="s">
        <v>8</v>
      </c>
      <c r="K1496" s="89">
        <v>26240</v>
      </c>
      <c r="L1496" s="3">
        <v>9.65</v>
      </c>
      <c r="M1496" s="3">
        <v>21.54</v>
      </c>
      <c r="N1496" s="3" t="s">
        <v>8</v>
      </c>
      <c r="O1496" s="3" t="s">
        <v>8</v>
      </c>
    </row>
    <row r="1497" spans="1:15" x14ac:dyDescent="0.35">
      <c r="A1497" s="5" t="str">
        <f>Loads[[#This Row],[Date]]&amp;Loads[[#This Row],[Product]]</f>
        <v>44250Product2</v>
      </c>
      <c r="B1497" s="5">
        <f>COUNTIF($A$1:A1497,Loads[[#This Row],[Load]])</f>
        <v>1</v>
      </c>
      <c r="C1497" s="3" t="str">
        <f>Loads[[#This Row],[Load]]&amp;Loads[[#This Row],[Count]]</f>
        <v>44250Product21</v>
      </c>
      <c r="D1497" s="90">
        <v>44250</v>
      </c>
      <c r="E1497" s="143">
        <v>6.5972222222222224E-2</v>
      </c>
      <c r="F1497" s="1" t="s">
        <v>9</v>
      </c>
      <c r="G1497" s="2" t="s">
        <v>13</v>
      </c>
      <c r="H1497" s="2" t="s">
        <v>42</v>
      </c>
      <c r="I1497" s="1" t="s">
        <v>11</v>
      </c>
      <c r="J1497" s="1" t="s">
        <v>8</v>
      </c>
      <c r="K1497" s="89">
        <v>12200</v>
      </c>
      <c r="L1497" s="3">
        <v>59.12</v>
      </c>
      <c r="M1497" s="3">
        <v>10.61</v>
      </c>
      <c r="N1497" s="3" t="s">
        <v>8</v>
      </c>
      <c r="O1497" s="3" t="s">
        <v>8</v>
      </c>
    </row>
    <row r="1498" spans="1:15" x14ac:dyDescent="0.35">
      <c r="A1498" s="5" t="str">
        <f>Loads[[#This Row],[Date]]&amp;Loads[[#This Row],[Product]]</f>
        <v>44250Product2</v>
      </c>
      <c r="B1498" s="5">
        <f>COUNTIF($A$1:A1498,Loads[[#This Row],[Load]])</f>
        <v>2</v>
      </c>
      <c r="C1498" s="3" t="str">
        <f>Loads[[#This Row],[Load]]&amp;Loads[[#This Row],[Count]]</f>
        <v>44250Product22</v>
      </c>
      <c r="D1498" s="90">
        <v>44250</v>
      </c>
      <c r="E1498" s="143">
        <v>1.1805555555555555E-2</v>
      </c>
      <c r="F1498" s="1" t="s">
        <v>9</v>
      </c>
      <c r="G1498" s="2" t="s">
        <v>13</v>
      </c>
      <c r="H1498" s="2" t="s">
        <v>42</v>
      </c>
      <c r="I1498" s="1" t="s">
        <v>11</v>
      </c>
      <c r="J1498" s="1" t="s">
        <v>8</v>
      </c>
      <c r="K1498" s="89">
        <v>12500</v>
      </c>
      <c r="L1498" s="3">
        <v>60.01</v>
      </c>
      <c r="M1498" s="3">
        <v>10.43</v>
      </c>
      <c r="N1498" s="3" t="s">
        <v>8</v>
      </c>
      <c r="O1498" s="3" t="s">
        <v>8</v>
      </c>
    </row>
    <row r="1499" spans="1:15" x14ac:dyDescent="0.35">
      <c r="A1499" s="5" t="str">
        <f>Loads[[#This Row],[Date]]&amp;Loads[[#This Row],[Product]]</f>
        <v>44250Product2</v>
      </c>
      <c r="B1499" s="5">
        <f>COUNTIF($A$1:A1499,Loads[[#This Row],[Load]])</f>
        <v>3</v>
      </c>
      <c r="C1499" s="3" t="str">
        <f>Loads[[#This Row],[Load]]&amp;Loads[[#This Row],[Count]]</f>
        <v>44250Product23</v>
      </c>
      <c r="D1499" s="90">
        <v>44250</v>
      </c>
      <c r="E1499" s="143">
        <v>0.29375000000000001</v>
      </c>
      <c r="F1499" s="1" t="s">
        <v>9</v>
      </c>
      <c r="G1499" s="2" t="s">
        <v>13</v>
      </c>
      <c r="H1499" s="2" t="s">
        <v>42</v>
      </c>
      <c r="I1499" s="1" t="s">
        <v>11</v>
      </c>
      <c r="J1499" s="1" t="s">
        <v>8</v>
      </c>
      <c r="K1499" s="89">
        <v>12320</v>
      </c>
      <c r="L1499" s="3">
        <v>60.54</v>
      </c>
      <c r="M1499" s="3">
        <v>10.06</v>
      </c>
      <c r="N1499" s="3" t="s">
        <v>8</v>
      </c>
      <c r="O1499" s="3" t="s">
        <v>8</v>
      </c>
    </row>
    <row r="1500" spans="1:15" x14ac:dyDescent="0.35">
      <c r="A1500" s="5" t="str">
        <f>Loads[[#This Row],[Date]]&amp;Loads[[#This Row],[Product]]</f>
        <v>44250Product2</v>
      </c>
      <c r="B1500" s="5">
        <f>COUNTIF($A$1:A1500,Loads[[#This Row],[Load]])</f>
        <v>4</v>
      </c>
      <c r="C1500" s="3" t="str">
        <f>Loads[[#This Row],[Load]]&amp;Loads[[#This Row],[Count]]</f>
        <v>44250Product24</v>
      </c>
      <c r="D1500" s="90">
        <v>44250</v>
      </c>
      <c r="E1500" s="143">
        <v>0.15902777777777777</v>
      </c>
      <c r="F1500" s="1" t="s">
        <v>9</v>
      </c>
      <c r="G1500" s="2" t="s">
        <v>13</v>
      </c>
      <c r="H1500" s="2" t="s">
        <v>42</v>
      </c>
      <c r="I1500" s="1" t="s">
        <v>11</v>
      </c>
      <c r="J1500" s="1" t="s">
        <v>8</v>
      </c>
      <c r="K1500" s="89">
        <v>11700</v>
      </c>
      <c r="L1500" s="3">
        <v>60.12</v>
      </c>
      <c r="M1500" s="3">
        <v>9.9600000000000009</v>
      </c>
      <c r="N1500" s="3" t="s">
        <v>8</v>
      </c>
      <c r="O1500" s="3" t="s">
        <v>8</v>
      </c>
    </row>
    <row r="1501" spans="1:15" x14ac:dyDescent="0.35">
      <c r="A1501" s="5" t="str">
        <f>Loads[[#This Row],[Date]]&amp;Loads[[#This Row],[Product]]</f>
        <v>44250Product2</v>
      </c>
      <c r="B1501" s="5">
        <f>COUNTIF($A$1:A1501,Loads[[#This Row],[Load]])</f>
        <v>5</v>
      </c>
      <c r="C1501" s="3" t="str">
        <f>Loads[[#This Row],[Load]]&amp;Loads[[#This Row],[Count]]</f>
        <v>44250Product25</v>
      </c>
      <c r="D1501" s="90">
        <v>44250</v>
      </c>
      <c r="E1501" s="143">
        <v>0.42499999999999999</v>
      </c>
      <c r="F1501" s="1" t="s">
        <v>9</v>
      </c>
      <c r="G1501" s="2" t="s">
        <v>13</v>
      </c>
      <c r="H1501" s="2" t="s">
        <v>42</v>
      </c>
      <c r="I1501" s="1" t="s">
        <v>11</v>
      </c>
      <c r="J1501" s="1" t="s">
        <v>8</v>
      </c>
      <c r="K1501" s="89">
        <v>16880</v>
      </c>
      <c r="L1501" s="3">
        <v>60.77</v>
      </c>
      <c r="M1501" s="3">
        <v>10.06</v>
      </c>
      <c r="N1501" s="3" t="s">
        <v>8</v>
      </c>
      <c r="O1501" s="3" t="s">
        <v>8</v>
      </c>
    </row>
    <row r="1502" spans="1:15" x14ac:dyDescent="0.35">
      <c r="A1502" s="5" t="str">
        <f>Loads[[#This Row],[Date]]&amp;Loads[[#This Row],[Product]]</f>
        <v>44250Product2</v>
      </c>
      <c r="B1502" s="5">
        <f>COUNTIF($A$1:A1502,Loads[[#This Row],[Load]])</f>
        <v>6</v>
      </c>
      <c r="C1502" s="3" t="str">
        <f>Loads[[#This Row],[Load]]&amp;Loads[[#This Row],[Count]]</f>
        <v>44250Product26</v>
      </c>
      <c r="D1502" s="90">
        <v>44250</v>
      </c>
      <c r="E1502" s="143">
        <v>0.48958333333333331</v>
      </c>
      <c r="F1502" s="1" t="s">
        <v>9</v>
      </c>
      <c r="G1502" s="2" t="s">
        <v>13</v>
      </c>
      <c r="H1502" s="2" t="s">
        <v>42</v>
      </c>
      <c r="I1502" s="1" t="s">
        <v>11</v>
      </c>
      <c r="J1502" s="1" t="s">
        <v>8</v>
      </c>
      <c r="K1502" s="89">
        <v>11380</v>
      </c>
      <c r="L1502" s="3">
        <v>65.87</v>
      </c>
      <c r="M1502" s="3">
        <v>8.56</v>
      </c>
      <c r="N1502" s="3" t="s">
        <v>8</v>
      </c>
      <c r="O1502" s="3" t="s">
        <v>8</v>
      </c>
    </row>
    <row r="1503" spans="1:15" x14ac:dyDescent="0.35">
      <c r="A1503" s="5" t="str">
        <f>Loads[[#This Row],[Date]]&amp;Loads[[#This Row],[Product]]</f>
        <v>44250Product2</v>
      </c>
      <c r="B1503" s="5">
        <f>COUNTIF($A$1:A1503,Loads[[#This Row],[Load]])</f>
        <v>7</v>
      </c>
      <c r="C1503" s="3" t="str">
        <f>Loads[[#This Row],[Load]]&amp;Loads[[#This Row],[Count]]</f>
        <v>44250Product27</v>
      </c>
      <c r="D1503" s="90">
        <v>44250</v>
      </c>
      <c r="E1503" s="143">
        <v>0.78472222222222221</v>
      </c>
      <c r="F1503" s="1" t="s">
        <v>9</v>
      </c>
      <c r="G1503" s="2" t="s">
        <v>13</v>
      </c>
      <c r="H1503" s="2" t="s">
        <v>42</v>
      </c>
      <c r="I1503" s="1" t="s">
        <v>11</v>
      </c>
      <c r="J1503" s="1" t="s">
        <v>8</v>
      </c>
      <c r="K1503" s="89">
        <v>11220</v>
      </c>
      <c r="L1503" s="3">
        <v>62.46</v>
      </c>
      <c r="M1503" s="3">
        <v>9.9499999999999993</v>
      </c>
      <c r="N1503" s="3" t="s">
        <v>8</v>
      </c>
      <c r="O1503" s="3" t="s">
        <v>8</v>
      </c>
    </row>
    <row r="1504" spans="1:15" x14ac:dyDescent="0.35">
      <c r="A1504" s="5" t="str">
        <f>Loads[[#This Row],[Date]]&amp;Loads[[#This Row],[Product]]</f>
        <v>44250Product2</v>
      </c>
      <c r="B1504" s="5">
        <f>COUNTIF($A$1:A1504,Loads[[#This Row],[Load]])</f>
        <v>8</v>
      </c>
      <c r="C1504" s="3" t="str">
        <f>Loads[[#This Row],[Load]]&amp;Loads[[#This Row],[Count]]</f>
        <v>44250Product28</v>
      </c>
      <c r="D1504" s="90">
        <v>44250</v>
      </c>
      <c r="E1504" s="143">
        <v>0.66736111111111107</v>
      </c>
      <c r="F1504" s="1" t="s">
        <v>9</v>
      </c>
      <c r="G1504" s="2" t="s">
        <v>13</v>
      </c>
      <c r="H1504" s="2" t="s">
        <v>42</v>
      </c>
      <c r="I1504" s="1" t="s">
        <v>11</v>
      </c>
      <c r="J1504" s="1" t="s">
        <v>8</v>
      </c>
      <c r="K1504" s="89">
        <v>9940</v>
      </c>
      <c r="L1504" s="3">
        <v>59.73</v>
      </c>
      <c r="M1504" s="3">
        <v>12.24</v>
      </c>
      <c r="N1504" s="3" t="s">
        <v>8</v>
      </c>
      <c r="O1504" s="3" t="s">
        <v>8</v>
      </c>
    </row>
    <row r="1505" spans="1:15" x14ac:dyDescent="0.35">
      <c r="A1505" s="5" t="str">
        <f>Loads[[#This Row],[Date]]&amp;Loads[[#This Row],[Product]]</f>
        <v>44250Product2</v>
      </c>
      <c r="B1505" s="5">
        <f>COUNTIF($A$1:A1505,Loads[[#This Row],[Load]])</f>
        <v>9</v>
      </c>
      <c r="C1505" s="3" t="str">
        <f>Loads[[#This Row],[Load]]&amp;Loads[[#This Row],[Count]]</f>
        <v>44250Product29</v>
      </c>
      <c r="D1505" s="90">
        <v>44250</v>
      </c>
      <c r="E1505" s="143">
        <v>0.87986111111111109</v>
      </c>
      <c r="F1505" s="1" t="s">
        <v>9</v>
      </c>
      <c r="G1505" s="2" t="s">
        <v>13</v>
      </c>
      <c r="H1505" s="2" t="s">
        <v>42</v>
      </c>
      <c r="I1505" s="1" t="s">
        <v>11</v>
      </c>
      <c r="J1505" s="1" t="s">
        <v>8</v>
      </c>
      <c r="K1505" s="89">
        <v>10720</v>
      </c>
      <c r="L1505" s="3">
        <v>59.49</v>
      </c>
      <c r="M1505" s="3">
        <v>10.1</v>
      </c>
      <c r="N1505" s="3" t="s">
        <v>8</v>
      </c>
      <c r="O1505" s="3" t="s">
        <v>8</v>
      </c>
    </row>
    <row r="1506" spans="1:15" x14ac:dyDescent="0.35">
      <c r="A1506" s="5" t="str">
        <f>Loads[[#This Row],[Date]]&amp;Loads[[#This Row],[Product]]</f>
        <v>44250Product2</v>
      </c>
      <c r="B1506" s="5">
        <f>COUNTIF($A$1:A1506,Loads[[#This Row],[Load]])</f>
        <v>10</v>
      </c>
      <c r="C1506" s="3" t="str">
        <f>Loads[[#This Row],[Load]]&amp;Loads[[#This Row],[Count]]</f>
        <v>44250Product210</v>
      </c>
      <c r="D1506" s="90">
        <v>44250</v>
      </c>
      <c r="E1506" s="143">
        <v>0.55694444444444446</v>
      </c>
      <c r="F1506" s="1" t="s">
        <v>9</v>
      </c>
      <c r="G1506" s="2" t="s">
        <v>13</v>
      </c>
      <c r="H1506" s="2" t="s">
        <v>42</v>
      </c>
      <c r="I1506" s="1" t="s">
        <v>11</v>
      </c>
      <c r="J1506" s="1" t="s">
        <v>8</v>
      </c>
      <c r="K1506" s="89">
        <v>10880</v>
      </c>
      <c r="L1506" s="3">
        <v>63.06</v>
      </c>
      <c r="M1506" s="3">
        <v>8.1199999999999992</v>
      </c>
      <c r="N1506" s="3" t="s">
        <v>8</v>
      </c>
      <c r="O1506" s="3" t="s">
        <v>8</v>
      </c>
    </row>
    <row r="1507" spans="1:15" x14ac:dyDescent="0.35">
      <c r="A1507" s="5" t="str">
        <f>Loads[[#This Row],[Date]]&amp;Loads[[#This Row],[Product]]</f>
        <v>44250Product7</v>
      </c>
      <c r="B1507" s="5">
        <f>COUNTIF($A$1:A1507,Loads[[#This Row],[Load]])</f>
        <v>1</v>
      </c>
      <c r="C1507" s="3" t="str">
        <f>Loads[[#This Row],[Load]]&amp;Loads[[#This Row],[Count]]</f>
        <v>44250Product71</v>
      </c>
      <c r="D1507" s="90">
        <v>44250</v>
      </c>
      <c r="E1507" s="143">
        <v>0.3576388888888889</v>
      </c>
      <c r="F1507" s="1" t="s">
        <v>9</v>
      </c>
      <c r="G1507" s="2" t="s">
        <v>18</v>
      </c>
      <c r="H1507" s="2" t="s">
        <v>42</v>
      </c>
      <c r="I1507" s="1" t="s">
        <v>11</v>
      </c>
      <c r="J1507" s="1" t="s">
        <v>8</v>
      </c>
      <c r="K1507" s="89">
        <v>25540</v>
      </c>
      <c r="L1507" s="3" t="s">
        <v>8</v>
      </c>
      <c r="M1507" s="3">
        <v>20.21</v>
      </c>
      <c r="N1507" s="3" t="s">
        <v>8</v>
      </c>
      <c r="O1507" s="3">
        <v>38.299999999999997</v>
      </c>
    </row>
    <row r="1508" spans="1:15" x14ac:dyDescent="0.35">
      <c r="A1508" s="5" t="str">
        <f>Loads[[#This Row],[Date]]&amp;Loads[[#This Row],[Product]]</f>
        <v>44251Product4</v>
      </c>
      <c r="B1508" s="5">
        <f>COUNTIF($A$1:A1508,Loads[[#This Row],[Load]])</f>
        <v>1</v>
      </c>
      <c r="C1508" s="3" t="str">
        <f>Loads[[#This Row],[Load]]&amp;Loads[[#This Row],[Count]]</f>
        <v>44251Product41</v>
      </c>
      <c r="D1508" s="90">
        <v>44251</v>
      </c>
      <c r="E1508" s="143">
        <v>0.68055555555555547</v>
      </c>
      <c r="F1508" s="1" t="s">
        <v>9</v>
      </c>
      <c r="G1508" s="2" t="s">
        <v>15</v>
      </c>
      <c r="H1508" s="2" t="s">
        <v>42</v>
      </c>
      <c r="I1508" s="1" t="s">
        <v>11</v>
      </c>
      <c r="J1508" s="1" t="s">
        <v>8</v>
      </c>
      <c r="K1508" s="89">
        <v>30620</v>
      </c>
      <c r="L1508" s="3">
        <v>9.36</v>
      </c>
      <c r="M1508" s="3">
        <v>64.98</v>
      </c>
      <c r="N1508" s="3" t="s">
        <v>8</v>
      </c>
      <c r="O1508" s="3" t="s">
        <v>8</v>
      </c>
    </row>
    <row r="1509" spans="1:15" x14ac:dyDescent="0.35">
      <c r="A1509" s="5" t="str">
        <f>Loads[[#This Row],[Date]]&amp;Loads[[#This Row],[Product]]</f>
        <v>44251Product7</v>
      </c>
      <c r="B1509" s="5">
        <f>COUNTIF($A$1:A1509,Loads[[#This Row],[Load]])</f>
        <v>1</v>
      </c>
      <c r="C1509" s="3" t="str">
        <f>Loads[[#This Row],[Load]]&amp;Loads[[#This Row],[Count]]</f>
        <v>44251Product71</v>
      </c>
      <c r="D1509" s="90">
        <v>44251</v>
      </c>
      <c r="E1509" s="143">
        <v>0.25</v>
      </c>
      <c r="F1509" s="1" t="s">
        <v>9</v>
      </c>
      <c r="G1509" s="2" t="s">
        <v>18</v>
      </c>
      <c r="H1509" s="2" t="s">
        <v>42</v>
      </c>
      <c r="I1509" s="1" t="s">
        <v>11</v>
      </c>
      <c r="J1509" s="1" t="s">
        <v>8</v>
      </c>
      <c r="K1509" s="89">
        <v>23640</v>
      </c>
      <c r="L1509" s="3" t="s">
        <v>8</v>
      </c>
      <c r="M1509" s="3">
        <v>20.21</v>
      </c>
      <c r="N1509" s="3" t="s">
        <v>8</v>
      </c>
      <c r="O1509" s="3">
        <v>38.299999999999997</v>
      </c>
    </row>
    <row r="1510" spans="1:15" x14ac:dyDescent="0.35">
      <c r="A1510" s="5" t="str">
        <f>Loads[[#This Row],[Date]]&amp;Loads[[#This Row],[Product]]</f>
        <v>44251Product8</v>
      </c>
      <c r="B1510" s="5">
        <f>COUNTIF($A$1:A1510,Loads[[#This Row],[Load]])</f>
        <v>1</v>
      </c>
      <c r="C1510" s="3" t="str">
        <f>Loads[[#This Row],[Load]]&amp;Loads[[#This Row],[Count]]</f>
        <v>44251Product81</v>
      </c>
      <c r="D1510" s="90">
        <v>44251</v>
      </c>
      <c r="E1510" s="143">
        <v>0.40277777777777773</v>
      </c>
      <c r="F1510" s="1" t="s">
        <v>9</v>
      </c>
      <c r="G1510" s="2" t="s">
        <v>19</v>
      </c>
      <c r="H1510" s="2" t="s">
        <v>42</v>
      </c>
      <c r="I1510" s="1" t="s">
        <v>11</v>
      </c>
      <c r="J1510" s="1" t="s">
        <v>8</v>
      </c>
      <c r="K1510" s="89">
        <v>20580</v>
      </c>
      <c r="L1510" s="3">
        <v>12.99</v>
      </c>
      <c r="M1510" s="3">
        <v>7.2</v>
      </c>
      <c r="N1510" s="3" t="s">
        <v>8</v>
      </c>
      <c r="O1510" s="3" t="s">
        <v>8</v>
      </c>
    </row>
    <row r="1511" spans="1:15" x14ac:dyDescent="0.35">
      <c r="A1511" s="5" t="str">
        <f>Loads[[#This Row],[Date]]&amp;Loads[[#This Row],[Product]]</f>
        <v>44251Product6</v>
      </c>
      <c r="B1511" s="5">
        <f>COUNTIF($A$1:A1511,Loads[[#This Row],[Load]])</f>
        <v>1</v>
      </c>
      <c r="C1511" s="3" t="str">
        <f>Loads[[#This Row],[Load]]&amp;Loads[[#This Row],[Count]]</f>
        <v>44251Product61</v>
      </c>
      <c r="D1511" s="90">
        <v>44251</v>
      </c>
      <c r="E1511" s="143">
        <v>0.43402777777777773</v>
      </c>
      <c r="F1511" s="1" t="s">
        <v>9</v>
      </c>
      <c r="G1511" s="2" t="s">
        <v>17</v>
      </c>
      <c r="H1511" s="2" t="s">
        <v>42</v>
      </c>
      <c r="I1511" s="1" t="s">
        <v>11</v>
      </c>
      <c r="J1511" s="1" t="s">
        <v>8</v>
      </c>
      <c r="K1511" s="89">
        <v>35820</v>
      </c>
      <c r="L1511" s="3">
        <v>7.0000000000000007E-2</v>
      </c>
      <c r="M1511" s="3" t="s">
        <v>8</v>
      </c>
      <c r="N1511" s="3">
        <v>1.96</v>
      </c>
      <c r="O1511" s="3" t="s">
        <v>8</v>
      </c>
    </row>
    <row r="1512" spans="1:15" x14ac:dyDescent="0.35">
      <c r="A1512" s="5" t="str">
        <f>Loads[[#This Row],[Date]]&amp;Loads[[#This Row],[Product]]</f>
        <v>44251Product1</v>
      </c>
      <c r="B1512" s="5">
        <f>COUNTIF($A$1:A1512,Loads[[#This Row],[Load]])</f>
        <v>1</v>
      </c>
      <c r="C1512" s="3" t="str">
        <f>Loads[[#This Row],[Load]]&amp;Loads[[#This Row],[Count]]</f>
        <v>44251Product11</v>
      </c>
      <c r="D1512" s="90">
        <v>44251</v>
      </c>
      <c r="E1512" s="143">
        <v>0.95486111111111116</v>
      </c>
      <c r="F1512" s="1" t="s">
        <v>9</v>
      </c>
      <c r="G1512" s="2" t="s">
        <v>12</v>
      </c>
      <c r="H1512" s="2" t="s">
        <v>42</v>
      </c>
      <c r="I1512" s="1" t="s">
        <v>11</v>
      </c>
      <c r="J1512" s="1" t="s">
        <v>8</v>
      </c>
      <c r="K1512" s="89">
        <v>26860</v>
      </c>
      <c r="L1512" s="3">
        <v>8.09</v>
      </c>
      <c r="M1512" s="3">
        <v>21.58</v>
      </c>
      <c r="N1512" s="3" t="s">
        <v>8</v>
      </c>
      <c r="O1512" s="3" t="s">
        <v>8</v>
      </c>
    </row>
    <row r="1513" spans="1:15" x14ac:dyDescent="0.35">
      <c r="A1513" s="5" t="str">
        <f>Loads[[#This Row],[Date]]&amp;Loads[[#This Row],[Product]]</f>
        <v>44251Product1</v>
      </c>
      <c r="B1513" s="5">
        <f>COUNTIF($A$1:A1513,Loads[[#This Row],[Load]])</f>
        <v>2</v>
      </c>
      <c r="C1513" s="3" t="str">
        <f>Loads[[#This Row],[Load]]&amp;Loads[[#This Row],[Count]]</f>
        <v>44251Product12</v>
      </c>
      <c r="D1513" s="90">
        <v>44251</v>
      </c>
      <c r="E1513" s="143">
        <v>1.7361111111111112E-2</v>
      </c>
      <c r="F1513" s="1" t="s">
        <v>9</v>
      </c>
      <c r="G1513" s="2" t="s">
        <v>12</v>
      </c>
      <c r="H1513" s="2" t="s">
        <v>42</v>
      </c>
      <c r="I1513" s="1" t="s">
        <v>11</v>
      </c>
      <c r="J1513" s="1" t="s">
        <v>8</v>
      </c>
      <c r="K1513" s="89">
        <v>25040</v>
      </c>
      <c r="L1513" s="3">
        <v>8.34</v>
      </c>
      <c r="M1513" s="3">
        <v>22.12</v>
      </c>
      <c r="N1513" s="3" t="s">
        <v>8</v>
      </c>
      <c r="O1513" s="3" t="s">
        <v>8</v>
      </c>
    </row>
    <row r="1514" spans="1:15" x14ac:dyDescent="0.35">
      <c r="A1514" s="5" t="str">
        <f>Loads[[#This Row],[Date]]&amp;Loads[[#This Row],[Product]]</f>
        <v>44251Product1</v>
      </c>
      <c r="B1514" s="5">
        <f>COUNTIF($A$1:A1514,Loads[[#This Row],[Load]])</f>
        <v>3</v>
      </c>
      <c r="C1514" s="3" t="str">
        <f>Loads[[#This Row],[Load]]&amp;Loads[[#This Row],[Count]]</f>
        <v>44251Product13</v>
      </c>
      <c r="D1514" s="90">
        <v>44251</v>
      </c>
      <c r="E1514" s="143">
        <v>8.3333333333333329E-2</v>
      </c>
      <c r="F1514" s="1" t="s">
        <v>9</v>
      </c>
      <c r="G1514" s="2" t="s">
        <v>12</v>
      </c>
      <c r="H1514" s="2" t="s">
        <v>42</v>
      </c>
      <c r="I1514" s="1" t="s">
        <v>10</v>
      </c>
      <c r="J1514" s="1">
        <v>785</v>
      </c>
      <c r="K1514" s="89">
        <v>30980</v>
      </c>
      <c r="L1514" s="3">
        <v>9.1199999999999992</v>
      </c>
      <c r="M1514" s="3">
        <v>21.99</v>
      </c>
      <c r="N1514" s="3" t="s">
        <v>8</v>
      </c>
      <c r="O1514" s="3" t="s">
        <v>8</v>
      </c>
    </row>
    <row r="1515" spans="1:15" x14ac:dyDescent="0.35">
      <c r="A1515" s="5" t="str">
        <f>Loads[[#This Row],[Date]]&amp;Loads[[#This Row],[Product]]</f>
        <v>44251Product1</v>
      </c>
      <c r="B1515" s="5">
        <f>COUNTIF($A$1:A1515,Loads[[#This Row],[Load]])</f>
        <v>4</v>
      </c>
      <c r="C1515" s="3" t="str">
        <f>Loads[[#This Row],[Load]]&amp;Loads[[#This Row],[Count]]</f>
        <v>44251Product14</v>
      </c>
      <c r="D1515" s="90">
        <v>44251</v>
      </c>
      <c r="E1515" s="143">
        <v>0.2638888888888889</v>
      </c>
      <c r="F1515" s="1" t="s">
        <v>9</v>
      </c>
      <c r="G1515" s="2" t="s">
        <v>12</v>
      </c>
      <c r="H1515" s="2" t="s">
        <v>42</v>
      </c>
      <c r="I1515" s="1" t="s">
        <v>11</v>
      </c>
      <c r="J1515" s="1" t="s">
        <v>8</v>
      </c>
      <c r="K1515" s="89">
        <v>28320</v>
      </c>
      <c r="L1515" s="3">
        <v>10.14</v>
      </c>
      <c r="M1515" s="3">
        <v>20.52</v>
      </c>
      <c r="N1515" s="3" t="s">
        <v>8</v>
      </c>
      <c r="O1515" s="3" t="s">
        <v>8</v>
      </c>
    </row>
    <row r="1516" spans="1:15" x14ac:dyDescent="0.35">
      <c r="A1516" s="5" t="str">
        <f>Loads[[#This Row],[Date]]&amp;Loads[[#This Row],[Product]]</f>
        <v>44251Product1</v>
      </c>
      <c r="B1516" s="5">
        <f>COUNTIF($A$1:A1516,Loads[[#This Row],[Load]])</f>
        <v>5</v>
      </c>
      <c r="C1516" s="3" t="str">
        <f>Loads[[#This Row],[Load]]&amp;Loads[[#This Row],[Count]]</f>
        <v>44251Product15</v>
      </c>
      <c r="D1516" s="90">
        <v>44251</v>
      </c>
      <c r="E1516" s="143">
        <v>0.51736111111111105</v>
      </c>
      <c r="F1516" s="1" t="s">
        <v>9</v>
      </c>
      <c r="G1516" s="2" t="s">
        <v>12</v>
      </c>
      <c r="H1516" s="2" t="s">
        <v>42</v>
      </c>
      <c r="I1516" s="1" t="s">
        <v>11</v>
      </c>
      <c r="J1516" s="1" t="s">
        <v>8</v>
      </c>
      <c r="K1516" s="89">
        <v>26720</v>
      </c>
      <c r="L1516" s="3">
        <v>9.26</v>
      </c>
      <c r="M1516" s="3">
        <v>21.27</v>
      </c>
      <c r="N1516" s="3" t="s">
        <v>8</v>
      </c>
      <c r="O1516" s="3" t="s">
        <v>8</v>
      </c>
    </row>
    <row r="1517" spans="1:15" x14ac:dyDescent="0.35">
      <c r="A1517" s="5" t="str">
        <f>Loads[[#This Row],[Date]]&amp;Loads[[#This Row],[Product]]</f>
        <v>44251Product1</v>
      </c>
      <c r="B1517" s="5">
        <f>COUNTIF($A$1:A1517,Loads[[#This Row],[Load]])</f>
        <v>6</v>
      </c>
      <c r="C1517" s="3" t="str">
        <f>Loads[[#This Row],[Load]]&amp;Loads[[#This Row],[Count]]</f>
        <v>44251Product16</v>
      </c>
      <c r="D1517" s="90">
        <v>44251</v>
      </c>
      <c r="E1517" s="143">
        <v>0.78472222222222221</v>
      </c>
      <c r="F1517" s="1" t="s">
        <v>9</v>
      </c>
      <c r="G1517" s="2" t="s">
        <v>12</v>
      </c>
      <c r="H1517" s="2" t="s">
        <v>42</v>
      </c>
      <c r="I1517" s="1" t="s">
        <v>10</v>
      </c>
      <c r="J1517" s="1">
        <v>775</v>
      </c>
      <c r="K1517" s="89">
        <v>30640</v>
      </c>
      <c r="L1517" s="3">
        <v>9.3699999999999992</v>
      </c>
      <c r="M1517" s="3">
        <v>21.68</v>
      </c>
      <c r="N1517" s="3" t="s">
        <v>8</v>
      </c>
      <c r="O1517" s="3" t="s">
        <v>8</v>
      </c>
    </row>
    <row r="1518" spans="1:15" x14ac:dyDescent="0.35">
      <c r="A1518" s="5" t="str">
        <f>Loads[[#This Row],[Date]]&amp;Loads[[#This Row],[Product]]</f>
        <v>44251Product1</v>
      </c>
      <c r="B1518" s="5">
        <f>COUNTIF($A$1:A1518,Loads[[#This Row],[Load]])</f>
        <v>7</v>
      </c>
      <c r="C1518" s="3" t="str">
        <f>Loads[[#This Row],[Load]]&amp;Loads[[#This Row],[Count]]</f>
        <v>44251Product17</v>
      </c>
      <c r="D1518" s="90">
        <v>44251</v>
      </c>
      <c r="E1518" s="143">
        <v>0.8125</v>
      </c>
      <c r="F1518" s="1" t="s">
        <v>9</v>
      </c>
      <c r="G1518" s="2" t="s">
        <v>12</v>
      </c>
      <c r="H1518" s="2" t="s">
        <v>42</v>
      </c>
      <c r="I1518" s="1" t="s">
        <v>11</v>
      </c>
      <c r="J1518" s="1" t="s">
        <v>8</v>
      </c>
      <c r="K1518" s="89">
        <v>16220</v>
      </c>
      <c r="L1518" s="3">
        <v>9.06</v>
      </c>
      <c r="M1518" s="3">
        <v>21.96</v>
      </c>
      <c r="N1518" s="3" t="s">
        <v>8</v>
      </c>
      <c r="O1518" s="3" t="s">
        <v>8</v>
      </c>
    </row>
    <row r="1519" spans="1:15" x14ac:dyDescent="0.35">
      <c r="A1519" s="5" t="str">
        <f>Loads[[#This Row],[Date]]&amp;Loads[[#This Row],[Product]]</f>
        <v>44251Product1</v>
      </c>
      <c r="B1519" s="5">
        <f>COUNTIF($A$1:A1519,Loads[[#This Row],[Load]])</f>
        <v>8</v>
      </c>
      <c r="C1519" s="3" t="str">
        <f>Loads[[#This Row],[Load]]&amp;Loads[[#This Row],[Count]]</f>
        <v>44251Product18</v>
      </c>
      <c r="D1519" s="90">
        <v>44251</v>
      </c>
      <c r="E1519" s="143">
        <v>0.84722222222222221</v>
      </c>
      <c r="F1519" s="1" t="s">
        <v>9</v>
      </c>
      <c r="G1519" s="2" t="s">
        <v>12</v>
      </c>
      <c r="H1519" s="2" t="s">
        <v>42</v>
      </c>
      <c r="I1519" s="1" t="s">
        <v>11</v>
      </c>
      <c r="J1519" s="1" t="s">
        <v>8</v>
      </c>
      <c r="K1519" s="89">
        <v>21840</v>
      </c>
      <c r="L1519" s="3">
        <v>9.93</v>
      </c>
      <c r="M1519" s="3">
        <v>22.46</v>
      </c>
      <c r="N1519" s="3" t="s">
        <v>8</v>
      </c>
      <c r="O1519" s="3" t="s">
        <v>8</v>
      </c>
    </row>
    <row r="1520" spans="1:15" x14ac:dyDescent="0.35">
      <c r="A1520" s="5" t="str">
        <f>Loads[[#This Row],[Date]]&amp;Loads[[#This Row],[Product]]</f>
        <v>44251Product2</v>
      </c>
      <c r="B1520" s="5">
        <f>COUNTIF($A$1:A1520,Loads[[#This Row],[Load]])</f>
        <v>1</v>
      </c>
      <c r="C1520" s="3" t="str">
        <f>Loads[[#This Row],[Load]]&amp;Loads[[#This Row],[Count]]</f>
        <v>44251Product21</v>
      </c>
      <c r="D1520" s="90">
        <v>44251</v>
      </c>
      <c r="E1520" s="143">
        <v>0.17777777777777778</v>
      </c>
      <c r="F1520" s="1" t="s">
        <v>9</v>
      </c>
      <c r="G1520" s="2" t="s">
        <v>13</v>
      </c>
      <c r="H1520" s="2" t="s">
        <v>42</v>
      </c>
      <c r="I1520" s="1" t="s">
        <v>11</v>
      </c>
      <c r="J1520" s="1" t="s">
        <v>8</v>
      </c>
      <c r="K1520" s="89">
        <v>10500</v>
      </c>
      <c r="L1520" s="3">
        <v>64.03</v>
      </c>
      <c r="M1520" s="3">
        <v>9.9700000000000006</v>
      </c>
      <c r="N1520" s="3" t="s">
        <v>8</v>
      </c>
      <c r="O1520" s="3" t="s">
        <v>8</v>
      </c>
    </row>
    <row r="1521" spans="1:15" x14ac:dyDescent="0.35">
      <c r="A1521" s="5" t="str">
        <f>Loads[[#This Row],[Date]]&amp;Loads[[#This Row],[Product]]</f>
        <v>44251Product2</v>
      </c>
      <c r="B1521" s="5">
        <f>COUNTIF($A$1:A1521,Loads[[#This Row],[Load]])</f>
        <v>2</v>
      </c>
      <c r="C1521" s="3" t="str">
        <f>Loads[[#This Row],[Load]]&amp;Loads[[#This Row],[Count]]</f>
        <v>44251Product22</v>
      </c>
      <c r="D1521" s="90">
        <v>44251</v>
      </c>
      <c r="E1521" s="143">
        <v>0.25347222222222221</v>
      </c>
      <c r="F1521" s="1" t="s">
        <v>9</v>
      </c>
      <c r="G1521" s="2" t="s">
        <v>13</v>
      </c>
      <c r="H1521" s="2" t="s">
        <v>42</v>
      </c>
      <c r="I1521" s="1" t="s">
        <v>11</v>
      </c>
      <c r="J1521" s="1" t="s">
        <v>8</v>
      </c>
      <c r="K1521" s="89">
        <v>10880</v>
      </c>
      <c r="L1521" s="3">
        <v>61.12</v>
      </c>
      <c r="M1521" s="3">
        <v>10.01</v>
      </c>
      <c r="N1521" s="3" t="s">
        <v>8</v>
      </c>
      <c r="O1521" s="3" t="s">
        <v>8</v>
      </c>
    </row>
    <row r="1522" spans="1:15" x14ac:dyDescent="0.35">
      <c r="A1522" s="5" t="str">
        <f>Loads[[#This Row],[Date]]&amp;Loads[[#This Row],[Product]]</f>
        <v>44251Product2</v>
      </c>
      <c r="B1522" s="5">
        <f>COUNTIF($A$1:A1522,Loads[[#This Row],[Load]])</f>
        <v>3</v>
      </c>
      <c r="C1522" s="3" t="str">
        <f>Loads[[#This Row],[Load]]&amp;Loads[[#This Row],[Count]]</f>
        <v>44251Product23</v>
      </c>
      <c r="D1522" s="90">
        <v>44251</v>
      </c>
      <c r="E1522" s="143">
        <v>0.10486111111111111</v>
      </c>
      <c r="F1522" s="1" t="s">
        <v>9</v>
      </c>
      <c r="G1522" s="2" t="s">
        <v>13</v>
      </c>
      <c r="H1522" s="2" t="s">
        <v>42</v>
      </c>
      <c r="I1522" s="1" t="s">
        <v>11</v>
      </c>
      <c r="J1522" s="1" t="s">
        <v>8</v>
      </c>
      <c r="K1522" s="89">
        <v>11840</v>
      </c>
      <c r="L1522" s="3">
        <v>61.65</v>
      </c>
      <c r="M1522" s="3">
        <v>9.39</v>
      </c>
      <c r="N1522" s="3" t="s">
        <v>8</v>
      </c>
      <c r="O1522" s="3" t="s">
        <v>8</v>
      </c>
    </row>
    <row r="1523" spans="1:15" x14ac:dyDescent="0.35">
      <c r="A1523" s="5" t="str">
        <f>Loads[[#This Row],[Date]]&amp;Loads[[#This Row],[Product]]</f>
        <v>44251Product2</v>
      </c>
      <c r="B1523" s="5">
        <f>COUNTIF($A$1:A1523,Loads[[#This Row],[Load]])</f>
        <v>4</v>
      </c>
      <c r="C1523" s="3" t="str">
        <f>Loads[[#This Row],[Load]]&amp;Loads[[#This Row],[Count]]</f>
        <v>44251Product24</v>
      </c>
      <c r="D1523" s="90">
        <v>44251</v>
      </c>
      <c r="E1523" s="143">
        <v>0.3520833333333333</v>
      </c>
      <c r="F1523" s="1" t="s">
        <v>9</v>
      </c>
      <c r="G1523" s="2" t="s">
        <v>13</v>
      </c>
      <c r="H1523" s="2" t="s">
        <v>42</v>
      </c>
      <c r="I1523" s="1" t="s">
        <v>11</v>
      </c>
      <c r="J1523" s="1" t="s">
        <v>8</v>
      </c>
      <c r="K1523" s="89">
        <v>12300</v>
      </c>
      <c r="L1523" s="3">
        <v>65.790000000000006</v>
      </c>
      <c r="M1523" s="3">
        <v>9.57</v>
      </c>
      <c r="N1523" s="3" t="s">
        <v>8</v>
      </c>
      <c r="O1523" s="3" t="s">
        <v>8</v>
      </c>
    </row>
    <row r="1524" spans="1:15" x14ac:dyDescent="0.35">
      <c r="A1524" s="5" t="str">
        <f>Loads[[#This Row],[Date]]&amp;Loads[[#This Row],[Product]]</f>
        <v>44251Product2</v>
      </c>
      <c r="B1524" s="5">
        <f>COUNTIF($A$1:A1524,Loads[[#This Row],[Load]])</f>
        <v>5</v>
      </c>
      <c r="C1524" s="3" t="str">
        <f>Loads[[#This Row],[Load]]&amp;Loads[[#This Row],[Count]]</f>
        <v>44251Product25</v>
      </c>
      <c r="D1524" s="90">
        <v>44251</v>
      </c>
      <c r="E1524" s="143">
        <v>0.73888888888888893</v>
      </c>
      <c r="F1524" s="1" t="s">
        <v>9</v>
      </c>
      <c r="G1524" s="2" t="s">
        <v>13</v>
      </c>
      <c r="H1524" s="2" t="s">
        <v>42</v>
      </c>
      <c r="I1524" s="1" t="s">
        <v>11</v>
      </c>
      <c r="J1524" s="1" t="s">
        <v>8</v>
      </c>
      <c r="K1524" s="89">
        <v>10020</v>
      </c>
      <c r="L1524" s="3">
        <v>64.98</v>
      </c>
      <c r="M1524" s="3">
        <v>8.07</v>
      </c>
      <c r="N1524" s="3" t="s">
        <v>8</v>
      </c>
      <c r="O1524" s="3" t="s">
        <v>8</v>
      </c>
    </row>
    <row r="1525" spans="1:15" x14ac:dyDescent="0.35">
      <c r="A1525" s="5" t="str">
        <f>Loads[[#This Row],[Date]]&amp;Loads[[#This Row],[Product]]</f>
        <v>44251Product2</v>
      </c>
      <c r="B1525" s="5">
        <f>COUNTIF($A$1:A1525,Loads[[#This Row],[Load]])</f>
        <v>6</v>
      </c>
      <c r="C1525" s="3" t="str">
        <f>Loads[[#This Row],[Load]]&amp;Loads[[#This Row],[Count]]</f>
        <v>44251Product26</v>
      </c>
      <c r="D1525" s="90">
        <v>44251</v>
      </c>
      <c r="E1525" s="143">
        <v>0.66319444444444442</v>
      </c>
      <c r="F1525" s="1" t="s">
        <v>9</v>
      </c>
      <c r="G1525" s="2" t="s">
        <v>13</v>
      </c>
      <c r="H1525" s="2" t="s">
        <v>42</v>
      </c>
      <c r="I1525" s="1" t="s">
        <v>11</v>
      </c>
      <c r="J1525" s="1" t="s">
        <v>8</v>
      </c>
      <c r="K1525" s="89">
        <v>11380</v>
      </c>
      <c r="L1525" s="3">
        <v>59.73</v>
      </c>
      <c r="M1525" s="3">
        <v>10.97</v>
      </c>
      <c r="N1525" s="3" t="s">
        <v>8</v>
      </c>
      <c r="O1525" s="3" t="s">
        <v>8</v>
      </c>
    </row>
    <row r="1526" spans="1:15" x14ac:dyDescent="0.35">
      <c r="A1526" s="5" t="str">
        <f>Loads[[#This Row],[Date]]&amp;Loads[[#This Row],[Product]]</f>
        <v>44251Product2</v>
      </c>
      <c r="B1526" s="5">
        <f>COUNTIF($A$1:A1526,Loads[[#This Row],[Load]])</f>
        <v>7</v>
      </c>
      <c r="C1526" s="3" t="str">
        <f>Loads[[#This Row],[Load]]&amp;Loads[[#This Row],[Count]]</f>
        <v>44251Product27</v>
      </c>
      <c r="D1526" s="90">
        <v>44251</v>
      </c>
      <c r="E1526" s="143">
        <v>0.51250000000000007</v>
      </c>
      <c r="F1526" s="1" t="s">
        <v>9</v>
      </c>
      <c r="G1526" s="2" t="s">
        <v>13</v>
      </c>
      <c r="H1526" s="2" t="s">
        <v>42</v>
      </c>
      <c r="I1526" s="1" t="s">
        <v>11</v>
      </c>
      <c r="J1526" s="1" t="s">
        <v>8</v>
      </c>
      <c r="K1526" s="89">
        <v>12080</v>
      </c>
      <c r="L1526" s="3">
        <v>61.13</v>
      </c>
      <c r="M1526" s="3">
        <v>11.21</v>
      </c>
      <c r="N1526" s="3" t="s">
        <v>8</v>
      </c>
      <c r="O1526" s="3" t="s">
        <v>8</v>
      </c>
    </row>
    <row r="1527" spans="1:15" x14ac:dyDescent="0.35">
      <c r="A1527" s="5" t="str">
        <f>Loads[[#This Row],[Date]]&amp;Loads[[#This Row],[Product]]</f>
        <v>44251Product2</v>
      </c>
      <c r="B1527" s="5">
        <f>COUNTIF($A$1:A1527,Loads[[#This Row],[Load]])</f>
        <v>8</v>
      </c>
      <c r="C1527" s="3" t="str">
        <f>Loads[[#This Row],[Load]]&amp;Loads[[#This Row],[Count]]</f>
        <v>44251Product28</v>
      </c>
      <c r="D1527" s="90">
        <v>44251</v>
      </c>
      <c r="E1527" s="143">
        <v>0.90347222222222223</v>
      </c>
      <c r="F1527" s="1" t="s">
        <v>9</v>
      </c>
      <c r="G1527" s="2" t="s">
        <v>13</v>
      </c>
      <c r="H1527" s="2" t="s">
        <v>42</v>
      </c>
      <c r="I1527" s="1" t="s">
        <v>11</v>
      </c>
      <c r="J1527" s="1" t="s">
        <v>8</v>
      </c>
      <c r="K1527" s="89">
        <v>17260</v>
      </c>
      <c r="L1527" s="3">
        <v>63.45</v>
      </c>
      <c r="M1527" s="3">
        <v>10.029999999999999</v>
      </c>
      <c r="N1527" s="3" t="s">
        <v>8</v>
      </c>
      <c r="O1527" s="3" t="s">
        <v>8</v>
      </c>
    </row>
    <row r="1528" spans="1:15" x14ac:dyDescent="0.35">
      <c r="A1528" s="5" t="str">
        <f>Loads[[#This Row],[Date]]&amp;Loads[[#This Row],[Product]]</f>
        <v>44251Product2</v>
      </c>
      <c r="B1528" s="5">
        <f>COUNTIF($A$1:A1528,Loads[[#This Row],[Load]])</f>
        <v>9</v>
      </c>
      <c r="C1528" s="3" t="str">
        <f>Loads[[#This Row],[Load]]&amp;Loads[[#This Row],[Count]]</f>
        <v>44251Product29</v>
      </c>
      <c r="D1528" s="90">
        <v>44251</v>
      </c>
      <c r="E1528" s="143">
        <v>2.4305555555555556E-2</v>
      </c>
      <c r="F1528" s="1" t="s">
        <v>9</v>
      </c>
      <c r="G1528" s="2" t="s">
        <v>13</v>
      </c>
      <c r="H1528" s="2" t="s">
        <v>42</v>
      </c>
      <c r="I1528" s="1" t="s">
        <v>11</v>
      </c>
      <c r="J1528" s="1" t="s">
        <v>8</v>
      </c>
      <c r="K1528" s="89">
        <v>17540</v>
      </c>
      <c r="L1528" s="3">
        <v>60.77</v>
      </c>
      <c r="M1528" s="3">
        <v>10.06</v>
      </c>
      <c r="N1528" s="3" t="s">
        <v>8</v>
      </c>
      <c r="O1528" s="3" t="s">
        <v>8</v>
      </c>
    </row>
    <row r="1529" spans="1:15" x14ac:dyDescent="0.35">
      <c r="A1529" s="5" t="str">
        <f>Loads[[#This Row],[Date]]&amp;Loads[[#This Row],[Product]]</f>
        <v>44252Product6</v>
      </c>
      <c r="B1529" s="5">
        <f>COUNTIF($A$1:A1529,Loads[[#This Row],[Load]])</f>
        <v>1</v>
      </c>
      <c r="C1529" s="3" t="str">
        <f>Loads[[#This Row],[Load]]&amp;Loads[[#This Row],[Count]]</f>
        <v>44252Product61</v>
      </c>
      <c r="D1529" s="90">
        <v>44252</v>
      </c>
      <c r="E1529" s="143">
        <v>0.53472222222222221</v>
      </c>
      <c r="F1529" s="1" t="s">
        <v>9</v>
      </c>
      <c r="G1529" s="2" t="s">
        <v>17</v>
      </c>
      <c r="H1529" s="2" t="s">
        <v>42</v>
      </c>
      <c r="I1529" s="1" t="s">
        <v>11</v>
      </c>
      <c r="J1529" s="1" t="s">
        <v>8</v>
      </c>
      <c r="K1529" s="89">
        <v>35220</v>
      </c>
      <c r="L1529" s="3">
        <v>0.14000000000000001</v>
      </c>
      <c r="M1529" s="3" t="s">
        <v>8</v>
      </c>
      <c r="N1529" s="3">
        <v>1.84</v>
      </c>
      <c r="O1529" s="3" t="s">
        <v>8</v>
      </c>
    </row>
    <row r="1530" spans="1:15" x14ac:dyDescent="0.35">
      <c r="A1530" s="5" t="str">
        <f>Loads[[#This Row],[Date]]&amp;Loads[[#This Row],[Product]]</f>
        <v>44252Product4</v>
      </c>
      <c r="B1530" s="5">
        <f>COUNTIF($A$1:A1530,Loads[[#This Row],[Load]])</f>
        <v>1</v>
      </c>
      <c r="C1530" s="3" t="str">
        <f>Loads[[#This Row],[Load]]&amp;Loads[[#This Row],[Count]]</f>
        <v>44252Product41</v>
      </c>
      <c r="D1530" s="90">
        <v>44252</v>
      </c>
      <c r="E1530" s="143">
        <v>0.15277777777777776</v>
      </c>
      <c r="F1530" s="1" t="s">
        <v>9</v>
      </c>
      <c r="G1530" s="2" t="s">
        <v>15</v>
      </c>
      <c r="H1530" s="2" t="s">
        <v>42</v>
      </c>
      <c r="I1530" s="1" t="s">
        <v>11</v>
      </c>
      <c r="J1530" s="1" t="s">
        <v>8</v>
      </c>
      <c r="K1530" s="89">
        <v>36760</v>
      </c>
      <c r="L1530" s="3">
        <v>9.01</v>
      </c>
      <c r="M1530" s="3">
        <v>65.48</v>
      </c>
      <c r="N1530" s="3" t="s">
        <v>8</v>
      </c>
      <c r="O1530" s="3" t="s">
        <v>8</v>
      </c>
    </row>
    <row r="1531" spans="1:15" x14ac:dyDescent="0.35">
      <c r="A1531" s="5" t="str">
        <f>Loads[[#This Row],[Date]]&amp;Loads[[#This Row],[Product]]</f>
        <v>44252Product4</v>
      </c>
      <c r="B1531" s="5">
        <f>COUNTIF($A$1:A1531,Loads[[#This Row],[Load]])</f>
        <v>2</v>
      </c>
      <c r="C1531" s="3" t="str">
        <f>Loads[[#This Row],[Load]]&amp;Loads[[#This Row],[Count]]</f>
        <v>44252Product42</v>
      </c>
      <c r="D1531" s="90">
        <v>44252</v>
      </c>
      <c r="E1531" s="143">
        <v>0.27777777777777779</v>
      </c>
      <c r="F1531" s="1" t="s">
        <v>9</v>
      </c>
      <c r="G1531" s="2" t="s">
        <v>15</v>
      </c>
      <c r="H1531" s="2" t="s">
        <v>42</v>
      </c>
      <c r="I1531" s="1" t="s">
        <v>0</v>
      </c>
      <c r="J1531" s="1">
        <v>22</v>
      </c>
      <c r="K1531" s="89">
        <v>27700</v>
      </c>
      <c r="L1531" s="3">
        <v>7.76</v>
      </c>
      <c r="M1531" s="3">
        <v>66.17</v>
      </c>
      <c r="N1531" s="3" t="s">
        <v>8</v>
      </c>
      <c r="O1531" s="3" t="s">
        <v>8</v>
      </c>
    </row>
    <row r="1532" spans="1:15" x14ac:dyDescent="0.35">
      <c r="A1532" s="5" t="str">
        <f>Loads[[#This Row],[Date]]&amp;Loads[[#This Row],[Product]]</f>
        <v>44252Product4</v>
      </c>
      <c r="B1532" s="5">
        <f>COUNTIF($A$1:A1532,Loads[[#This Row],[Load]])</f>
        <v>3</v>
      </c>
      <c r="C1532" s="3" t="str">
        <f>Loads[[#This Row],[Load]]&amp;Loads[[#This Row],[Count]]</f>
        <v>44252Product43</v>
      </c>
      <c r="D1532" s="90">
        <v>44252</v>
      </c>
      <c r="E1532" s="143">
        <v>0.77083333333333337</v>
      </c>
      <c r="F1532" s="1" t="s">
        <v>9</v>
      </c>
      <c r="G1532" s="2" t="s">
        <v>15</v>
      </c>
      <c r="H1532" s="2" t="s">
        <v>42</v>
      </c>
      <c r="I1532" s="1" t="s">
        <v>11</v>
      </c>
      <c r="J1532" s="1" t="s">
        <v>8</v>
      </c>
      <c r="K1532" s="89">
        <v>35960</v>
      </c>
      <c r="L1532" s="3">
        <v>8.6999999999999993</v>
      </c>
      <c r="M1532" s="3">
        <v>63.85</v>
      </c>
      <c r="N1532" s="3" t="s">
        <v>8</v>
      </c>
      <c r="O1532" s="3" t="s">
        <v>8</v>
      </c>
    </row>
    <row r="1533" spans="1:15" x14ac:dyDescent="0.35">
      <c r="A1533" s="5" t="str">
        <f>Loads[[#This Row],[Date]]&amp;Loads[[#This Row],[Product]]</f>
        <v>44252Product1</v>
      </c>
      <c r="B1533" s="5">
        <f>COUNTIF($A$1:A1533,Loads[[#This Row],[Load]])</f>
        <v>1</v>
      </c>
      <c r="C1533" s="3" t="str">
        <f>Loads[[#This Row],[Load]]&amp;Loads[[#This Row],[Count]]</f>
        <v>44252Product11</v>
      </c>
      <c r="D1533" s="90">
        <v>44252</v>
      </c>
      <c r="E1533" s="143">
        <v>6.9444444444444441E-3</v>
      </c>
      <c r="F1533" s="1" t="s">
        <v>9</v>
      </c>
      <c r="G1533" s="2" t="s">
        <v>12</v>
      </c>
      <c r="H1533" s="2" t="s">
        <v>42</v>
      </c>
      <c r="I1533" s="1" t="s">
        <v>10</v>
      </c>
      <c r="J1533" s="1">
        <v>800</v>
      </c>
      <c r="K1533" s="89">
        <v>31660</v>
      </c>
      <c r="L1533" s="3">
        <v>9.07</v>
      </c>
      <c r="M1533" s="3">
        <v>21.45</v>
      </c>
      <c r="N1533" s="3" t="s">
        <v>8</v>
      </c>
      <c r="O1533" s="3" t="s">
        <v>8</v>
      </c>
    </row>
    <row r="1534" spans="1:15" x14ac:dyDescent="0.35">
      <c r="A1534" s="5" t="str">
        <f>Loads[[#This Row],[Date]]&amp;Loads[[#This Row],[Product]]</f>
        <v>44252Product1</v>
      </c>
      <c r="B1534" s="5">
        <f>COUNTIF($A$1:A1534,Loads[[#This Row],[Load]])</f>
        <v>2</v>
      </c>
      <c r="C1534" s="3" t="str">
        <f>Loads[[#This Row],[Load]]&amp;Loads[[#This Row],[Count]]</f>
        <v>44252Product12</v>
      </c>
      <c r="D1534" s="90">
        <v>44252</v>
      </c>
      <c r="E1534" s="143">
        <v>6.25E-2</v>
      </c>
      <c r="F1534" s="1" t="s">
        <v>9</v>
      </c>
      <c r="G1534" s="2" t="s">
        <v>12</v>
      </c>
      <c r="H1534" s="2" t="s">
        <v>42</v>
      </c>
      <c r="I1534" s="1" t="s">
        <v>10</v>
      </c>
      <c r="J1534" s="1">
        <v>788</v>
      </c>
      <c r="K1534" s="89">
        <v>31120</v>
      </c>
      <c r="L1534" s="3">
        <v>8.2100000000000009</v>
      </c>
      <c r="M1534" s="3">
        <v>21.71</v>
      </c>
      <c r="N1534" s="3" t="s">
        <v>8</v>
      </c>
      <c r="O1534" s="3" t="s">
        <v>8</v>
      </c>
    </row>
    <row r="1535" spans="1:15" x14ac:dyDescent="0.35">
      <c r="A1535" s="5" t="str">
        <f>Loads[[#This Row],[Date]]&amp;Loads[[#This Row],[Product]]</f>
        <v>44252Product1</v>
      </c>
      <c r="B1535" s="5">
        <f>COUNTIF($A$1:A1535,Loads[[#This Row],[Load]])</f>
        <v>3</v>
      </c>
      <c r="C1535" s="3" t="str">
        <f>Loads[[#This Row],[Load]]&amp;Loads[[#This Row],[Count]]</f>
        <v>44252Product13</v>
      </c>
      <c r="D1535" s="90">
        <v>44252</v>
      </c>
      <c r="E1535" s="143">
        <v>0.41666666666666669</v>
      </c>
      <c r="F1535" s="1" t="s">
        <v>9</v>
      </c>
      <c r="G1535" s="2" t="s">
        <v>12</v>
      </c>
      <c r="H1535" s="2" t="s">
        <v>42</v>
      </c>
      <c r="I1535" s="1" t="s">
        <v>10</v>
      </c>
      <c r="J1535" s="1">
        <v>785</v>
      </c>
      <c r="K1535" s="89">
        <v>31000</v>
      </c>
      <c r="L1535" s="3">
        <v>9.19</v>
      </c>
      <c r="M1535" s="3">
        <v>21.33</v>
      </c>
      <c r="N1535" s="3" t="s">
        <v>8</v>
      </c>
      <c r="O1535" s="3" t="s">
        <v>8</v>
      </c>
    </row>
    <row r="1536" spans="1:15" x14ac:dyDescent="0.35">
      <c r="A1536" s="5" t="str">
        <f>Loads[[#This Row],[Date]]&amp;Loads[[#This Row],[Product]]</f>
        <v>44252Product1</v>
      </c>
      <c r="B1536" s="5">
        <f>COUNTIF($A$1:A1536,Loads[[#This Row],[Load]])</f>
        <v>4</v>
      </c>
      <c r="C1536" s="3" t="str">
        <f>Loads[[#This Row],[Load]]&amp;Loads[[#This Row],[Count]]</f>
        <v>44252Product14</v>
      </c>
      <c r="D1536" s="90">
        <v>44252</v>
      </c>
      <c r="E1536" s="143">
        <v>0.46527777777777773</v>
      </c>
      <c r="F1536" s="1" t="s">
        <v>9</v>
      </c>
      <c r="G1536" s="2" t="s">
        <v>12</v>
      </c>
      <c r="H1536" s="2" t="s">
        <v>42</v>
      </c>
      <c r="I1536" s="1" t="s">
        <v>10</v>
      </c>
      <c r="J1536" s="1">
        <v>244</v>
      </c>
      <c r="K1536" s="89">
        <v>9640</v>
      </c>
      <c r="L1536" s="3">
        <v>9.4700000000000006</v>
      </c>
      <c r="M1536" s="3">
        <v>21.36</v>
      </c>
      <c r="N1536" s="3" t="s">
        <v>8</v>
      </c>
      <c r="O1536" s="3" t="s">
        <v>8</v>
      </c>
    </row>
    <row r="1537" spans="1:15" x14ac:dyDescent="0.35">
      <c r="A1537" s="5" t="str">
        <f>Loads[[#This Row],[Date]]&amp;Loads[[#This Row],[Product]]</f>
        <v>44252Product1</v>
      </c>
      <c r="B1537" s="5">
        <f>COUNTIF($A$1:A1537,Loads[[#This Row],[Load]])</f>
        <v>5</v>
      </c>
      <c r="C1537" s="3" t="str">
        <f>Loads[[#This Row],[Load]]&amp;Loads[[#This Row],[Count]]</f>
        <v>44252Product15</v>
      </c>
      <c r="D1537" s="90">
        <v>44252</v>
      </c>
      <c r="E1537" s="143">
        <v>0.96527777777777779</v>
      </c>
      <c r="F1537" s="1" t="s">
        <v>9</v>
      </c>
      <c r="G1537" s="2" t="s">
        <v>12</v>
      </c>
      <c r="H1537" s="2" t="s">
        <v>42</v>
      </c>
      <c r="I1537" s="1" t="s">
        <v>11</v>
      </c>
      <c r="J1537" s="1" t="s">
        <v>8</v>
      </c>
      <c r="K1537" s="89">
        <v>23160</v>
      </c>
      <c r="L1537" s="3">
        <v>8.9700000000000006</v>
      </c>
      <c r="M1537" s="3">
        <v>21.7</v>
      </c>
      <c r="N1537" s="3" t="s">
        <v>8</v>
      </c>
      <c r="O1537" s="3" t="s">
        <v>8</v>
      </c>
    </row>
    <row r="1538" spans="1:15" x14ac:dyDescent="0.35">
      <c r="A1538" s="5" t="str">
        <f>Loads[[#This Row],[Date]]&amp;Loads[[#This Row],[Product]]</f>
        <v>44252Product1</v>
      </c>
      <c r="B1538" s="5">
        <f>COUNTIF($A$1:A1538,Loads[[#This Row],[Load]])</f>
        <v>6</v>
      </c>
      <c r="C1538" s="3" t="str">
        <f>Loads[[#This Row],[Load]]&amp;Loads[[#This Row],[Count]]</f>
        <v>44252Product16</v>
      </c>
      <c r="D1538" s="90">
        <v>44252</v>
      </c>
      <c r="E1538" s="143">
        <v>0.12152777777777778</v>
      </c>
      <c r="F1538" s="1" t="s">
        <v>9</v>
      </c>
      <c r="G1538" s="2" t="s">
        <v>12</v>
      </c>
      <c r="H1538" s="2" t="s">
        <v>42</v>
      </c>
      <c r="I1538" s="1" t="s">
        <v>11</v>
      </c>
      <c r="J1538" s="1" t="s">
        <v>8</v>
      </c>
      <c r="K1538" s="89">
        <v>27200</v>
      </c>
      <c r="L1538" s="3">
        <v>8.42</v>
      </c>
      <c r="M1538" s="3">
        <v>21.85</v>
      </c>
      <c r="N1538" s="3" t="s">
        <v>8</v>
      </c>
      <c r="O1538" s="3" t="s">
        <v>8</v>
      </c>
    </row>
    <row r="1539" spans="1:15" x14ac:dyDescent="0.35">
      <c r="A1539" s="5" t="str">
        <f>Loads[[#This Row],[Date]]&amp;Loads[[#This Row],[Product]]</f>
        <v>44252Product1</v>
      </c>
      <c r="B1539" s="5">
        <f>COUNTIF($A$1:A1539,Loads[[#This Row],[Load]])</f>
        <v>7</v>
      </c>
      <c r="C1539" s="3" t="str">
        <f>Loads[[#This Row],[Load]]&amp;Loads[[#This Row],[Count]]</f>
        <v>44252Product17</v>
      </c>
      <c r="D1539" s="90">
        <v>44252</v>
      </c>
      <c r="E1539" s="143">
        <v>0.4375</v>
      </c>
      <c r="F1539" s="1" t="s">
        <v>9</v>
      </c>
      <c r="G1539" s="2" t="s">
        <v>12</v>
      </c>
      <c r="H1539" s="2" t="s">
        <v>42</v>
      </c>
      <c r="I1539" s="1" t="s">
        <v>11</v>
      </c>
      <c r="J1539" s="1" t="s">
        <v>8</v>
      </c>
      <c r="K1539" s="89">
        <v>30960</v>
      </c>
      <c r="L1539" s="3">
        <v>9.74</v>
      </c>
      <c r="M1539" s="3">
        <v>20.399999999999999</v>
      </c>
      <c r="N1539" s="3" t="s">
        <v>8</v>
      </c>
      <c r="O1539" s="3" t="s">
        <v>8</v>
      </c>
    </row>
    <row r="1540" spans="1:15" x14ac:dyDescent="0.35">
      <c r="A1540" s="5" t="str">
        <f>Loads[[#This Row],[Date]]&amp;Loads[[#This Row],[Product]]</f>
        <v>44252Product1</v>
      </c>
      <c r="B1540" s="5">
        <f>COUNTIF($A$1:A1540,Loads[[#This Row],[Load]])</f>
        <v>8</v>
      </c>
      <c r="C1540" s="3" t="str">
        <f>Loads[[#This Row],[Load]]&amp;Loads[[#This Row],[Count]]</f>
        <v>44252Product18</v>
      </c>
      <c r="D1540" s="90">
        <v>44252</v>
      </c>
      <c r="E1540" s="143">
        <v>0.3263888888888889</v>
      </c>
      <c r="F1540" s="1" t="s">
        <v>9</v>
      </c>
      <c r="G1540" s="2" t="s">
        <v>12</v>
      </c>
      <c r="H1540" s="2" t="s">
        <v>42</v>
      </c>
      <c r="I1540" s="1" t="s">
        <v>11</v>
      </c>
      <c r="J1540" s="1" t="s">
        <v>8</v>
      </c>
      <c r="K1540" s="89">
        <v>6500</v>
      </c>
      <c r="L1540" s="3">
        <v>8.7200000000000006</v>
      </c>
      <c r="M1540" s="3">
        <v>21.46</v>
      </c>
      <c r="N1540" s="3" t="s">
        <v>8</v>
      </c>
      <c r="O1540" s="3" t="s">
        <v>8</v>
      </c>
    </row>
    <row r="1541" spans="1:15" x14ac:dyDescent="0.35">
      <c r="A1541" s="5" t="str">
        <f>Loads[[#This Row],[Date]]&amp;Loads[[#This Row],[Product]]</f>
        <v>44252Product1</v>
      </c>
      <c r="B1541" s="5">
        <f>COUNTIF($A$1:A1541,Loads[[#This Row],[Load]])</f>
        <v>9</v>
      </c>
      <c r="C1541" s="3" t="str">
        <f>Loads[[#This Row],[Load]]&amp;Loads[[#This Row],[Count]]</f>
        <v>44252Product19</v>
      </c>
      <c r="D1541" s="90">
        <v>44252</v>
      </c>
      <c r="E1541" s="143">
        <v>0.70833333333333337</v>
      </c>
      <c r="F1541" s="1" t="s">
        <v>9</v>
      </c>
      <c r="G1541" s="2" t="s">
        <v>12</v>
      </c>
      <c r="H1541" s="2" t="s">
        <v>42</v>
      </c>
      <c r="I1541" s="1" t="s">
        <v>10</v>
      </c>
      <c r="J1541" s="1">
        <v>788</v>
      </c>
      <c r="K1541" s="89">
        <v>30980</v>
      </c>
      <c r="L1541" s="3">
        <v>8.74</v>
      </c>
      <c r="M1541" s="3">
        <v>21.79</v>
      </c>
      <c r="N1541" s="3" t="s">
        <v>8</v>
      </c>
      <c r="O1541" s="3" t="s">
        <v>8</v>
      </c>
    </row>
    <row r="1542" spans="1:15" x14ac:dyDescent="0.35">
      <c r="A1542" s="5" t="str">
        <f>Loads[[#This Row],[Date]]&amp;Loads[[#This Row],[Product]]</f>
        <v>44252Product1</v>
      </c>
      <c r="B1542" s="5">
        <f>COUNTIF($A$1:A1542,Loads[[#This Row],[Load]])</f>
        <v>10</v>
      </c>
      <c r="C1542" s="3" t="str">
        <f>Loads[[#This Row],[Load]]&amp;Loads[[#This Row],[Count]]</f>
        <v>44252Product110</v>
      </c>
      <c r="D1542" s="90">
        <v>44252</v>
      </c>
      <c r="E1542" s="143">
        <v>0.55555555555555558</v>
      </c>
      <c r="F1542" s="1" t="s">
        <v>9</v>
      </c>
      <c r="G1542" s="2" t="s">
        <v>12</v>
      </c>
      <c r="H1542" s="2" t="s">
        <v>42</v>
      </c>
      <c r="I1542" s="1" t="s">
        <v>11</v>
      </c>
      <c r="J1542" s="1" t="s">
        <v>8</v>
      </c>
      <c r="K1542" s="89">
        <v>30520</v>
      </c>
      <c r="L1542" s="3">
        <v>8.5500000000000007</v>
      </c>
      <c r="M1542" s="3">
        <v>21.43</v>
      </c>
      <c r="N1542" s="3" t="s">
        <v>8</v>
      </c>
      <c r="O1542" s="3" t="s">
        <v>8</v>
      </c>
    </row>
    <row r="1543" spans="1:15" x14ac:dyDescent="0.35">
      <c r="A1543" s="5" t="str">
        <f>Loads[[#This Row],[Date]]&amp;Loads[[#This Row],[Product]]</f>
        <v>44252Product1</v>
      </c>
      <c r="B1543" s="5">
        <f>COUNTIF($A$1:A1543,Loads[[#This Row],[Load]])</f>
        <v>11</v>
      </c>
      <c r="C1543" s="3" t="str">
        <f>Loads[[#This Row],[Load]]&amp;Loads[[#This Row],[Count]]</f>
        <v>44252Product111</v>
      </c>
      <c r="D1543" s="90">
        <v>44252</v>
      </c>
      <c r="E1543" s="143">
        <v>0.78472222222222221</v>
      </c>
      <c r="F1543" s="1" t="s">
        <v>9</v>
      </c>
      <c r="G1543" s="2" t="s">
        <v>12</v>
      </c>
      <c r="H1543" s="2" t="s">
        <v>42</v>
      </c>
      <c r="I1543" s="1" t="s">
        <v>10</v>
      </c>
      <c r="J1543" s="1">
        <v>125</v>
      </c>
      <c r="K1543" s="89">
        <v>4900</v>
      </c>
      <c r="L1543" s="3">
        <v>8.4600000000000009</v>
      </c>
      <c r="M1543" s="3">
        <v>20.83</v>
      </c>
      <c r="N1543" s="3" t="s">
        <v>8</v>
      </c>
      <c r="O1543" s="3" t="s">
        <v>8</v>
      </c>
    </row>
    <row r="1544" spans="1:15" x14ac:dyDescent="0.35">
      <c r="A1544" s="5" t="str">
        <f>Loads[[#This Row],[Date]]&amp;Loads[[#This Row],[Product]]</f>
        <v>44252Product1</v>
      </c>
      <c r="B1544" s="5">
        <f>COUNTIF($A$1:A1544,Loads[[#This Row],[Load]])</f>
        <v>12</v>
      </c>
      <c r="C1544" s="3" t="str">
        <f>Loads[[#This Row],[Load]]&amp;Loads[[#This Row],[Count]]</f>
        <v>44252Product112</v>
      </c>
      <c r="D1544" s="90">
        <v>44252</v>
      </c>
      <c r="E1544" s="143">
        <v>0.93055555555555547</v>
      </c>
      <c r="F1544" s="1" t="s">
        <v>9</v>
      </c>
      <c r="G1544" s="2" t="s">
        <v>12</v>
      </c>
      <c r="H1544" s="2" t="s">
        <v>42</v>
      </c>
      <c r="I1544" s="1" t="s">
        <v>10</v>
      </c>
      <c r="J1544" s="1">
        <v>372</v>
      </c>
      <c r="K1544" s="89">
        <v>14040</v>
      </c>
      <c r="L1544" s="3">
        <v>9.0399999999999991</v>
      </c>
      <c r="M1544" s="3">
        <v>21.36</v>
      </c>
      <c r="N1544" s="3" t="s">
        <v>8</v>
      </c>
      <c r="O1544" s="3" t="s">
        <v>8</v>
      </c>
    </row>
    <row r="1545" spans="1:15" x14ac:dyDescent="0.35">
      <c r="A1545" s="5" t="str">
        <f>Loads[[#This Row],[Date]]&amp;Loads[[#This Row],[Product]]</f>
        <v>44252Product2</v>
      </c>
      <c r="B1545" s="5">
        <f>COUNTIF($A$1:A1545,Loads[[#This Row],[Load]])</f>
        <v>1</v>
      </c>
      <c r="C1545" s="3" t="str">
        <f>Loads[[#This Row],[Load]]&amp;Loads[[#This Row],[Count]]</f>
        <v>44252Product21</v>
      </c>
      <c r="D1545" s="90">
        <v>44252</v>
      </c>
      <c r="E1545" s="143">
        <v>0.15347222222222223</v>
      </c>
      <c r="F1545" s="1" t="s">
        <v>9</v>
      </c>
      <c r="G1545" s="2" t="s">
        <v>13</v>
      </c>
      <c r="H1545" s="2" t="s">
        <v>42</v>
      </c>
      <c r="I1545" s="1" t="s">
        <v>11</v>
      </c>
      <c r="J1545" s="1" t="s">
        <v>8</v>
      </c>
      <c r="K1545" s="89">
        <v>13100</v>
      </c>
      <c r="L1545" s="3">
        <v>61.51</v>
      </c>
      <c r="M1545" s="3">
        <v>9.82</v>
      </c>
      <c r="N1545" s="3" t="s">
        <v>8</v>
      </c>
      <c r="O1545" s="3" t="s">
        <v>8</v>
      </c>
    </row>
    <row r="1546" spans="1:15" x14ac:dyDescent="0.35">
      <c r="A1546" s="5" t="str">
        <f>Loads[[#This Row],[Date]]&amp;Loads[[#This Row],[Product]]</f>
        <v>44252Product2</v>
      </c>
      <c r="B1546" s="5">
        <f>COUNTIF($A$1:A1546,Loads[[#This Row],[Load]])</f>
        <v>2</v>
      </c>
      <c r="C1546" s="3" t="str">
        <f>Loads[[#This Row],[Load]]&amp;Loads[[#This Row],[Count]]</f>
        <v>44252Product22</v>
      </c>
      <c r="D1546" s="90">
        <v>44252</v>
      </c>
      <c r="E1546" s="143">
        <v>4.0972222222222222E-2</v>
      </c>
      <c r="F1546" s="1" t="s">
        <v>9</v>
      </c>
      <c r="G1546" s="2" t="s">
        <v>13</v>
      </c>
      <c r="H1546" s="2" t="s">
        <v>42</v>
      </c>
      <c r="I1546" s="1" t="s">
        <v>11</v>
      </c>
      <c r="J1546" s="1" t="s">
        <v>8</v>
      </c>
      <c r="K1546" s="89">
        <v>12640</v>
      </c>
      <c r="L1546" s="3">
        <v>62.1</v>
      </c>
      <c r="M1546" s="3">
        <v>9.61</v>
      </c>
      <c r="N1546" s="3" t="s">
        <v>8</v>
      </c>
      <c r="O1546" s="3" t="s">
        <v>8</v>
      </c>
    </row>
    <row r="1547" spans="1:15" x14ac:dyDescent="0.35">
      <c r="A1547" s="5" t="str">
        <f>Loads[[#This Row],[Date]]&amp;Loads[[#This Row],[Product]]</f>
        <v>44252Product2</v>
      </c>
      <c r="B1547" s="5">
        <f>COUNTIF($A$1:A1547,Loads[[#This Row],[Load]])</f>
        <v>3</v>
      </c>
      <c r="C1547" s="3" t="str">
        <f>Loads[[#This Row],[Load]]&amp;Loads[[#This Row],[Count]]</f>
        <v>44252Product23</v>
      </c>
      <c r="D1547" s="90">
        <v>44252</v>
      </c>
      <c r="E1547" s="143">
        <v>0.27361111111111108</v>
      </c>
      <c r="F1547" s="1" t="s">
        <v>9</v>
      </c>
      <c r="G1547" s="2" t="s">
        <v>13</v>
      </c>
      <c r="H1547" s="2" t="s">
        <v>42</v>
      </c>
      <c r="I1547" s="1" t="s">
        <v>11</v>
      </c>
      <c r="J1547" s="1" t="s">
        <v>8</v>
      </c>
      <c r="K1547" s="89">
        <v>11880</v>
      </c>
      <c r="L1547" s="3">
        <v>64.92</v>
      </c>
      <c r="M1547" s="3">
        <v>9.07</v>
      </c>
      <c r="N1547" s="3" t="s">
        <v>8</v>
      </c>
      <c r="O1547" s="3" t="s">
        <v>8</v>
      </c>
    </row>
    <row r="1548" spans="1:15" x14ac:dyDescent="0.35">
      <c r="A1548" s="5" t="str">
        <f>Loads[[#This Row],[Date]]&amp;Loads[[#This Row],[Product]]</f>
        <v>44252Product2</v>
      </c>
      <c r="B1548" s="5">
        <f>COUNTIF($A$1:A1548,Loads[[#This Row],[Load]])</f>
        <v>4</v>
      </c>
      <c r="C1548" s="3" t="str">
        <f>Loads[[#This Row],[Load]]&amp;Loads[[#This Row],[Count]]</f>
        <v>44252Product24</v>
      </c>
      <c r="D1548" s="90">
        <v>44252</v>
      </c>
      <c r="E1548" s="143">
        <v>0.39097222222222222</v>
      </c>
      <c r="F1548" s="1" t="s">
        <v>9</v>
      </c>
      <c r="G1548" s="2" t="s">
        <v>13</v>
      </c>
      <c r="H1548" s="2" t="s">
        <v>42</v>
      </c>
      <c r="I1548" s="1" t="s">
        <v>11</v>
      </c>
      <c r="J1548" s="1" t="s">
        <v>8</v>
      </c>
      <c r="K1548" s="89">
        <v>12940</v>
      </c>
      <c r="L1548" s="3">
        <v>60.12</v>
      </c>
      <c r="M1548" s="3">
        <v>10.61</v>
      </c>
      <c r="N1548" s="3" t="s">
        <v>8</v>
      </c>
      <c r="O1548" s="3" t="s">
        <v>8</v>
      </c>
    </row>
    <row r="1549" spans="1:15" x14ac:dyDescent="0.35">
      <c r="A1549" s="5" t="str">
        <f>Loads[[#This Row],[Date]]&amp;Loads[[#This Row],[Product]]</f>
        <v>44252Product2</v>
      </c>
      <c r="B1549" s="5">
        <f>COUNTIF($A$1:A1549,Loads[[#This Row],[Load]])</f>
        <v>5</v>
      </c>
      <c r="C1549" s="3" t="str">
        <f>Loads[[#This Row],[Load]]&amp;Loads[[#This Row],[Count]]</f>
        <v>44252Product25</v>
      </c>
      <c r="D1549" s="90">
        <v>44252</v>
      </c>
      <c r="E1549" s="143">
        <v>0.60902777777777783</v>
      </c>
      <c r="F1549" s="1" t="s">
        <v>9</v>
      </c>
      <c r="G1549" s="2" t="s">
        <v>13</v>
      </c>
      <c r="H1549" s="2" t="s">
        <v>42</v>
      </c>
      <c r="I1549" s="1" t="s">
        <v>11</v>
      </c>
      <c r="J1549" s="1" t="s">
        <v>8</v>
      </c>
      <c r="K1549" s="89">
        <v>11520</v>
      </c>
      <c r="L1549" s="3">
        <v>65.3</v>
      </c>
      <c r="M1549" s="3">
        <v>9.6999999999999993</v>
      </c>
      <c r="N1549" s="3" t="s">
        <v>8</v>
      </c>
      <c r="O1549" s="3" t="s">
        <v>8</v>
      </c>
    </row>
    <row r="1550" spans="1:15" x14ac:dyDescent="0.35">
      <c r="A1550" s="5" t="str">
        <f>Loads[[#This Row],[Date]]&amp;Loads[[#This Row],[Product]]</f>
        <v>44252Product2</v>
      </c>
      <c r="B1550" s="5">
        <f>COUNTIF($A$1:A1550,Loads[[#This Row],[Load]])</f>
        <v>6</v>
      </c>
      <c r="C1550" s="3" t="str">
        <f>Loads[[#This Row],[Load]]&amp;Loads[[#This Row],[Count]]</f>
        <v>44252Product26</v>
      </c>
      <c r="D1550" s="90">
        <v>44252</v>
      </c>
      <c r="E1550" s="143">
        <v>0.52013888888888882</v>
      </c>
      <c r="F1550" s="1" t="s">
        <v>9</v>
      </c>
      <c r="G1550" s="2" t="s">
        <v>13</v>
      </c>
      <c r="H1550" s="2" t="s">
        <v>42</v>
      </c>
      <c r="I1550" s="1" t="s">
        <v>11</v>
      </c>
      <c r="J1550" s="1" t="s">
        <v>8</v>
      </c>
      <c r="K1550" s="89">
        <v>11480</v>
      </c>
      <c r="L1550" s="3">
        <v>61.32</v>
      </c>
      <c r="M1550" s="3">
        <v>9.86</v>
      </c>
      <c r="N1550" s="3" t="s">
        <v>8</v>
      </c>
      <c r="O1550" s="3" t="s">
        <v>8</v>
      </c>
    </row>
    <row r="1551" spans="1:15" x14ac:dyDescent="0.35">
      <c r="A1551" s="5" t="str">
        <f>Loads[[#This Row],[Date]]&amp;Loads[[#This Row],[Product]]</f>
        <v>44252Product2</v>
      </c>
      <c r="B1551" s="5">
        <f>COUNTIF($A$1:A1551,Loads[[#This Row],[Load]])</f>
        <v>7</v>
      </c>
      <c r="C1551" s="3" t="str">
        <f>Loads[[#This Row],[Load]]&amp;Loads[[#This Row],[Count]]</f>
        <v>44252Product27</v>
      </c>
      <c r="D1551" s="90">
        <v>44252</v>
      </c>
      <c r="E1551" s="143">
        <v>0.7090277777777777</v>
      </c>
      <c r="F1551" s="1" t="s">
        <v>9</v>
      </c>
      <c r="G1551" s="2" t="s">
        <v>13</v>
      </c>
      <c r="H1551" s="2" t="s">
        <v>42</v>
      </c>
      <c r="I1551" s="1" t="s">
        <v>11</v>
      </c>
      <c r="J1551" s="1" t="s">
        <v>8</v>
      </c>
      <c r="K1551" s="89">
        <v>11580</v>
      </c>
      <c r="L1551" s="3">
        <v>63.25</v>
      </c>
      <c r="M1551" s="3">
        <v>9.69</v>
      </c>
      <c r="N1551" s="3" t="s">
        <v>8</v>
      </c>
      <c r="O1551" s="3" t="s">
        <v>8</v>
      </c>
    </row>
    <row r="1552" spans="1:15" x14ac:dyDescent="0.35">
      <c r="A1552" s="5" t="str">
        <f>Loads[[#This Row],[Date]]&amp;Loads[[#This Row],[Product]]</f>
        <v>44252Product2</v>
      </c>
      <c r="B1552" s="5">
        <f>COUNTIF($A$1:A1552,Loads[[#This Row],[Load]])</f>
        <v>8</v>
      </c>
      <c r="C1552" s="3" t="str">
        <f>Loads[[#This Row],[Load]]&amp;Loads[[#This Row],[Count]]</f>
        <v>44252Product28</v>
      </c>
      <c r="D1552" s="90">
        <v>44252</v>
      </c>
      <c r="E1552" s="143">
        <v>0.86041666666666661</v>
      </c>
      <c r="F1552" s="1" t="s">
        <v>9</v>
      </c>
      <c r="G1552" s="2" t="s">
        <v>13</v>
      </c>
      <c r="H1552" s="2" t="s">
        <v>42</v>
      </c>
      <c r="I1552" s="1" t="s">
        <v>11</v>
      </c>
      <c r="J1552" s="1" t="s">
        <v>8</v>
      </c>
      <c r="K1552" s="89">
        <v>16120</v>
      </c>
      <c r="L1552" s="3">
        <v>63.93</v>
      </c>
      <c r="M1552" s="3">
        <v>10.220000000000001</v>
      </c>
      <c r="N1552" s="3" t="s">
        <v>8</v>
      </c>
      <c r="O1552" s="3" t="s">
        <v>8</v>
      </c>
    </row>
    <row r="1553" spans="1:15" x14ac:dyDescent="0.35">
      <c r="A1553" s="5" t="str">
        <f>Loads[[#This Row],[Date]]&amp;Loads[[#This Row],[Product]]</f>
        <v>44252Product2</v>
      </c>
      <c r="B1553" s="5">
        <f>COUNTIF($A$1:A1553,Loads[[#This Row],[Load]])</f>
        <v>9</v>
      </c>
      <c r="C1553" s="3" t="str">
        <f>Loads[[#This Row],[Load]]&amp;Loads[[#This Row],[Count]]</f>
        <v>44252Product29</v>
      </c>
      <c r="D1553" s="90">
        <v>44252</v>
      </c>
      <c r="E1553" s="143">
        <v>0.92569444444444438</v>
      </c>
      <c r="F1553" s="1" t="s">
        <v>9</v>
      </c>
      <c r="G1553" s="2" t="s">
        <v>13</v>
      </c>
      <c r="H1553" s="2" t="s">
        <v>42</v>
      </c>
      <c r="I1553" s="1" t="s">
        <v>11</v>
      </c>
      <c r="J1553" s="1" t="s">
        <v>8</v>
      </c>
      <c r="K1553" s="89">
        <v>10660</v>
      </c>
      <c r="L1553" s="3">
        <v>62.29</v>
      </c>
      <c r="M1553" s="3">
        <v>9.4</v>
      </c>
      <c r="N1553" s="3" t="s">
        <v>8</v>
      </c>
      <c r="O1553" s="3" t="s">
        <v>8</v>
      </c>
    </row>
    <row r="1554" spans="1:15" x14ac:dyDescent="0.35">
      <c r="A1554" s="5" t="str">
        <f>Loads[[#This Row],[Date]]&amp;Loads[[#This Row],[Product]]</f>
        <v>44253Product6</v>
      </c>
      <c r="B1554" s="5">
        <f>COUNTIF($A$1:A1554,Loads[[#This Row],[Load]])</f>
        <v>1</v>
      </c>
      <c r="C1554" s="3" t="str">
        <f>Loads[[#This Row],[Load]]&amp;Loads[[#This Row],[Count]]</f>
        <v>44253Product61</v>
      </c>
      <c r="D1554" s="90">
        <v>44253</v>
      </c>
      <c r="E1554" s="143">
        <v>0.83333333333333337</v>
      </c>
      <c r="F1554" s="1" t="s">
        <v>9</v>
      </c>
      <c r="G1554" s="2" t="s">
        <v>17</v>
      </c>
      <c r="H1554" s="2" t="s">
        <v>42</v>
      </c>
      <c r="I1554" s="1" t="s">
        <v>11</v>
      </c>
      <c r="J1554" s="1" t="s">
        <v>8</v>
      </c>
      <c r="K1554" s="89">
        <v>35820</v>
      </c>
      <c r="L1554" s="3">
        <v>0.14000000000000001</v>
      </c>
      <c r="M1554" s="3" t="s">
        <v>8</v>
      </c>
      <c r="N1554" s="3">
        <v>1.84</v>
      </c>
      <c r="O1554" s="3" t="s">
        <v>8</v>
      </c>
    </row>
    <row r="1555" spans="1:15" x14ac:dyDescent="0.35">
      <c r="A1555" s="5" t="str">
        <f>Loads[[#This Row],[Date]]&amp;Loads[[#This Row],[Product]]</f>
        <v>44253Product7</v>
      </c>
      <c r="B1555" s="5">
        <f>COUNTIF($A$1:A1555,Loads[[#This Row],[Load]])</f>
        <v>1</v>
      </c>
      <c r="C1555" s="3" t="str">
        <f>Loads[[#This Row],[Load]]&amp;Loads[[#This Row],[Count]]</f>
        <v>44253Product71</v>
      </c>
      <c r="D1555" s="90">
        <v>44253</v>
      </c>
      <c r="E1555" s="143">
        <v>0.41666666666666669</v>
      </c>
      <c r="F1555" s="1" t="s">
        <v>9</v>
      </c>
      <c r="G1555" s="2" t="s">
        <v>18</v>
      </c>
      <c r="H1555" s="2" t="s">
        <v>42</v>
      </c>
      <c r="I1555" s="1" t="s">
        <v>11</v>
      </c>
      <c r="J1555" s="1" t="s">
        <v>8</v>
      </c>
      <c r="K1555" s="89">
        <v>17740</v>
      </c>
      <c r="L1555" s="3" t="s">
        <v>8</v>
      </c>
      <c r="M1555" s="3">
        <v>21.31</v>
      </c>
      <c r="N1555" s="3" t="s">
        <v>8</v>
      </c>
      <c r="O1555" s="3">
        <v>41.3</v>
      </c>
    </row>
    <row r="1556" spans="1:15" x14ac:dyDescent="0.35">
      <c r="A1556" s="5" t="str">
        <f>Loads[[#This Row],[Date]]&amp;Loads[[#This Row],[Product]]</f>
        <v>44253Product8</v>
      </c>
      <c r="B1556" s="5">
        <f>COUNTIF($A$1:A1556,Loads[[#This Row],[Load]])</f>
        <v>1</v>
      </c>
      <c r="C1556" s="3" t="str">
        <f>Loads[[#This Row],[Load]]&amp;Loads[[#This Row],[Count]]</f>
        <v>44253Product81</v>
      </c>
      <c r="D1556" s="90">
        <v>44253</v>
      </c>
      <c r="E1556" s="143">
        <v>0.4993055555555555</v>
      </c>
      <c r="F1556" s="1" t="s">
        <v>9</v>
      </c>
      <c r="G1556" s="2" t="s">
        <v>19</v>
      </c>
      <c r="H1556" s="2" t="s">
        <v>42</v>
      </c>
      <c r="I1556" s="1" t="s">
        <v>11</v>
      </c>
      <c r="J1556" s="1" t="s">
        <v>8</v>
      </c>
      <c r="K1556" s="89">
        <v>24600</v>
      </c>
      <c r="L1556" s="3">
        <v>11.87</v>
      </c>
      <c r="M1556" s="3">
        <v>5.7</v>
      </c>
      <c r="N1556" s="3" t="s">
        <v>8</v>
      </c>
      <c r="O1556" s="3" t="s">
        <v>8</v>
      </c>
    </row>
    <row r="1557" spans="1:15" x14ac:dyDescent="0.35">
      <c r="A1557" s="5" t="str">
        <f>Loads[[#This Row],[Date]]&amp;Loads[[#This Row],[Product]]</f>
        <v>44253Product4</v>
      </c>
      <c r="B1557" s="5">
        <f>COUNTIF($A$1:A1557,Loads[[#This Row],[Load]])</f>
        <v>1</v>
      </c>
      <c r="C1557" s="3" t="str">
        <f>Loads[[#This Row],[Load]]&amp;Loads[[#This Row],[Count]]</f>
        <v>44253Product41</v>
      </c>
      <c r="D1557" s="90">
        <v>44253</v>
      </c>
      <c r="E1557" s="143">
        <v>0.98611111111111116</v>
      </c>
      <c r="F1557" s="1" t="s">
        <v>9</v>
      </c>
      <c r="G1557" s="2" t="s">
        <v>15</v>
      </c>
      <c r="H1557" s="2" t="s">
        <v>42</v>
      </c>
      <c r="I1557" s="1" t="s">
        <v>11</v>
      </c>
      <c r="J1557" s="1" t="s">
        <v>8</v>
      </c>
      <c r="K1557" s="89">
        <v>29780</v>
      </c>
      <c r="L1557" s="3">
        <v>10.96</v>
      </c>
      <c r="M1557" s="3">
        <v>60.37</v>
      </c>
      <c r="N1557" s="3" t="s">
        <v>8</v>
      </c>
      <c r="O1557" s="3" t="s">
        <v>8</v>
      </c>
    </row>
    <row r="1558" spans="1:15" x14ac:dyDescent="0.35">
      <c r="A1558" s="5" t="str">
        <f>Loads[[#This Row],[Date]]&amp;Loads[[#This Row],[Product]]</f>
        <v>44253Product4</v>
      </c>
      <c r="B1558" s="5">
        <f>COUNTIF($A$1:A1558,Loads[[#This Row],[Load]])</f>
        <v>2</v>
      </c>
      <c r="C1558" s="3" t="str">
        <f>Loads[[#This Row],[Load]]&amp;Loads[[#This Row],[Count]]</f>
        <v>44253Product42</v>
      </c>
      <c r="D1558" s="90">
        <v>44253</v>
      </c>
      <c r="E1558" s="143">
        <v>0.1111111111111111</v>
      </c>
      <c r="F1558" s="1" t="s">
        <v>9</v>
      </c>
      <c r="G1558" s="2" t="s">
        <v>15</v>
      </c>
      <c r="H1558" s="2" t="s">
        <v>42</v>
      </c>
      <c r="I1558" s="1" t="s">
        <v>11</v>
      </c>
      <c r="J1558" s="1" t="s">
        <v>8</v>
      </c>
      <c r="K1558" s="89">
        <v>31500</v>
      </c>
      <c r="L1558" s="3">
        <v>10.29</v>
      </c>
      <c r="M1558" s="3">
        <v>62.93</v>
      </c>
      <c r="N1558" s="3" t="s">
        <v>8</v>
      </c>
      <c r="O1558" s="3" t="s">
        <v>8</v>
      </c>
    </row>
    <row r="1559" spans="1:15" x14ac:dyDescent="0.35">
      <c r="A1559" s="5" t="str">
        <f>Loads[[#This Row],[Date]]&amp;Loads[[#This Row],[Product]]</f>
        <v>44253Product1</v>
      </c>
      <c r="B1559" s="5">
        <f>COUNTIF($A$1:A1559,Loads[[#This Row],[Load]])</f>
        <v>1</v>
      </c>
      <c r="C1559" s="3" t="str">
        <f>Loads[[#This Row],[Load]]&amp;Loads[[#This Row],[Count]]</f>
        <v>44253Product11</v>
      </c>
      <c r="D1559" s="90">
        <v>44253</v>
      </c>
      <c r="E1559" s="143">
        <v>0.75</v>
      </c>
      <c r="F1559" s="1" t="s">
        <v>9</v>
      </c>
      <c r="G1559" s="2" t="s">
        <v>12</v>
      </c>
      <c r="H1559" s="2" t="s">
        <v>42</v>
      </c>
      <c r="I1559" s="1" t="s">
        <v>10</v>
      </c>
      <c r="J1559" s="1">
        <v>280</v>
      </c>
      <c r="K1559" s="89">
        <v>14040</v>
      </c>
      <c r="L1559" s="3">
        <v>10.26</v>
      </c>
      <c r="M1559" s="3">
        <v>61.38</v>
      </c>
      <c r="N1559" s="3" t="s">
        <v>8</v>
      </c>
      <c r="O1559" s="3" t="s">
        <v>8</v>
      </c>
    </row>
    <row r="1560" spans="1:15" x14ac:dyDescent="0.35">
      <c r="A1560" s="5" t="str">
        <f>Loads[[#This Row],[Date]]&amp;Loads[[#This Row],[Product]]</f>
        <v>44253Product1</v>
      </c>
      <c r="B1560" s="5">
        <f>COUNTIF($A$1:A1560,Loads[[#This Row],[Load]])</f>
        <v>2</v>
      </c>
      <c r="C1560" s="3" t="str">
        <f>Loads[[#This Row],[Load]]&amp;Loads[[#This Row],[Count]]</f>
        <v>44253Product12</v>
      </c>
      <c r="D1560" s="90">
        <v>44253</v>
      </c>
      <c r="E1560" s="143">
        <v>3.4722222222222224E-2</v>
      </c>
      <c r="F1560" s="1" t="s">
        <v>9</v>
      </c>
      <c r="G1560" s="2" t="s">
        <v>12</v>
      </c>
      <c r="H1560" s="2" t="s">
        <v>42</v>
      </c>
      <c r="I1560" s="1" t="s">
        <v>10</v>
      </c>
      <c r="J1560" s="1">
        <v>325</v>
      </c>
      <c r="K1560" s="89">
        <v>12840</v>
      </c>
      <c r="L1560" s="3">
        <v>9.35</v>
      </c>
      <c r="M1560" s="3">
        <v>21.99</v>
      </c>
      <c r="N1560" s="3" t="s">
        <v>8</v>
      </c>
      <c r="O1560" s="3" t="s">
        <v>8</v>
      </c>
    </row>
    <row r="1561" spans="1:15" x14ac:dyDescent="0.35">
      <c r="A1561" s="5" t="str">
        <f>Loads[[#This Row],[Date]]&amp;Loads[[#This Row],[Product]]</f>
        <v>44253Product1</v>
      </c>
      <c r="B1561" s="5">
        <f>COUNTIF($A$1:A1561,Loads[[#This Row],[Load]])</f>
        <v>3</v>
      </c>
      <c r="C1561" s="3" t="str">
        <f>Loads[[#This Row],[Load]]&amp;Loads[[#This Row],[Count]]</f>
        <v>44253Product13</v>
      </c>
      <c r="D1561" s="90">
        <v>44253</v>
      </c>
      <c r="E1561" s="143">
        <v>6.5972222222222224E-2</v>
      </c>
      <c r="F1561" s="1" t="s">
        <v>9</v>
      </c>
      <c r="G1561" s="2" t="s">
        <v>12</v>
      </c>
      <c r="H1561" s="2" t="s">
        <v>42</v>
      </c>
      <c r="I1561" s="1" t="s">
        <v>11</v>
      </c>
      <c r="J1561" s="1" t="s">
        <v>8</v>
      </c>
      <c r="K1561" s="89">
        <v>25840</v>
      </c>
      <c r="L1561" s="3">
        <v>9.18</v>
      </c>
      <c r="M1561" s="3">
        <v>22.33</v>
      </c>
      <c r="N1561" s="3" t="s">
        <v>8</v>
      </c>
      <c r="O1561" s="3" t="s">
        <v>8</v>
      </c>
    </row>
    <row r="1562" spans="1:15" x14ac:dyDescent="0.35">
      <c r="A1562" s="5" t="str">
        <f>Loads[[#This Row],[Date]]&amp;Loads[[#This Row],[Product]]</f>
        <v>44253Product1</v>
      </c>
      <c r="B1562" s="5">
        <f>COUNTIF($A$1:A1562,Loads[[#This Row],[Load]])</f>
        <v>4</v>
      </c>
      <c r="C1562" s="3" t="str">
        <f>Loads[[#This Row],[Load]]&amp;Loads[[#This Row],[Count]]</f>
        <v>44253Product14</v>
      </c>
      <c r="D1562" s="90">
        <v>44253</v>
      </c>
      <c r="E1562" s="143">
        <v>0.12847222222222224</v>
      </c>
      <c r="F1562" s="1" t="s">
        <v>9</v>
      </c>
      <c r="G1562" s="2" t="s">
        <v>12</v>
      </c>
      <c r="H1562" s="2" t="s">
        <v>42</v>
      </c>
      <c r="I1562" s="1" t="s">
        <v>11</v>
      </c>
      <c r="J1562" s="1" t="s">
        <v>8</v>
      </c>
      <c r="K1562" s="89">
        <v>23860</v>
      </c>
      <c r="L1562" s="3">
        <v>9.18</v>
      </c>
      <c r="M1562" s="3">
        <v>22.75</v>
      </c>
      <c r="N1562" s="3" t="s">
        <v>8</v>
      </c>
      <c r="O1562" s="3" t="s">
        <v>8</v>
      </c>
    </row>
    <row r="1563" spans="1:15" x14ac:dyDescent="0.35">
      <c r="A1563" s="5" t="str">
        <f>Loads[[#This Row],[Date]]&amp;Loads[[#This Row],[Product]]</f>
        <v>44253Product1</v>
      </c>
      <c r="B1563" s="5">
        <f>COUNTIF($A$1:A1563,Loads[[#This Row],[Load]])</f>
        <v>5</v>
      </c>
      <c r="C1563" s="3" t="str">
        <f>Loads[[#This Row],[Load]]&amp;Loads[[#This Row],[Count]]</f>
        <v>44253Product15</v>
      </c>
      <c r="D1563" s="90">
        <v>44253</v>
      </c>
      <c r="E1563" s="143">
        <v>0.40138888888888885</v>
      </c>
      <c r="F1563" s="1" t="s">
        <v>9</v>
      </c>
      <c r="G1563" s="2" t="s">
        <v>12</v>
      </c>
      <c r="H1563" s="2" t="s">
        <v>42</v>
      </c>
      <c r="I1563" s="1" t="s">
        <v>11</v>
      </c>
      <c r="J1563" s="1" t="s">
        <v>8</v>
      </c>
      <c r="K1563" s="89">
        <v>31880</v>
      </c>
      <c r="L1563" s="3">
        <v>9.14</v>
      </c>
      <c r="M1563" s="3">
        <v>22.29</v>
      </c>
      <c r="N1563" s="3" t="s">
        <v>8</v>
      </c>
      <c r="O1563" s="3" t="s">
        <v>8</v>
      </c>
    </row>
    <row r="1564" spans="1:15" x14ac:dyDescent="0.35">
      <c r="A1564" s="5" t="str">
        <f>Loads[[#This Row],[Date]]&amp;Loads[[#This Row],[Product]]</f>
        <v>44253Product1</v>
      </c>
      <c r="B1564" s="5">
        <f>COUNTIF($A$1:A1564,Loads[[#This Row],[Load]])</f>
        <v>6</v>
      </c>
      <c r="C1564" s="3" t="str">
        <f>Loads[[#This Row],[Load]]&amp;Loads[[#This Row],[Count]]</f>
        <v>44253Product16</v>
      </c>
      <c r="D1564" s="90">
        <v>44253</v>
      </c>
      <c r="E1564" s="143">
        <v>0.52777777777777779</v>
      </c>
      <c r="F1564" s="1" t="s">
        <v>9</v>
      </c>
      <c r="G1564" s="2" t="s">
        <v>12</v>
      </c>
      <c r="H1564" s="2" t="s">
        <v>42</v>
      </c>
      <c r="I1564" s="1" t="s">
        <v>11</v>
      </c>
      <c r="J1564" s="1" t="s">
        <v>8</v>
      </c>
      <c r="K1564" s="89">
        <v>25540</v>
      </c>
      <c r="L1564" s="3">
        <v>6.94</v>
      </c>
      <c r="M1564" s="3">
        <v>22.09</v>
      </c>
      <c r="N1564" s="3" t="s">
        <v>8</v>
      </c>
      <c r="O1564" s="3" t="s">
        <v>8</v>
      </c>
    </row>
    <row r="1565" spans="1:15" x14ac:dyDescent="0.35">
      <c r="A1565" s="5" t="str">
        <f>Loads[[#This Row],[Date]]&amp;Loads[[#This Row],[Product]]</f>
        <v>44253Product1</v>
      </c>
      <c r="B1565" s="5">
        <f>COUNTIF($A$1:A1565,Loads[[#This Row],[Load]])</f>
        <v>7</v>
      </c>
      <c r="C1565" s="3" t="str">
        <f>Loads[[#This Row],[Load]]&amp;Loads[[#This Row],[Count]]</f>
        <v>44253Product17</v>
      </c>
      <c r="D1565" s="90">
        <v>44253</v>
      </c>
      <c r="E1565" s="143">
        <v>0.54513888888888895</v>
      </c>
      <c r="F1565" s="1" t="s">
        <v>9</v>
      </c>
      <c r="G1565" s="2" t="s">
        <v>12</v>
      </c>
      <c r="H1565" s="2" t="s">
        <v>42</v>
      </c>
      <c r="I1565" s="1" t="s">
        <v>11</v>
      </c>
      <c r="J1565" s="1" t="s">
        <v>8</v>
      </c>
      <c r="K1565" s="89">
        <v>21460</v>
      </c>
      <c r="L1565" s="3">
        <v>7.87</v>
      </c>
      <c r="M1565" s="3">
        <v>22.32</v>
      </c>
      <c r="N1565" s="3" t="s">
        <v>8</v>
      </c>
      <c r="O1565" s="3" t="s">
        <v>8</v>
      </c>
    </row>
    <row r="1566" spans="1:15" x14ac:dyDescent="0.35">
      <c r="A1566" s="5" t="str">
        <f>Loads[[#This Row],[Date]]&amp;Loads[[#This Row],[Product]]</f>
        <v>44253Product1</v>
      </c>
      <c r="B1566" s="5">
        <f>COUNTIF($A$1:A1566,Loads[[#This Row],[Load]])</f>
        <v>8</v>
      </c>
      <c r="C1566" s="3" t="str">
        <f>Loads[[#This Row],[Load]]&amp;Loads[[#This Row],[Count]]</f>
        <v>44253Product18</v>
      </c>
      <c r="D1566" s="90">
        <v>44253</v>
      </c>
      <c r="E1566" s="143">
        <v>0.95833333333333337</v>
      </c>
      <c r="F1566" s="1" t="s">
        <v>9</v>
      </c>
      <c r="G1566" s="2" t="s">
        <v>12</v>
      </c>
      <c r="H1566" s="2" t="s">
        <v>42</v>
      </c>
      <c r="I1566" s="1" t="s">
        <v>10</v>
      </c>
      <c r="J1566" s="1">
        <v>900</v>
      </c>
      <c r="K1566" s="89">
        <v>35660</v>
      </c>
      <c r="L1566" s="3">
        <v>9.91</v>
      </c>
      <c r="M1566" s="3">
        <v>21.69</v>
      </c>
      <c r="N1566" s="3" t="s">
        <v>8</v>
      </c>
      <c r="O1566" s="3" t="s">
        <v>8</v>
      </c>
    </row>
    <row r="1567" spans="1:15" x14ac:dyDescent="0.35">
      <c r="A1567" s="5" t="str">
        <f>Loads[[#This Row],[Date]]&amp;Loads[[#This Row],[Product]]</f>
        <v>44253Product2</v>
      </c>
      <c r="B1567" s="5">
        <f>COUNTIF($A$1:A1567,Loads[[#This Row],[Load]])</f>
        <v>1</v>
      </c>
      <c r="C1567" s="3" t="str">
        <f>Loads[[#This Row],[Load]]&amp;Loads[[#This Row],[Count]]</f>
        <v>44253Product21</v>
      </c>
      <c r="D1567" s="90">
        <v>44253</v>
      </c>
      <c r="E1567" s="143">
        <v>3.472222222222222E-3</v>
      </c>
      <c r="F1567" s="1" t="s">
        <v>9</v>
      </c>
      <c r="G1567" s="2" t="s">
        <v>13</v>
      </c>
      <c r="H1567" s="2" t="s">
        <v>42</v>
      </c>
      <c r="I1567" s="1" t="s">
        <v>11</v>
      </c>
      <c r="J1567" s="1" t="s">
        <v>8</v>
      </c>
      <c r="K1567" s="89">
        <v>11760</v>
      </c>
      <c r="L1567" s="3">
        <v>61.29</v>
      </c>
      <c r="M1567" s="3">
        <v>8.0500000000000007</v>
      </c>
      <c r="N1567" s="3" t="s">
        <v>8</v>
      </c>
      <c r="O1567" s="3" t="s">
        <v>8</v>
      </c>
    </row>
    <row r="1568" spans="1:15" x14ac:dyDescent="0.35">
      <c r="A1568" s="5" t="str">
        <f>Loads[[#This Row],[Date]]&amp;Loads[[#This Row],[Product]]</f>
        <v>44253Product2</v>
      </c>
      <c r="B1568" s="5">
        <f>COUNTIF($A$1:A1568,Loads[[#This Row],[Load]])</f>
        <v>2</v>
      </c>
      <c r="C1568" s="3" t="str">
        <f>Loads[[#This Row],[Load]]&amp;Loads[[#This Row],[Count]]</f>
        <v>44253Product22</v>
      </c>
      <c r="D1568" s="90">
        <v>44253</v>
      </c>
      <c r="E1568" s="143">
        <v>0.17708333333333334</v>
      </c>
      <c r="F1568" s="1" t="s">
        <v>9</v>
      </c>
      <c r="G1568" s="2" t="s">
        <v>13</v>
      </c>
      <c r="H1568" s="2" t="s">
        <v>42</v>
      </c>
      <c r="I1568" s="1" t="s">
        <v>11</v>
      </c>
      <c r="J1568" s="1" t="s">
        <v>8</v>
      </c>
      <c r="K1568" s="89">
        <v>13540</v>
      </c>
      <c r="L1568" s="3">
        <v>61.32</v>
      </c>
      <c r="M1568" s="3">
        <v>9.86</v>
      </c>
      <c r="N1568" s="3" t="s">
        <v>8</v>
      </c>
      <c r="O1568" s="3" t="s">
        <v>8</v>
      </c>
    </row>
    <row r="1569" spans="1:15" x14ac:dyDescent="0.35">
      <c r="A1569" s="5" t="str">
        <f>Loads[[#This Row],[Date]]&amp;Loads[[#This Row],[Product]]</f>
        <v>44253Product2</v>
      </c>
      <c r="B1569" s="5">
        <f>COUNTIF($A$1:A1569,Loads[[#This Row],[Load]])</f>
        <v>3</v>
      </c>
      <c r="C1569" s="3" t="str">
        <f>Loads[[#This Row],[Load]]&amp;Loads[[#This Row],[Count]]</f>
        <v>44253Product23</v>
      </c>
      <c r="D1569" s="90">
        <v>44253</v>
      </c>
      <c r="E1569" s="143">
        <v>7.3611111111111113E-2</v>
      </c>
      <c r="F1569" s="1" t="s">
        <v>9</v>
      </c>
      <c r="G1569" s="2" t="s">
        <v>13</v>
      </c>
      <c r="H1569" s="2" t="s">
        <v>42</v>
      </c>
      <c r="I1569" s="1" t="s">
        <v>11</v>
      </c>
      <c r="J1569" s="1" t="s">
        <v>8</v>
      </c>
      <c r="K1569" s="89">
        <v>10800</v>
      </c>
      <c r="L1569" s="3">
        <v>65.3</v>
      </c>
      <c r="M1569" s="3">
        <v>9.6999999999999993</v>
      </c>
      <c r="N1569" s="3" t="s">
        <v>8</v>
      </c>
      <c r="O1569" s="3" t="s">
        <v>8</v>
      </c>
    </row>
    <row r="1570" spans="1:15" x14ac:dyDescent="0.35">
      <c r="A1570" s="5" t="str">
        <f>Loads[[#This Row],[Date]]&amp;Loads[[#This Row],[Product]]</f>
        <v>44253Product2</v>
      </c>
      <c r="B1570" s="5">
        <f>COUNTIF($A$1:A1570,Loads[[#This Row],[Load]])</f>
        <v>4</v>
      </c>
      <c r="C1570" s="3" t="str">
        <f>Loads[[#This Row],[Load]]&amp;Loads[[#This Row],[Count]]</f>
        <v>44253Product24</v>
      </c>
      <c r="D1570" s="90">
        <v>44253</v>
      </c>
      <c r="E1570" s="143">
        <v>0.65625</v>
      </c>
      <c r="F1570" s="1" t="s">
        <v>9</v>
      </c>
      <c r="G1570" s="2" t="s">
        <v>13</v>
      </c>
      <c r="H1570" s="2" t="s">
        <v>42</v>
      </c>
      <c r="I1570" s="1" t="s">
        <v>11</v>
      </c>
      <c r="J1570" s="1" t="s">
        <v>8</v>
      </c>
      <c r="K1570" s="89">
        <v>9940</v>
      </c>
      <c r="L1570" s="3">
        <v>62.13</v>
      </c>
      <c r="M1570" s="3">
        <v>9.89</v>
      </c>
      <c r="N1570" s="3" t="s">
        <v>8</v>
      </c>
      <c r="O1570" s="3" t="s">
        <v>8</v>
      </c>
    </row>
    <row r="1571" spans="1:15" x14ac:dyDescent="0.35">
      <c r="A1571" s="5" t="str">
        <f>Loads[[#This Row],[Date]]&amp;Loads[[#This Row],[Product]]</f>
        <v>44253Product2</v>
      </c>
      <c r="B1571" s="5">
        <f>COUNTIF($A$1:A1571,Loads[[#This Row],[Load]])</f>
        <v>5</v>
      </c>
      <c r="C1571" s="3" t="str">
        <f>Loads[[#This Row],[Load]]&amp;Loads[[#This Row],[Count]]</f>
        <v>44253Product25</v>
      </c>
      <c r="D1571" s="90">
        <v>44253</v>
      </c>
      <c r="E1571" s="143">
        <v>0.4513888888888889</v>
      </c>
      <c r="F1571" s="1" t="s">
        <v>9</v>
      </c>
      <c r="G1571" s="2" t="s">
        <v>13</v>
      </c>
      <c r="H1571" s="2" t="s">
        <v>42</v>
      </c>
      <c r="I1571" s="1" t="s">
        <v>11</v>
      </c>
      <c r="J1571" s="1" t="s">
        <v>8</v>
      </c>
      <c r="K1571" s="89">
        <v>17540</v>
      </c>
      <c r="L1571" s="3">
        <v>61.06</v>
      </c>
      <c r="M1571" s="3">
        <v>9.9700000000000006</v>
      </c>
      <c r="N1571" s="3" t="s">
        <v>8</v>
      </c>
      <c r="O1571" s="3" t="s">
        <v>8</v>
      </c>
    </row>
    <row r="1572" spans="1:15" x14ac:dyDescent="0.35">
      <c r="A1572" s="5" t="str">
        <f>Loads[[#This Row],[Date]]&amp;Loads[[#This Row],[Product]]</f>
        <v>44253Product2</v>
      </c>
      <c r="B1572" s="5">
        <f>COUNTIF($A$1:A1572,Loads[[#This Row],[Load]])</f>
        <v>6</v>
      </c>
      <c r="C1572" s="3" t="str">
        <f>Loads[[#This Row],[Load]]&amp;Loads[[#This Row],[Count]]</f>
        <v>44253Product26</v>
      </c>
      <c r="D1572" s="90">
        <v>44253</v>
      </c>
      <c r="E1572" s="143">
        <v>0.54583333333333328</v>
      </c>
      <c r="F1572" s="1" t="s">
        <v>9</v>
      </c>
      <c r="G1572" s="2" t="s">
        <v>13</v>
      </c>
      <c r="H1572" s="2" t="s">
        <v>42</v>
      </c>
      <c r="I1572" s="1" t="s">
        <v>11</v>
      </c>
      <c r="J1572" s="1" t="s">
        <v>8</v>
      </c>
      <c r="K1572" s="89">
        <v>11980</v>
      </c>
      <c r="L1572" s="3">
        <v>60.14</v>
      </c>
      <c r="M1572" s="3">
        <v>10.119999999999999</v>
      </c>
      <c r="N1572" s="3" t="s">
        <v>8</v>
      </c>
      <c r="O1572" s="3" t="s">
        <v>8</v>
      </c>
    </row>
    <row r="1573" spans="1:15" x14ac:dyDescent="0.35">
      <c r="A1573" s="5" t="str">
        <f>Loads[[#This Row],[Date]]&amp;Loads[[#This Row],[Product]]</f>
        <v>44253Product2</v>
      </c>
      <c r="B1573" s="5">
        <f>COUNTIF($A$1:A1573,Loads[[#This Row],[Load]])</f>
        <v>7</v>
      </c>
      <c r="C1573" s="3" t="str">
        <f>Loads[[#This Row],[Load]]&amp;Loads[[#This Row],[Count]]</f>
        <v>44253Product27</v>
      </c>
      <c r="D1573" s="90">
        <v>44253</v>
      </c>
      <c r="E1573" s="143">
        <v>0.25625000000000003</v>
      </c>
      <c r="F1573" s="1" t="s">
        <v>9</v>
      </c>
      <c r="G1573" s="2" t="s">
        <v>13</v>
      </c>
      <c r="H1573" s="2" t="s">
        <v>42</v>
      </c>
      <c r="I1573" s="1" t="s">
        <v>11</v>
      </c>
      <c r="J1573" s="1" t="s">
        <v>8</v>
      </c>
      <c r="K1573" s="89">
        <v>11460</v>
      </c>
      <c r="L1573" s="3">
        <v>66.930000000000007</v>
      </c>
      <c r="M1573" s="3">
        <v>9.18</v>
      </c>
      <c r="N1573" s="3" t="s">
        <v>8</v>
      </c>
      <c r="O1573" s="3" t="s">
        <v>8</v>
      </c>
    </row>
    <row r="1574" spans="1:15" x14ac:dyDescent="0.35">
      <c r="A1574" s="5" t="str">
        <f>Loads[[#This Row],[Date]]&amp;Loads[[#This Row],[Product]]</f>
        <v>44253Product2</v>
      </c>
      <c r="B1574" s="5">
        <f>COUNTIF($A$1:A1574,Loads[[#This Row],[Load]])</f>
        <v>8</v>
      </c>
      <c r="C1574" s="3" t="str">
        <f>Loads[[#This Row],[Load]]&amp;Loads[[#This Row],[Count]]</f>
        <v>44253Product28</v>
      </c>
      <c r="D1574" s="90">
        <v>44253</v>
      </c>
      <c r="E1574" s="143">
        <v>0.90972222222222221</v>
      </c>
      <c r="F1574" s="1" t="s">
        <v>9</v>
      </c>
      <c r="G1574" s="2" t="s">
        <v>13</v>
      </c>
      <c r="H1574" s="2" t="s">
        <v>42</v>
      </c>
      <c r="I1574" s="1" t="s">
        <v>11</v>
      </c>
      <c r="J1574" s="1" t="s">
        <v>8</v>
      </c>
      <c r="K1574" s="89">
        <v>17340</v>
      </c>
      <c r="L1574" s="3">
        <v>63.93</v>
      </c>
      <c r="M1574" s="3">
        <v>10.220000000000001</v>
      </c>
      <c r="N1574" s="3" t="s">
        <v>8</v>
      </c>
      <c r="O1574" s="3" t="s">
        <v>8</v>
      </c>
    </row>
    <row r="1575" spans="1:15" x14ac:dyDescent="0.35">
      <c r="A1575" s="5" t="str">
        <f>Loads[[#This Row],[Date]]&amp;Loads[[#This Row],[Product]]</f>
        <v>44253Product2</v>
      </c>
      <c r="B1575" s="5">
        <f>COUNTIF($A$1:A1575,Loads[[#This Row],[Load]])</f>
        <v>9</v>
      </c>
      <c r="C1575" s="3" t="str">
        <f>Loads[[#This Row],[Load]]&amp;Loads[[#This Row],[Count]]</f>
        <v>44253Product29</v>
      </c>
      <c r="D1575" s="90">
        <v>44253</v>
      </c>
      <c r="E1575" s="143">
        <v>0.94791666666666663</v>
      </c>
      <c r="F1575" s="1" t="s">
        <v>9</v>
      </c>
      <c r="G1575" s="2" t="s">
        <v>13</v>
      </c>
      <c r="H1575" s="2" t="s">
        <v>42</v>
      </c>
      <c r="I1575" s="1" t="s">
        <v>11</v>
      </c>
      <c r="J1575" s="1" t="s">
        <v>8</v>
      </c>
      <c r="K1575" s="89">
        <v>11860</v>
      </c>
      <c r="L1575" s="3">
        <v>63.25</v>
      </c>
      <c r="M1575" s="3">
        <v>9.69</v>
      </c>
      <c r="N1575" s="3" t="s">
        <v>8</v>
      </c>
      <c r="O1575" s="3" t="s">
        <v>8</v>
      </c>
    </row>
    <row r="1576" spans="1:15" x14ac:dyDescent="0.35">
      <c r="A1576" s="5" t="str">
        <f>Loads[[#This Row],[Date]]&amp;Loads[[#This Row],[Product]]</f>
        <v>44254Product1</v>
      </c>
      <c r="B1576" s="5">
        <f>COUNTIF($A$1:A1576,Loads[[#This Row],[Load]])</f>
        <v>1</v>
      </c>
      <c r="C1576" s="3" t="str">
        <f>Loads[[#This Row],[Load]]&amp;Loads[[#This Row],[Count]]</f>
        <v>44254Product11</v>
      </c>
      <c r="D1576" s="90">
        <v>44254</v>
      </c>
      <c r="E1576" s="143">
        <v>0.1111111111111111</v>
      </c>
      <c r="F1576" s="1" t="s">
        <v>9</v>
      </c>
      <c r="G1576" s="2" t="s">
        <v>12</v>
      </c>
      <c r="H1576" s="2" t="s">
        <v>42</v>
      </c>
      <c r="I1576" s="1" t="s">
        <v>11</v>
      </c>
      <c r="J1576" s="1" t="s">
        <v>8</v>
      </c>
      <c r="K1576" s="89">
        <v>23480</v>
      </c>
      <c r="L1576" s="3">
        <v>9.85</v>
      </c>
      <c r="M1576" s="3">
        <v>21.75</v>
      </c>
      <c r="N1576" s="3" t="s">
        <v>8</v>
      </c>
      <c r="O1576" s="3" t="s">
        <v>8</v>
      </c>
    </row>
    <row r="1577" spans="1:15" x14ac:dyDescent="0.35">
      <c r="A1577" s="5" t="str">
        <f>Loads[[#This Row],[Date]]&amp;Loads[[#This Row],[Product]]</f>
        <v>44254Product8</v>
      </c>
      <c r="B1577" s="5">
        <f>COUNTIF($A$1:A1577,Loads[[#This Row],[Load]])</f>
        <v>1</v>
      </c>
      <c r="C1577" s="3" t="str">
        <f>Loads[[#This Row],[Load]]&amp;Loads[[#This Row],[Count]]</f>
        <v>44254Product81</v>
      </c>
      <c r="D1577" s="90">
        <v>44254</v>
      </c>
      <c r="E1577" s="143">
        <v>0.11180555555555556</v>
      </c>
      <c r="F1577" s="1" t="s">
        <v>9</v>
      </c>
      <c r="G1577" s="2" t="s">
        <v>19</v>
      </c>
      <c r="H1577" s="2" t="s">
        <v>42</v>
      </c>
      <c r="I1577" s="1" t="s">
        <v>11</v>
      </c>
      <c r="J1577" s="1" t="s">
        <v>8</v>
      </c>
      <c r="K1577" s="89">
        <v>15820</v>
      </c>
      <c r="L1577" s="3">
        <v>12.12</v>
      </c>
      <c r="M1577" s="3">
        <v>7.2</v>
      </c>
      <c r="N1577" s="3" t="s">
        <v>8</v>
      </c>
      <c r="O1577" s="3" t="s">
        <v>8</v>
      </c>
    </row>
    <row r="1578" spans="1:15" x14ac:dyDescent="0.35">
      <c r="A1578" s="5" t="str">
        <f>Loads[[#This Row],[Date]]&amp;Loads[[#This Row],[Product]]</f>
        <v>44254Product1</v>
      </c>
      <c r="B1578" s="5">
        <f>COUNTIF($A$1:A1578,Loads[[#This Row],[Load]])</f>
        <v>2</v>
      </c>
      <c r="C1578" s="3" t="str">
        <f>Loads[[#This Row],[Load]]&amp;Loads[[#This Row],[Count]]</f>
        <v>44254Product12</v>
      </c>
      <c r="D1578" s="90">
        <v>44254</v>
      </c>
      <c r="E1578" s="143">
        <v>0.11180555555555556</v>
      </c>
      <c r="F1578" s="1" t="s">
        <v>9</v>
      </c>
      <c r="G1578" s="2" t="s">
        <v>12</v>
      </c>
      <c r="H1578" s="2" t="s">
        <v>42</v>
      </c>
      <c r="I1578" s="1" t="s">
        <v>11</v>
      </c>
      <c r="J1578" s="1" t="s">
        <v>8</v>
      </c>
      <c r="K1578" s="89">
        <v>20400</v>
      </c>
      <c r="L1578" s="3">
        <v>8.7899999999999991</v>
      </c>
      <c r="M1578" s="3">
        <v>22.24</v>
      </c>
      <c r="N1578" s="3" t="s">
        <v>8</v>
      </c>
      <c r="O1578" s="3" t="s">
        <v>8</v>
      </c>
    </row>
    <row r="1579" spans="1:15" x14ac:dyDescent="0.35">
      <c r="A1579" s="5" t="str">
        <f>Loads[[#This Row],[Date]]&amp;Loads[[#This Row],[Product]]</f>
        <v>44254Product1</v>
      </c>
      <c r="B1579" s="5">
        <f>COUNTIF($A$1:A1579,Loads[[#This Row],[Load]])</f>
        <v>3</v>
      </c>
      <c r="C1579" s="3" t="str">
        <f>Loads[[#This Row],[Load]]&amp;Loads[[#This Row],[Count]]</f>
        <v>44254Product13</v>
      </c>
      <c r="D1579" s="90">
        <v>44254</v>
      </c>
      <c r="E1579" s="143">
        <v>0.1125</v>
      </c>
      <c r="F1579" s="1" t="s">
        <v>9</v>
      </c>
      <c r="G1579" s="2" t="s">
        <v>12</v>
      </c>
      <c r="H1579" s="2" t="s">
        <v>42</v>
      </c>
      <c r="I1579" s="1" t="s">
        <v>11</v>
      </c>
      <c r="J1579" s="1" t="s">
        <v>8</v>
      </c>
      <c r="K1579" s="89">
        <v>17760</v>
      </c>
      <c r="L1579" s="3">
        <v>8.92</v>
      </c>
      <c r="M1579" s="3">
        <v>21.7</v>
      </c>
      <c r="N1579" s="3" t="s">
        <v>8</v>
      </c>
      <c r="O1579" s="3" t="s">
        <v>8</v>
      </c>
    </row>
    <row r="1580" spans="1:15" x14ac:dyDescent="0.35">
      <c r="A1580" s="5" t="str">
        <f>Loads[[#This Row],[Date]]&amp;Loads[[#This Row],[Product]]</f>
        <v>44254Product1</v>
      </c>
      <c r="B1580" s="5">
        <f>COUNTIF($A$1:A1580,Loads[[#This Row],[Load]])</f>
        <v>4</v>
      </c>
      <c r="C1580" s="3" t="str">
        <f>Loads[[#This Row],[Load]]&amp;Loads[[#This Row],[Count]]</f>
        <v>44254Product14</v>
      </c>
      <c r="D1580" s="90">
        <v>44254</v>
      </c>
      <c r="E1580" s="143">
        <v>0.11319444444444444</v>
      </c>
      <c r="F1580" s="1" t="s">
        <v>9</v>
      </c>
      <c r="G1580" s="2" t="s">
        <v>12</v>
      </c>
      <c r="H1580" s="2" t="s">
        <v>42</v>
      </c>
      <c r="I1580" s="1" t="s">
        <v>11</v>
      </c>
      <c r="J1580" s="1" t="s">
        <v>8</v>
      </c>
      <c r="K1580" s="89">
        <v>18660</v>
      </c>
      <c r="L1580" s="3">
        <v>8.7799999999999994</v>
      </c>
      <c r="M1580" s="3">
        <v>22.52</v>
      </c>
      <c r="N1580" s="3" t="s">
        <v>8</v>
      </c>
      <c r="O1580" s="3" t="s">
        <v>8</v>
      </c>
    </row>
    <row r="1581" spans="1:15" x14ac:dyDescent="0.35">
      <c r="A1581" s="5" t="str">
        <f>Loads[[#This Row],[Date]]&amp;Loads[[#This Row],[Product]]</f>
        <v>44254Product1</v>
      </c>
      <c r="B1581" s="5">
        <f>COUNTIF($A$1:A1581,Loads[[#This Row],[Load]])</f>
        <v>5</v>
      </c>
      <c r="C1581" s="3" t="str">
        <f>Loads[[#This Row],[Load]]&amp;Loads[[#This Row],[Count]]</f>
        <v>44254Product15</v>
      </c>
      <c r="D1581" s="90">
        <v>44254</v>
      </c>
      <c r="E1581" s="143">
        <v>0.11388888888888889</v>
      </c>
      <c r="F1581" s="1" t="s">
        <v>9</v>
      </c>
      <c r="G1581" s="2" t="s">
        <v>12</v>
      </c>
      <c r="H1581" s="2" t="s">
        <v>42</v>
      </c>
      <c r="I1581" s="1" t="s">
        <v>11</v>
      </c>
      <c r="J1581" s="1" t="s">
        <v>8</v>
      </c>
      <c r="K1581" s="89">
        <v>19860</v>
      </c>
      <c r="L1581" s="3">
        <v>8.7200000000000006</v>
      </c>
      <c r="M1581" s="3">
        <v>21.35</v>
      </c>
      <c r="N1581" s="3" t="s">
        <v>8</v>
      </c>
      <c r="O1581" s="3" t="s">
        <v>8</v>
      </c>
    </row>
    <row r="1582" spans="1:15" x14ac:dyDescent="0.35">
      <c r="A1582" s="5" t="str">
        <f>Loads[[#This Row],[Date]]&amp;Loads[[#This Row],[Product]]</f>
        <v>44254Product4</v>
      </c>
      <c r="B1582" s="5">
        <f>COUNTIF($A$1:A1582,Loads[[#This Row],[Load]])</f>
        <v>1</v>
      </c>
      <c r="C1582" s="3" t="str">
        <f>Loads[[#This Row],[Load]]&amp;Loads[[#This Row],[Count]]</f>
        <v>44254Product41</v>
      </c>
      <c r="D1582" s="90">
        <v>44254</v>
      </c>
      <c r="E1582" s="143">
        <v>0.11388888888888889</v>
      </c>
      <c r="F1582" s="1" t="s">
        <v>9</v>
      </c>
      <c r="G1582" s="2" t="s">
        <v>15</v>
      </c>
      <c r="H1582" s="2" t="s">
        <v>42</v>
      </c>
      <c r="I1582" s="1" t="s">
        <v>11</v>
      </c>
      <c r="J1582" s="1" t="s">
        <v>8</v>
      </c>
      <c r="K1582" s="89">
        <v>31320</v>
      </c>
      <c r="L1582" s="3">
        <v>10.039999999999999</v>
      </c>
      <c r="M1582" s="3">
        <v>61.01</v>
      </c>
      <c r="N1582" s="3" t="s">
        <v>8</v>
      </c>
      <c r="O1582" s="3" t="s">
        <v>8</v>
      </c>
    </row>
    <row r="1583" spans="1:15" x14ac:dyDescent="0.35">
      <c r="A1583" s="5" t="str">
        <f>Loads[[#This Row],[Date]]&amp;Loads[[#This Row],[Product]]</f>
        <v>44254Product6</v>
      </c>
      <c r="B1583" s="5">
        <f>COUNTIF($A$1:A1583,Loads[[#This Row],[Load]])</f>
        <v>1</v>
      </c>
      <c r="C1583" s="3" t="str">
        <f>Loads[[#This Row],[Load]]&amp;Loads[[#This Row],[Count]]</f>
        <v>44254Product61</v>
      </c>
      <c r="D1583" s="90">
        <v>44254</v>
      </c>
      <c r="E1583" s="143">
        <v>0.11458333333333333</v>
      </c>
      <c r="F1583" s="1" t="s">
        <v>9</v>
      </c>
      <c r="G1583" s="2" t="s">
        <v>17</v>
      </c>
      <c r="H1583" s="2" t="s">
        <v>42</v>
      </c>
      <c r="I1583" s="1" t="s">
        <v>11</v>
      </c>
      <c r="J1583" s="1" t="s">
        <v>8</v>
      </c>
      <c r="K1583" s="89">
        <v>31760</v>
      </c>
      <c r="L1583" s="3">
        <v>0.06</v>
      </c>
      <c r="M1583" s="3" t="s">
        <v>8</v>
      </c>
      <c r="N1583" s="3">
        <v>2.11</v>
      </c>
      <c r="O1583" s="3" t="s">
        <v>8</v>
      </c>
    </row>
    <row r="1584" spans="1:15" x14ac:dyDescent="0.35">
      <c r="A1584" s="5" t="str">
        <f>Loads[[#This Row],[Date]]&amp;Loads[[#This Row],[Product]]</f>
        <v>44254Product1</v>
      </c>
      <c r="B1584" s="5">
        <f>COUNTIF($A$1:A1584,Loads[[#This Row],[Load]])</f>
        <v>6</v>
      </c>
      <c r="C1584" s="3" t="str">
        <f>Loads[[#This Row],[Load]]&amp;Loads[[#This Row],[Count]]</f>
        <v>44254Product16</v>
      </c>
      <c r="D1584" s="90">
        <v>44254</v>
      </c>
      <c r="E1584" s="143">
        <v>0.11527777777777777</v>
      </c>
      <c r="F1584" s="1" t="s">
        <v>9</v>
      </c>
      <c r="G1584" s="2" t="s">
        <v>12</v>
      </c>
      <c r="H1584" s="2" t="s">
        <v>42</v>
      </c>
      <c r="I1584" s="1" t="s">
        <v>11</v>
      </c>
      <c r="J1584" s="1" t="s">
        <v>8</v>
      </c>
      <c r="K1584" s="89">
        <v>23880</v>
      </c>
      <c r="L1584" s="3">
        <v>8.43</v>
      </c>
      <c r="M1584" s="3">
        <v>21.38</v>
      </c>
      <c r="N1584" s="3" t="s">
        <v>8</v>
      </c>
      <c r="O1584" s="3" t="s">
        <v>8</v>
      </c>
    </row>
    <row r="1585" spans="1:15" x14ac:dyDescent="0.35">
      <c r="A1585" s="5" t="str">
        <f>Loads[[#This Row],[Date]]&amp;Loads[[#This Row],[Product]]</f>
        <v>44254Product7</v>
      </c>
      <c r="B1585" s="5">
        <f>COUNTIF($A$1:A1585,Loads[[#This Row],[Load]])</f>
        <v>1</v>
      </c>
      <c r="C1585" s="3" t="str">
        <f>Loads[[#This Row],[Load]]&amp;Loads[[#This Row],[Count]]</f>
        <v>44254Product71</v>
      </c>
      <c r="D1585" s="90">
        <v>44254</v>
      </c>
      <c r="E1585" s="143">
        <v>0.11597222222222221</v>
      </c>
      <c r="F1585" s="1" t="s">
        <v>9</v>
      </c>
      <c r="G1585" s="2" t="s">
        <v>18</v>
      </c>
      <c r="H1585" s="2" t="s">
        <v>42</v>
      </c>
      <c r="I1585" s="1" t="s">
        <v>11</v>
      </c>
      <c r="J1585" s="1" t="s">
        <v>8</v>
      </c>
      <c r="K1585" s="89">
        <v>26640</v>
      </c>
      <c r="L1585" s="3" t="s">
        <v>8</v>
      </c>
      <c r="M1585" s="3">
        <v>22.93</v>
      </c>
      <c r="N1585" s="3" t="s">
        <v>8</v>
      </c>
      <c r="O1585" s="3">
        <v>39.51</v>
      </c>
    </row>
    <row r="1586" spans="1:15" x14ac:dyDescent="0.35">
      <c r="A1586" s="5" t="str">
        <f>Loads[[#This Row],[Date]]&amp;Loads[[#This Row],[Product]]</f>
        <v>44254Product1</v>
      </c>
      <c r="B1586" s="5">
        <f>COUNTIF($A$1:A1586,Loads[[#This Row],[Load]])</f>
        <v>7</v>
      </c>
      <c r="C1586" s="3" t="str">
        <f>Loads[[#This Row],[Load]]&amp;Loads[[#This Row],[Count]]</f>
        <v>44254Product17</v>
      </c>
      <c r="D1586" s="90">
        <v>44254</v>
      </c>
      <c r="E1586" s="143">
        <v>0.1173611111111111</v>
      </c>
      <c r="F1586" s="1" t="s">
        <v>9</v>
      </c>
      <c r="G1586" s="2" t="s">
        <v>12</v>
      </c>
      <c r="H1586" s="2" t="s">
        <v>42</v>
      </c>
      <c r="I1586" s="1" t="s">
        <v>11</v>
      </c>
      <c r="J1586" s="1" t="s">
        <v>8</v>
      </c>
      <c r="K1586" s="89">
        <v>26020</v>
      </c>
      <c r="L1586" s="3">
        <v>8.5500000000000007</v>
      </c>
      <c r="M1586" s="3">
        <v>21.12</v>
      </c>
      <c r="N1586" s="3" t="s">
        <v>8</v>
      </c>
      <c r="O1586" s="3" t="s">
        <v>8</v>
      </c>
    </row>
    <row r="1587" spans="1:15" x14ac:dyDescent="0.35">
      <c r="A1587" s="5" t="str">
        <f>Loads[[#This Row],[Date]]&amp;Loads[[#This Row],[Product]]</f>
        <v>44254Product1</v>
      </c>
      <c r="B1587" s="5">
        <f>COUNTIF($A$1:A1587,Loads[[#This Row],[Load]])</f>
        <v>8</v>
      </c>
      <c r="C1587" s="3" t="str">
        <f>Loads[[#This Row],[Load]]&amp;Loads[[#This Row],[Count]]</f>
        <v>44254Product18</v>
      </c>
      <c r="D1587" s="90">
        <v>44254</v>
      </c>
      <c r="E1587" s="143">
        <v>0.11944444444444445</v>
      </c>
      <c r="F1587" s="1" t="s">
        <v>9</v>
      </c>
      <c r="G1587" s="2" t="s">
        <v>12</v>
      </c>
      <c r="H1587" s="2" t="s">
        <v>42</v>
      </c>
      <c r="I1587" s="1" t="s">
        <v>11</v>
      </c>
      <c r="J1587" s="1" t="s">
        <v>8</v>
      </c>
      <c r="K1587" s="89">
        <v>17760</v>
      </c>
      <c r="L1587" s="3">
        <v>8.69</v>
      </c>
      <c r="M1587" s="3">
        <v>20.83</v>
      </c>
      <c r="N1587" s="3" t="s">
        <v>8</v>
      </c>
      <c r="O1587" s="3" t="s">
        <v>8</v>
      </c>
    </row>
    <row r="1588" spans="1:15" x14ac:dyDescent="0.35">
      <c r="A1588" s="5" t="str">
        <f>Loads[[#This Row],[Date]]&amp;Loads[[#This Row],[Product]]</f>
        <v>44254Product1</v>
      </c>
      <c r="B1588" s="5">
        <f>COUNTIF($A$1:A1588,Loads[[#This Row],[Load]])</f>
        <v>9</v>
      </c>
      <c r="C1588" s="3" t="str">
        <f>Loads[[#This Row],[Load]]&amp;Loads[[#This Row],[Count]]</f>
        <v>44254Product19</v>
      </c>
      <c r="D1588" s="90">
        <v>44254</v>
      </c>
      <c r="E1588" s="143">
        <v>0.12013888888888889</v>
      </c>
      <c r="F1588" s="1" t="s">
        <v>9</v>
      </c>
      <c r="G1588" s="2" t="s">
        <v>12</v>
      </c>
      <c r="H1588" s="2" t="s">
        <v>42</v>
      </c>
      <c r="I1588" s="1" t="s">
        <v>11</v>
      </c>
      <c r="J1588" s="1" t="s">
        <v>8</v>
      </c>
      <c r="K1588" s="89">
        <v>18700</v>
      </c>
      <c r="L1588" s="3">
        <v>9</v>
      </c>
      <c r="M1588" s="3">
        <v>21.12</v>
      </c>
      <c r="N1588" s="3" t="s">
        <v>8</v>
      </c>
      <c r="O1588" s="3" t="s">
        <v>8</v>
      </c>
    </row>
    <row r="1589" spans="1:15" x14ac:dyDescent="0.35">
      <c r="A1589" s="5" t="str">
        <f>Loads[[#This Row],[Date]]&amp;Loads[[#This Row],[Product]]</f>
        <v>44254Product1</v>
      </c>
      <c r="B1589" s="5">
        <f>COUNTIF($A$1:A1589,Loads[[#This Row],[Load]])</f>
        <v>10</v>
      </c>
      <c r="C1589" s="3" t="str">
        <f>Loads[[#This Row],[Load]]&amp;Loads[[#This Row],[Count]]</f>
        <v>44254Product110</v>
      </c>
      <c r="D1589" s="90">
        <v>44254</v>
      </c>
      <c r="E1589" s="143">
        <v>0.12083333333333333</v>
      </c>
      <c r="F1589" s="1" t="s">
        <v>9</v>
      </c>
      <c r="G1589" s="2" t="s">
        <v>12</v>
      </c>
      <c r="H1589" s="2" t="s">
        <v>42</v>
      </c>
      <c r="I1589" s="1" t="s">
        <v>11</v>
      </c>
      <c r="J1589" s="1" t="s">
        <v>8</v>
      </c>
      <c r="K1589" s="89">
        <v>20820</v>
      </c>
      <c r="L1589" s="3">
        <v>8.2200000000000006</v>
      </c>
      <c r="M1589" s="3">
        <v>21.04</v>
      </c>
      <c r="N1589" s="3" t="s">
        <v>8</v>
      </c>
      <c r="O1589" s="3" t="s">
        <v>8</v>
      </c>
    </row>
    <row r="1590" spans="1:15" x14ac:dyDescent="0.35">
      <c r="A1590" s="5" t="str">
        <f>Loads[[#This Row],[Date]]&amp;Loads[[#This Row],[Product]]</f>
        <v>44254Product4</v>
      </c>
      <c r="B1590" s="5">
        <f>COUNTIF($A$1:A1590,Loads[[#This Row],[Load]])</f>
        <v>2</v>
      </c>
      <c r="C1590" s="3" t="str">
        <f>Loads[[#This Row],[Load]]&amp;Loads[[#This Row],[Count]]</f>
        <v>44254Product42</v>
      </c>
      <c r="D1590" s="90">
        <v>44254</v>
      </c>
      <c r="E1590" s="143">
        <v>0.12361111111111112</v>
      </c>
      <c r="F1590" s="1" t="s">
        <v>9</v>
      </c>
      <c r="G1590" s="2" t="s">
        <v>15</v>
      </c>
      <c r="H1590" s="2" t="s">
        <v>42</v>
      </c>
      <c r="I1590" s="1" t="s">
        <v>11</v>
      </c>
      <c r="J1590" s="1" t="s">
        <v>8</v>
      </c>
      <c r="K1590" s="89">
        <v>26660</v>
      </c>
      <c r="L1590" s="3">
        <v>7.98</v>
      </c>
      <c r="M1590" s="3">
        <v>21.12</v>
      </c>
      <c r="N1590" s="3" t="s">
        <v>8</v>
      </c>
      <c r="O1590" s="3" t="s">
        <v>8</v>
      </c>
    </row>
    <row r="1591" spans="1:15" x14ac:dyDescent="0.35">
      <c r="A1591" s="5" t="str">
        <f>Loads[[#This Row],[Date]]&amp;Loads[[#This Row],[Product]]</f>
        <v>44254Product1</v>
      </c>
      <c r="B1591" s="5">
        <f>COUNTIF($A$1:A1591,Loads[[#This Row],[Load]])</f>
        <v>11</v>
      </c>
      <c r="C1591" s="3" t="str">
        <f>Loads[[#This Row],[Load]]&amp;Loads[[#This Row],[Count]]</f>
        <v>44254Product111</v>
      </c>
      <c r="D1591" s="90">
        <v>44254</v>
      </c>
      <c r="E1591" s="143">
        <v>0.125</v>
      </c>
      <c r="F1591" s="1" t="s">
        <v>9</v>
      </c>
      <c r="G1591" s="2" t="s">
        <v>12</v>
      </c>
      <c r="H1591" s="2" t="s">
        <v>42</v>
      </c>
      <c r="I1591" s="1" t="s">
        <v>10</v>
      </c>
      <c r="J1591" s="1">
        <v>925</v>
      </c>
      <c r="K1591" s="89">
        <v>36580</v>
      </c>
      <c r="L1591" s="3">
        <v>7.7</v>
      </c>
      <c r="M1591" s="3">
        <v>21.53</v>
      </c>
      <c r="N1591" s="3" t="s">
        <v>8</v>
      </c>
      <c r="O1591" s="3" t="s">
        <v>8</v>
      </c>
    </row>
    <row r="1592" spans="1:15" x14ac:dyDescent="0.35">
      <c r="A1592" s="5" t="str">
        <f>Loads[[#This Row],[Date]]&amp;Loads[[#This Row],[Product]]</f>
        <v>44254Product4</v>
      </c>
      <c r="B1592" s="5">
        <f>COUNTIF($A$1:A1592,Loads[[#This Row],[Load]])</f>
        <v>3</v>
      </c>
      <c r="C1592" s="3" t="str">
        <f>Loads[[#This Row],[Load]]&amp;Loads[[#This Row],[Count]]</f>
        <v>44254Product43</v>
      </c>
      <c r="D1592" s="90">
        <v>44254</v>
      </c>
      <c r="E1592" s="143">
        <v>0.1277777777777778</v>
      </c>
      <c r="F1592" s="1" t="s">
        <v>9</v>
      </c>
      <c r="G1592" s="2" t="s">
        <v>15</v>
      </c>
      <c r="H1592" s="2" t="s">
        <v>42</v>
      </c>
      <c r="I1592" s="1" t="s">
        <v>0</v>
      </c>
      <c r="J1592" s="1">
        <v>24</v>
      </c>
      <c r="K1592" s="89">
        <v>29920</v>
      </c>
      <c r="L1592" s="3">
        <v>8.6999999999999993</v>
      </c>
      <c r="M1592" s="3">
        <v>63.72</v>
      </c>
      <c r="N1592" s="3" t="s">
        <v>8</v>
      </c>
      <c r="O1592" s="3" t="s">
        <v>8</v>
      </c>
    </row>
    <row r="1593" spans="1:15" x14ac:dyDescent="0.35">
      <c r="A1593" s="5" t="str">
        <f>Loads[[#This Row],[Date]]&amp;Loads[[#This Row],[Product]]</f>
        <v>44254Product1</v>
      </c>
      <c r="B1593" s="5">
        <f>COUNTIF($A$1:A1593,Loads[[#This Row],[Load]])</f>
        <v>12</v>
      </c>
      <c r="C1593" s="3" t="str">
        <f>Loads[[#This Row],[Load]]&amp;Loads[[#This Row],[Count]]</f>
        <v>44254Product112</v>
      </c>
      <c r="D1593" s="90">
        <v>44254</v>
      </c>
      <c r="E1593" s="143">
        <v>0.12916666666666668</v>
      </c>
      <c r="F1593" s="1" t="s">
        <v>9</v>
      </c>
      <c r="G1593" s="2" t="s">
        <v>12</v>
      </c>
      <c r="H1593" s="2" t="s">
        <v>42</v>
      </c>
      <c r="I1593" s="1" t="s">
        <v>10</v>
      </c>
      <c r="J1593" s="1">
        <v>792</v>
      </c>
      <c r="K1593" s="89">
        <v>37340</v>
      </c>
      <c r="L1593" s="3">
        <v>9.77</v>
      </c>
      <c r="M1593" s="3">
        <v>21.37</v>
      </c>
      <c r="N1593" s="3" t="s">
        <v>8</v>
      </c>
      <c r="O1593" s="3" t="s">
        <v>8</v>
      </c>
    </row>
    <row r="1594" spans="1:15" x14ac:dyDescent="0.35">
      <c r="A1594" s="5" t="str">
        <f>Loads[[#This Row],[Date]]&amp;Loads[[#This Row],[Product]]</f>
        <v>44254Product1</v>
      </c>
      <c r="B1594" s="5">
        <f>COUNTIF($A$1:A1594,Loads[[#This Row],[Load]])</f>
        <v>13</v>
      </c>
      <c r="C1594" s="3" t="str">
        <f>Loads[[#This Row],[Load]]&amp;Loads[[#This Row],[Count]]</f>
        <v>44254Product113</v>
      </c>
      <c r="D1594" s="90">
        <v>44254</v>
      </c>
      <c r="E1594" s="143">
        <v>0.12986111111111112</v>
      </c>
      <c r="F1594" s="1" t="s">
        <v>9</v>
      </c>
      <c r="G1594" s="2" t="s">
        <v>12</v>
      </c>
      <c r="H1594" s="2" t="s">
        <v>42</v>
      </c>
      <c r="I1594" s="1" t="s">
        <v>11</v>
      </c>
      <c r="J1594" s="1" t="s">
        <v>8</v>
      </c>
      <c r="K1594" s="89">
        <v>20040</v>
      </c>
      <c r="L1594" s="3">
        <v>9.9</v>
      </c>
      <c r="M1594" s="3">
        <v>21.53</v>
      </c>
      <c r="N1594" s="3" t="s">
        <v>8</v>
      </c>
      <c r="O1594" s="3" t="s">
        <v>8</v>
      </c>
    </row>
    <row r="1595" spans="1:15" x14ac:dyDescent="0.35">
      <c r="A1595" s="5" t="str">
        <f>Loads[[#This Row],[Date]]&amp;Loads[[#This Row],[Product]]</f>
        <v>44255Product4</v>
      </c>
      <c r="B1595" s="5">
        <f>COUNTIF($A$1:A1595,Loads[[#This Row],[Load]])</f>
        <v>1</v>
      </c>
      <c r="C1595" s="3" t="str">
        <f>Loads[[#This Row],[Load]]&amp;Loads[[#This Row],[Count]]</f>
        <v>44255Product41</v>
      </c>
      <c r="D1595" s="90">
        <v>44255</v>
      </c>
      <c r="E1595" s="143">
        <v>0.14652777777777778</v>
      </c>
      <c r="F1595" s="1" t="s">
        <v>9</v>
      </c>
      <c r="G1595" s="2" t="s">
        <v>15</v>
      </c>
      <c r="H1595" s="2" t="s">
        <v>42</v>
      </c>
      <c r="I1595" s="1" t="s">
        <v>0</v>
      </c>
      <c r="J1595" s="1">
        <v>20</v>
      </c>
      <c r="K1595" s="89">
        <v>24580</v>
      </c>
      <c r="L1595" s="3">
        <v>10.53</v>
      </c>
      <c r="M1595" s="3">
        <v>62.55</v>
      </c>
      <c r="N1595" s="3" t="s">
        <v>8</v>
      </c>
      <c r="O1595" s="3" t="s">
        <v>8</v>
      </c>
    </row>
    <row r="1596" spans="1:15" x14ac:dyDescent="0.35">
      <c r="A1596" s="5" t="str">
        <f>Loads[[#This Row],[Date]]&amp;Loads[[#This Row],[Product]]</f>
        <v>44255Product1</v>
      </c>
      <c r="B1596" s="5">
        <f>COUNTIF($A$1:A1596,Loads[[#This Row],[Load]])</f>
        <v>1</v>
      </c>
      <c r="C1596" s="3" t="str">
        <f>Loads[[#This Row],[Load]]&amp;Loads[[#This Row],[Count]]</f>
        <v>44255Product11</v>
      </c>
      <c r="D1596" s="90">
        <v>44255</v>
      </c>
      <c r="E1596" s="143">
        <v>0.14722222222222223</v>
      </c>
      <c r="F1596" s="1" t="s">
        <v>9</v>
      </c>
      <c r="G1596" s="2" t="s">
        <v>12</v>
      </c>
      <c r="H1596" s="2" t="s">
        <v>42</v>
      </c>
      <c r="I1596" s="1" t="s">
        <v>10</v>
      </c>
      <c r="J1596" s="1">
        <v>752</v>
      </c>
      <c r="K1596" s="89">
        <v>30080</v>
      </c>
      <c r="L1596" s="3">
        <v>9.68</v>
      </c>
      <c r="M1596" s="3">
        <v>23.41</v>
      </c>
      <c r="N1596" s="3" t="s">
        <v>8</v>
      </c>
      <c r="O1596" s="3" t="s">
        <v>8</v>
      </c>
    </row>
    <row r="1597" spans="1:15" x14ac:dyDescent="0.35">
      <c r="A1597" s="5" t="str">
        <f>Loads[[#This Row],[Date]]&amp;Loads[[#This Row],[Product]]</f>
        <v>44255Product1</v>
      </c>
      <c r="B1597" s="5">
        <f>COUNTIF($A$1:A1597,Loads[[#This Row],[Load]])</f>
        <v>2</v>
      </c>
      <c r="C1597" s="3" t="str">
        <f>Loads[[#This Row],[Load]]&amp;Loads[[#This Row],[Count]]</f>
        <v>44255Product12</v>
      </c>
      <c r="D1597" s="90">
        <v>44255</v>
      </c>
      <c r="E1597" s="143">
        <v>0.14791666666666667</v>
      </c>
      <c r="F1597" s="1" t="s">
        <v>9</v>
      </c>
      <c r="G1597" s="2" t="s">
        <v>12</v>
      </c>
      <c r="H1597" s="2" t="s">
        <v>42</v>
      </c>
      <c r="I1597" s="1" t="s">
        <v>11</v>
      </c>
      <c r="J1597" s="1" t="s">
        <v>8</v>
      </c>
      <c r="K1597" s="89">
        <v>30360</v>
      </c>
      <c r="L1597" s="3">
        <v>8.68</v>
      </c>
      <c r="M1597" s="3">
        <v>22.83</v>
      </c>
      <c r="N1597" s="3" t="s">
        <v>8</v>
      </c>
      <c r="O1597" s="3" t="s">
        <v>8</v>
      </c>
    </row>
    <row r="1598" spans="1:15" x14ac:dyDescent="0.35">
      <c r="A1598" s="5" t="str">
        <f>Loads[[#This Row],[Date]]&amp;Loads[[#This Row],[Product]]</f>
        <v>44254Product2</v>
      </c>
      <c r="B1598" s="5">
        <f>COUNTIF($A$1:A1598,Loads[[#This Row],[Load]])</f>
        <v>1</v>
      </c>
      <c r="C1598" s="3" t="str">
        <f>Loads[[#This Row],[Load]]&amp;Loads[[#This Row],[Count]]</f>
        <v>44254Product21</v>
      </c>
      <c r="D1598" s="90">
        <v>44254</v>
      </c>
      <c r="E1598" s="143">
        <v>0.22291666666666665</v>
      </c>
      <c r="F1598" s="1" t="s">
        <v>9</v>
      </c>
      <c r="G1598" s="2" t="s">
        <v>13</v>
      </c>
      <c r="H1598" s="2" t="s">
        <v>42</v>
      </c>
      <c r="I1598" s="1" t="s">
        <v>11</v>
      </c>
      <c r="J1598" s="1" t="s">
        <v>8</v>
      </c>
      <c r="K1598" s="89">
        <v>11080</v>
      </c>
      <c r="L1598" s="3">
        <v>71.62</v>
      </c>
      <c r="M1598" s="3">
        <v>7.98</v>
      </c>
      <c r="N1598" s="3" t="s">
        <v>8</v>
      </c>
      <c r="O1598" s="3" t="s">
        <v>8</v>
      </c>
    </row>
    <row r="1599" spans="1:15" x14ac:dyDescent="0.35">
      <c r="A1599" s="5" t="str">
        <f>Loads[[#This Row],[Date]]&amp;Loads[[#This Row],[Product]]</f>
        <v>44254Product2</v>
      </c>
      <c r="B1599" s="5">
        <f>COUNTIF($A$1:A1599,Loads[[#This Row],[Load]])</f>
        <v>2</v>
      </c>
      <c r="C1599" s="3" t="str">
        <f>Loads[[#This Row],[Load]]&amp;Loads[[#This Row],[Count]]</f>
        <v>44254Product22</v>
      </c>
      <c r="D1599" s="90">
        <v>44254</v>
      </c>
      <c r="E1599" s="143">
        <v>0.22361111111111109</v>
      </c>
      <c r="F1599" s="1" t="s">
        <v>9</v>
      </c>
      <c r="G1599" s="2" t="s">
        <v>13</v>
      </c>
      <c r="H1599" s="2" t="s">
        <v>42</v>
      </c>
      <c r="I1599" s="1" t="s">
        <v>11</v>
      </c>
      <c r="J1599" s="1" t="s">
        <v>8</v>
      </c>
      <c r="K1599" s="89">
        <v>10140</v>
      </c>
      <c r="L1599" s="3">
        <v>60.12</v>
      </c>
      <c r="M1599" s="3">
        <v>8.89</v>
      </c>
      <c r="N1599" s="3" t="s">
        <v>8</v>
      </c>
      <c r="O1599" s="3" t="s">
        <v>8</v>
      </c>
    </row>
    <row r="1600" spans="1:15" x14ac:dyDescent="0.35">
      <c r="A1600" s="5" t="str">
        <f>Loads[[#This Row],[Date]]&amp;Loads[[#This Row],[Product]]</f>
        <v>44254Product2</v>
      </c>
      <c r="B1600" s="5">
        <f>COUNTIF($A$1:A1600,Loads[[#This Row],[Load]])</f>
        <v>3</v>
      </c>
      <c r="C1600" s="3" t="str">
        <f>Loads[[#This Row],[Load]]&amp;Loads[[#This Row],[Count]]</f>
        <v>44254Product23</v>
      </c>
      <c r="D1600" s="90">
        <v>44254</v>
      </c>
      <c r="E1600" s="143">
        <v>0.22361111111111109</v>
      </c>
      <c r="F1600" s="1" t="s">
        <v>9</v>
      </c>
      <c r="G1600" s="2" t="s">
        <v>13</v>
      </c>
      <c r="H1600" s="2" t="s">
        <v>42</v>
      </c>
      <c r="I1600" s="1" t="s">
        <v>11</v>
      </c>
      <c r="J1600" s="1" t="s">
        <v>8</v>
      </c>
      <c r="K1600" s="89">
        <v>13000</v>
      </c>
      <c r="L1600" s="3">
        <v>69.849999999999994</v>
      </c>
      <c r="M1600" s="3">
        <v>7.91</v>
      </c>
      <c r="N1600" s="3" t="s">
        <v>8</v>
      </c>
      <c r="O1600" s="3" t="s">
        <v>8</v>
      </c>
    </row>
    <row r="1601" spans="1:15" x14ac:dyDescent="0.35">
      <c r="A1601" s="5" t="str">
        <f>Loads[[#This Row],[Date]]&amp;Loads[[#This Row],[Product]]</f>
        <v>44254Product2</v>
      </c>
      <c r="B1601" s="5">
        <f>COUNTIF($A$1:A1601,Loads[[#This Row],[Load]])</f>
        <v>4</v>
      </c>
      <c r="C1601" s="3" t="str">
        <f>Loads[[#This Row],[Load]]&amp;Loads[[#This Row],[Count]]</f>
        <v>44254Product24</v>
      </c>
      <c r="D1601" s="90">
        <v>44254</v>
      </c>
      <c r="E1601" s="143">
        <v>0.22430555555555556</v>
      </c>
      <c r="F1601" s="1" t="s">
        <v>9</v>
      </c>
      <c r="G1601" s="2" t="s">
        <v>13</v>
      </c>
      <c r="H1601" s="2" t="s">
        <v>42</v>
      </c>
      <c r="I1601" s="1" t="s">
        <v>11</v>
      </c>
      <c r="J1601" s="1" t="s">
        <v>8</v>
      </c>
      <c r="K1601" s="89">
        <v>17420</v>
      </c>
      <c r="L1601" s="3">
        <v>61.28</v>
      </c>
      <c r="M1601" s="3">
        <v>12.17</v>
      </c>
      <c r="N1601" s="3" t="s">
        <v>8</v>
      </c>
      <c r="O1601" s="3" t="s">
        <v>8</v>
      </c>
    </row>
    <row r="1602" spans="1:15" x14ac:dyDescent="0.35">
      <c r="A1602" s="5" t="str">
        <f>Loads[[#This Row],[Date]]&amp;Loads[[#This Row],[Product]]</f>
        <v>44254Product2</v>
      </c>
      <c r="B1602" s="5">
        <f>COUNTIF($A$1:A1602,Loads[[#This Row],[Load]])</f>
        <v>5</v>
      </c>
      <c r="C1602" s="3" t="str">
        <f>Loads[[#This Row],[Load]]&amp;Loads[[#This Row],[Count]]</f>
        <v>44254Product25</v>
      </c>
      <c r="D1602" s="90">
        <v>44254</v>
      </c>
      <c r="E1602" s="143">
        <v>0.22500000000000001</v>
      </c>
      <c r="F1602" s="1" t="s">
        <v>9</v>
      </c>
      <c r="G1602" s="2" t="s">
        <v>13</v>
      </c>
      <c r="H1602" s="2" t="s">
        <v>42</v>
      </c>
      <c r="I1602" s="1" t="s">
        <v>11</v>
      </c>
      <c r="J1602" s="1" t="s">
        <v>8</v>
      </c>
      <c r="K1602" s="89">
        <v>11400</v>
      </c>
      <c r="L1602" s="3">
        <v>62.98</v>
      </c>
      <c r="M1602" s="3">
        <v>7.95</v>
      </c>
      <c r="N1602" s="3" t="s">
        <v>8</v>
      </c>
      <c r="O1602" s="3" t="s">
        <v>8</v>
      </c>
    </row>
    <row r="1603" spans="1:15" x14ac:dyDescent="0.35">
      <c r="A1603" s="5" t="str">
        <f>Loads[[#This Row],[Date]]&amp;Loads[[#This Row],[Product]]</f>
        <v>44254Product2</v>
      </c>
      <c r="B1603" s="5">
        <f>COUNTIF($A$1:A1603,Loads[[#This Row],[Load]])</f>
        <v>6</v>
      </c>
      <c r="C1603" s="3" t="str">
        <f>Loads[[#This Row],[Load]]&amp;Loads[[#This Row],[Count]]</f>
        <v>44254Product26</v>
      </c>
      <c r="D1603" s="90">
        <v>44254</v>
      </c>
      <c r="E1603" s="143">
        <v>0.22500000000000001</v>
      </c>
      <c r="F1603" s="1" t="s">
        <v>9</v>
      </c>
      <c r="G1603" s="2" t="s">
        <v>13</v>
      </c>
      <c r="H1603" s="2" t="s">
        <v>42</v>
      </c>
      <c r="I1603" s="1" t="s">
        <v>11</v>
      </c>
      <c r="J1603" s="1" t="s">
        <v>8</v>
      </c>
      <c r="K1603" s="89">
        <v>12560</v>
      </c>
      <c r="L1603" s="3">
        <v>69.39</v>
      </c>
      <c r="M1603" s="3">
        <v>8.08</v>
      </c>
      <c r="N1603" s="3" t="s">
        <v>8</v>
      </c>
      <c r="O1603" s="3" t="s">
        <v>8</v>
      </c>
    </row>
    <row r="1604" spans="1:15" x14ac:dyDescent="0.35">
      <c r="A1604" s="5" t="str">
        <f>Loads[[#This Row],[Date]]&amp;Loads[[#This Row],[Product]]</f>
        <v>44254Product2</v>
      </c>
      <c r="B1604" s="5">
        <f>COUNTIF($A$1:A1604,Loads[[#This Row],[Load]])</f>
        <v>7</v>
      </c>
      <c r="C1604" s="3" t="str">
        <f>Loads[[#This Row],[Load]]&amp;Loads[[#This Row],[Count]]</f>
        <v>44254Product27</v>
      </c>
      <c r="D1604" s="90">
        <v>44254</v>
      </c>
      <c r="E1604" s="143">
        <v>0.22569444444444445</v>
      </c>
      <c r="F1604" s="1" t="s">
        <v>9</v>
      </c>
      <c r="G1604" s="2" t="s">
        <v>13</v>
      </c>
      <c r="H1604" s="2" t="s">
        <v>42</v>
      </c>
      <c r="I1604" s="1" t="s">
        <v>11</v>
      </c>
      <c r="J1604" s="1" t="s">
        <v>8</v>
      </c>
      <c r="K1604" s="89">
        <v>15300</v>
      </c>
      <c r="L1604" s="3">
        <v>64.150000000000006</v>
      </c>
      <c r="M1604" s="3">
        <v>8.9700000000000006</v>
      </c>
      <c r="N1604" s="3" t="s">
        <v>8</v>
      </c>
      <c r="O1604" s="3" t="s">
        <v>8</v>
      </c>
    </row>
    <row r="1605" spans="1:15" x14ac:dyDescent="0.35">
      <c r="A1605" s="5" t="str">
        <f>Loads[[#This Row],[Date]]&amp;Loads[[#This Row],[Product]]</f>
        <v>44254Product2</v>
      </c>
      <c r="B1605" s="5">
        <f>COUNTIF($A$1:A1605,Loads[[#This Row],[Load]])</f>
        <v>8</v>
      </c>
      <c r="C1605" s="3" t="str">
        <f>Loads[[#This Row],[Load]]&amp;Loads[[#This Row],[Count]]</f>
        <v>44254Product28</v>
      </c>
      <c r="D1605" s="90">
        <v>44254</v>
      </c>
      <c r="E1605" s="143">
        <v>0.22638888888888889</v>
      </c>
      <c r="F1605" s="1" t="s">
        <v>9</v>
      </c>
      <c r="G1605" s="2" t="s">
        <v>13</v>
      </c>
      <c r="H1605" s="2" t="s">
        <v>42</v>
      </c>
      <c r="I1605" s="1" t="s">
        <v>11</v>
      </c>
      <c r="J1605" s="1" t="s">
        <v>8</v>
      </c>
      <c r="K1605" s="89">
        <v>10480</v>
      </c>
      <c r="L1605" s="3">
        <v>67.45</v>
      </c>
      <c r="M1605" s="3">
        <v>8.9700000000000006</v>
      </c>
      <c r="N1605" s="3" t="s">
        <v>8</v>
      </c>
      <c r="O1605" s="3" t="s">
        <v>8</v>
      </c>
    </row>
    <row r="1606" spans="1:15" x14ac:dyDescent="0.35">
      <c r="A1606" s="5" t="str">
        <f>Loads[[#This Row],[Date]]&amp;Loads[[#This Row],[Product]]</f>
        <v>44254Product2</v>
      </c>
      <c r="B1606" s="5">
        <f>COUNTIF($A$1:A1606,Loads[[#This Row],[Load]])</f>
        <v>9</v>
      </c>
      <c r="C1606" s="3" t="str">
        <f>Loads[[#This Row],[Load]]&amp;Loads[[#This Row],[Count]]</f>
        <v>44254Product29</v>
      </c>
      <c r="D1606" s="90">
        <v>44254</v>
      </c>
      <c r="E1606" s="143">
        <v>0.22708333333333333</v>
      </c>
      <c r="F1606" s="1" t="s">
        <v>9</v>
      </c>
      <c r="G1606" s="2" t="s">
        <v>13</v>
      </c>
      <c r="H1606" s="2" t="s">
        <v>42</v>
      </c>
      <c r="I1606" s="1" t="s">
        <v>11</v>
      </c>
      <c r="J1606" s="1" t="s">
        <v>8</v>
      </c>
      <c r="K1606" s="89">
        <v>10240</v>
      </c>
      <c r="L1606" s="3">
        <v>68.150000000000006</v>
      </c>
      <c r="M1606" s="3">
        <v>7.95</v>
      </c>
      <c r="N1606" s="3" t="s">
        <v>8</v>
      </c>
      <c r="O1606" s="3" t="s">
        <v>8</v>
      </c>
    </row>
    <row r="1607" spans="1:15" x14ac:dyDescent="0.35">
      <c r="A1607" s="5" t="str">
        <f>Loads[[#This Row],[Date]]&amp;Loads[[#This Row],[Product]]</f>
        <v>44254Product2</v>
      </c>
      <c r="B1607" s="5">
        <f>COUNTIF($A$1:A1607,Loads[[#This Row],[Load]])</f>
        <v>10</v>
      </c>
      <c r="C1607" s="3" t="str">
        <f>Loads[[#This Row],[Load]]&amp;Loads[[#This Row],[Count]]</f>
        <v>44254Product210</v>
      </c>
      <c r="D1607" s="90">
        <v>44254</v>
      </c>
      <c r="E1607" s="143">
        <v>0.22777777777777777</v>
      </c>
      <c r="F1607" s="1" t="s">
        <v>9</v>
      </c>
      <c r="G1607" s="2" t="s">
        <v>13</v>
      </c>
      <c r="H1607" s="2" t="s">
        <v>42</v>
      </c>
      <c r="I1607" s="1" t="s">
        <v>11</v>
      </c>
      <c r="J1607" s="1" t="s">
        <v>8</v>
      </c>
      <c r="K1607" s="89">
        <v>11780</v>
      </c>
      <c r="L1607" s="3">
        <v>59.09</v>
      </c>
      <c r="M1607" s="3">
        <v>11.12</v>
      </c>
      <c r="N1607" s="3" t="s">
        <v>8</v>
      </c>
      <c r="O1607" s="3" t="s">
        <v>8</v>
      </c>
    </row>
    <row r="1608" spans="1:15" x14ac:dyDescent="0.35">
      <c r="A1608" s="5" t="str">
        <f>Loads[[#This Row],[Date]]&amp;Loads[[#This Row],[Product]]</f>
        <v>44254Product2</v>
      </c>
      <c r="B1608" s="5">
        <f>COUNTIF($A$1:A1608,Loads[[#This Row],[Load]])</f>
        <v>11</v>
      </c>
      <c r="C1608" s="3" t="str">
        <f>Loads[[#This Row],[Load]]&amp;Loads[[#This Row],[Count]]</f>
        <v>44254Product211</v>
      </c>
      <c r="D1608" s="90">
        <v>44254</v>
      </c>
      <c r="E1608" s="143">
        <v>0.22777777777777777</v>
      </c>
      <c r="F1608" s="1" t="s">
        <v>9</v>
      </c>
      <c r="G1608" s="2" t="s">
        <v>13</v>
      </c>
      <c r="H1608" s="2" t="s">
        <v>42</v>
      </c>
      <c r="I1608" s="1" t="s">
        <v>11</v>
      </c>
      <c r="J1608" s="1" t="s">
        <v>8</v>
      </c>
      <c r="K1608" s="89">
        <v>13640</v>
      </c>
      <c r="L1608" s="3">
        <v>65.36</v>
      </c>
      <c r="M1608" s="3">
        <v>9.4600000000000009</v>
      </c>
      <c r="N1608" s="3" t="s">
        <v>8</v>
      </c>
      <c r="O1608" s="3" t="s">
        <v>8</v>
      </c>
    </row>
    <row r="1609" spans="1:15" x14ac:dyDescent="0.35">
      <c r="A1609" s="5" t="str">
        <f>Loads[[#This Row],[Date]]&amp;Loads[[#This Row],[Product]]</f>
        <v>44254Product2</v>
      </c>
      <c r="B1609" s="5">
        <f>COUNTIF($A$1:A1609,Loads[[#This Row],[Load]])</f>
        <v>12</v>
      </c>
      <c r="C1609" s="3" t="str">
        <f>Loads[[#This Row],[Load]]&amp;Loads[[#This Row],[Count]]</f>
        <v>44254Product212</v>
      </c>
      <c r="D1609" s="90">
        <v>44254</v>
      </c>
      <c r="E1609" s="143">
        <v>0.22847222222222222</v>
      </c>
      <c r="F1609" s="1" t="s">
        <v>9</v>
      </c>
      <c r="G1609" s="2" t="s">
        <v>13</v>
      </c>
      <c r="H1609" s="2" t="s">
        <v>42</v>
      </c>
      <c r="I1609" s="1" t="s">
        <v>11</v>
      </c>
      <c r="J1609" s="1" t="s">
        <v>8</v>
      </c>
      <c r="K1609" s="89">
        <v>16900</v>
      </c>
      <c r="L1609" s="3">
        <v>68.73</v>
      </c>
      <c r="M1609" s="3">
        <v>8.59</v>
      </c>
      <c r="N1609" s="3" t="s">
        <v>8</v>
      </c>
      <c r="O1609" s="3" t="s">
        <v>8</v>
      </c>
    </row>
    <row r="1610" spans="1:15" x14ac:dyDescent="0.35">
      <c r="A1610" s="5" t="str">
        <f>Loads[[#This Row],[Date]]&amp;Loads[[#This Row],[Product]]</f>
        <v>44255Product4</v>
      </c>
      <c r="B1610" s="5">
        <f>COUNTIF($A$1:A1610,Loads[[#This Row],[Load]])</f>
        <v>2</v>
      </c>
      <c r="C1610" s="3" t="str">
        <f>Loads[[#This Row],[Load]]&amp;Loads[[#This Row],[Count]]</f>
        <v>44255Product42</v>
      </c>
      <c r="D1610" s="90">
        <v>44255</v>
      </c>
      <c r="E1610" s="143">
        <v>5.2083333333333336E-2</v>
      </c>
      <c r="F1610" s="1" t="s">
        <v>9</v>
      </c>
      <c r="G1610" s="2" t="s">
        <v>15</v>
      </c>
      <c r="H1610" s="2" t="s">
        <v>42</v>
      </c>
      <c r="I1610" s="1" t="s">
        <v>0</v>
      </c>
      <c r="J1610" s="1">
        <v>22</v>
      </c>
      <c r="K1610" s="89">
        <v>27540</v>
      </c>
      <c r="L1610" s="3">
        <v>8.85</v>
      </c>
      <c r="M1610" s="3">
        <v>64.94</v>
      </c>
      <c r="N1610" s="3" t="s">
        <v>8</v>
      </c>
      <c r="O1610" s="3" t="s">
        <v>8</v>
      </c>
    </row>
    <row r="1611" spans="1:15" x14ac:dyDescent="0.35">
      <c r="A1611" s="5" t="str">
        <f>Loads[[#This Row],[Date]]&amp;Loads[[#This Row],[Product]]</f>
        <v>44255Product1</v>
      </c>
      <c r="B1611" s="5">
        <f>COUNTIF($A$1:A1611,Loads[[#This Row],[Load]])</f>
        <v>3</v>
      </c>
      <c r="C1611" s="3" t="str">
        <f>Loads[[#This Row],[Load]]&amp;Loads[[#This Row],[Count]]</f>
        <v>44255Product13</v>
      </c>
      <c r="D1611" s="90">
        <v>44255</v>
      </c>
      <c r="E1611" s="143">
        <v>5.347222222222222E-2</v>
      </c>
      <c r="F1611" s="1" t="s">
        <v>9</v>
      </c>
      <c r="G1611" s="2" t="s">
        <v>12</v>
      </c>
      <c r="H1611" s="2" t="s">
        <v>42</v>
      </c>
      <c r="I1611" s="1" t="s">
        <v>11</v>
      </c>
      <c r="J1611" s="1" t="s">
        <v>8</v>
      </c>
      <c r="K1611" s="89">
        <v>32060</v>
      </c>
      <c r="L1611" s="3">
        <v>7.48</v>
      </c>
      <c r="M1611" s="3">
        <v>20.63</v>
      </c>
      <c r="N1611" s="3" t="s">
        <v>8</v>
      </c>
      <c r="O1611" s="3" t="s">
        <v>8</v>
      </c>
    </row>
    <row r="1612" spans="1:15" x14ac:dyDescent="0.35">
      <c r="A1612" s="5" t="str">
        <f>Loads[[#This Row],[Date]]&amp;Loads[[#This Row],[Product]]</f>
        <v>44255Product4</v>
      </c>
      <c r="B1612" s="5">
        <f>COUNTIF($A$1:A1612,Loads[[#This Row],[Load]])</f>
        <v>3</v>
      </c>
      <c r="C1612" s="3" t="str">
        <f>Loads[[#This Row],[Load]]&amp;Loads[[#This Row],[Count]]</f>
        <v>44255Product43</v>
      </c>
      <c r="D1612" s="90">
        <v>44255</v>
      </c>
      <c r="E1612" s="143">
        <v>5.347222222222222E-2</v>
      </c>
      <c r="F1612" s="1" t="s">
        <v>9</v>
      </c>
      <c r="G1612" s="2" t="s">
        <v>15</v>
      </c>
      <c r="H1612" s="2" t="s">
        <v>42</v>
      </c>
      <c r="I1612" s="1" t="s">
        <v>11</v>
      </c>
      <c r="J1612" s="1" t="s">
        <v>8</v>
      </c>
      <c r="K1612" s="89">
        <v>31500</v>
      </c>
      <c r="L1612" s="3">
        <v>9.89</v>
      </c>
      <c r="M1612" s="3">
        <v>63.89</v>
      </c>
      <c r="N1612" s="3" t="s">
        <v>8</v>
      </c>
      <c r="O1612" s="3" t="s">
        <v>8</v>
      </c>
    </row>
    <row r="1613" spans="1:15" x14ac:dyDescent="0.35">
      <c r="A1613" s="5" t="str">
        <f>Loads[[#This Row],[Date]]&amp;Loads[[#This Row],[Product]]</f>
        <v>44255Product1</v>
      </c>
      <c r="B1613" s="5">
        <f>COUNTIF($A$1:A1613,Loads[[#This Row],[Load]])</f>
        <v>4</v>
      </c>
      <c r="C1613" s="3" t="str">
        <f>Loads[[#This Row],[Load]]&amp;Loads[[#This Row],[Count]]</f>
        <v>44255Product14</v>
      </c>
      <c r="D1613" s="90">
        <v>44255</v>
      </c>
      <c r="E1613" s="143">
        <v>5.486111111111111E-2</v>
      </c>
      <c r="F1613" s="1" t="s">
        <v>9</v>
      </c>
      <c r="G1613" s="2" t="s">
        <v>12</v>
      </c>
      <c r="H1613" s="2" t="s">
        <v>42</v>
      </c>
      <c r="I1613" s="1" t="s">
        <v>10</v>
      </c>
      <c r="J1613" s="1">
        <v>200</v>
      </c>
      <c r="K1613" s="89">
        <v>7940</v>
      </c>
      <c r="L1613" s="3">
        <v>9.92</v>
      </c>
      <c r="M1613" s="3">
        <v>21.08</v>
      </c>
      <c r="N1613" s="3" t="s">
        <v>8</v>
      </c>
      <c r="O1613" s="3" t="s">
        <v>8</v>
      </c>
    </row>
    <row r="1614" spans="1:15" x14ac:dyDescent="0.35">
      <c r="A1614" s="5" t="str">
        <f>Loads[[#This Row],[Date]]&amp;Loads[[#This Row],[Product]]</f>
        <v>44255Product8</v>
      </c>
      <c r="B1614" s="5">
        <f>COUNTIF($A$1:A1614,Loads[[#This Row],[Load]])</f>
        <v>1</v>
      </c>
      <c r="C1614" s="3" t="str">
        <f>Loads[[#This Row],[Load]]&amp;Loads[[#This Row],[Count]]</f>
        <v>44255Product81</v>
      </c>
      <c r="D1614" s="90">
        <v>44255</v>
      </c>
      <c r="E1614" s="143">
        <v>5.5555555555555552E-2</v>
      </c>
      <c r="F1614" s="1" t="s">
        <v>9</v>
      </c>
      <c r="G1614" s="2" t="s">
        <v>19</v>
      </c>
      <c r="H1614" s="2" t="s">
        <v>42</v>
      </c>
      <c r="I1614" s="1" t="s">
        <v>11</v>
      </c>
      <c r="J1614" s="1" t="s">
        <v>8</v>
      </c>
      <c r="K1614" s="89">
        <v>13560</v>
      </c>
      <c r="L1614" s="3">
        <v>11.29</v>
      </c>
      <c r="M1614" s="3">
        <v>7.2</v>
      </c>
      <c r="N1614" s="3" t="s">
        <v>8</v>
      </c>
      <c r="O1614" s="3" t="s">
        <v>8</v>
      </c>
    </row>
    <row r="1615" spans="1:15" x14ac:dyDescent="0.35">
      <c r="A1615" s="5" t="str">
        <f>Loads[[#This Row],[Date]]&amp;Loads[[#This Row],[Product]]</f>
        <v>44255Product1</v>
      </c>
      <c r="B1615" s="5">
        <f>COUNTIF($A$1:A1615,Loads[[#This Row],[Load]])</f>
        <v>5</v>
      </c>
      <c r="C1615" s="3" t="str">
        <f>Loads[[#This Row],[Load]]&amp;Loads[[#This Row],[Count]]</f>
        <v>44255Product15</v>
      </c>
      <c r="D1615" s="90">
        <v>44255</v>
      </c>
      <c r="E1615" s="143">
        <v>5.5555555555555552E-2</v>
      </c>
      <c r="F1615" s="1" t="s">
        <v>9</v>
      </c>
      <c r="G1615" s="2" t="s">
        <v>12</v>
      </c>
      <c r="H1615" s="2" t="s">
        <v>42</v>
      </c>
      <c r="I1615" s="1" t="s">
        <v>11</v>
      </c>
      <c r="J1615" s="1" t="s">
        <v>8</v>
      </c>
      <c r="K1615" s="89">
        <v>32080</v>
      </c>
      <c r="L1615" s="3">
        <v>7.98</v>
      </c>
      <c r="M1615" s="3">
        <v>22.97</v>
      </c>
      <c r="N1615" s="3" t="s">
        <v>8</v>
      </c>
      <c r="O1615" s="3" t="s">
        <v>8</v>
      </c>
    </row>
    <row r="1616" spans="1:15" x14ac:dyDescent="0.35">
      <c r="A1616" s="5" t="str">
        <f>Loads[[#This Row],[Date]]&amp;Loads[[#This Row],[Product]]</f>
        <v>44255Product1</v>
      </c>
      <c r="B1616" s="5">
        <f>COUNTIF($A$1:A1616,Loads[[#This Row],[Load]])</f>
        <v>6</v>
      </c>
      <c r="C1616" s="3" t="str">
        <f>Loads[[#This Row],[Load]]&amp;Loads[[#This Row],[Count]]</f>
        <v>44255Product16</v>
      </c>
      <c r="D1616" s="90">
        <v>44255</v>
      </c>
      <c r="E1616" s="143">
        <v>5.6250000000000001E-2</v>
      </c>
      <c r="F1616" s="1" t="s">
        <v>9</v>
      </c>
      <c r="G1616" s="2" t="s">
        <v>12</v>
      </c>
      <c r="H1616" s="2" t="s">
        <v>42</v>
      </c>
      <c r="I1616" s="1" t="s">
        <v>11</v>
      </c>
      <c r="J1616" s="1" t="s">
        <v>8</v>
      </c>
      <c r="K1616" s="89">
        <v>31780</v>
      </c>
      <c r="L1616" s="3">
        <v>9.19</v>
      </c>
      <c r="M1616" s="3">
        <v>22.11</v>
      </c>
      <c r="N1616" s="3" t="s">
        <v>8</v>
      </c>
      <c r="O1616" s="3" t="s">
        <v>8</v>
      </c>
    </row>
    <row r="1617" spans="1:15" x14ac:dyDescent="0.35">
      <c r="A1617" s="5" t="str">
        <f>Loads[[#This Row],[Date]]&amp;Loads[[#This Row],[Product]]</f>
        <v>44255Product1</v>
      </c>
      <c r="B1617" s="5">
        <f>COUNTIF($A$1:A1617,Loads[[#This Row],[Load]])</f>
        <v>7</v>
      </c>
      <c r="C1617" s="3" t="str">
        <f>Loads[[#This Row],[Load]]&amp;Loads[[#This Row],[Count]]</f>
        <v>44255Product17</v>
      </c>
      <c r="D1617" s="90">
        <v>44255</v>
      </c>
      <c r="E1617" s="143">
        <v>5.6944444444444443E-2</v>
      </c>
      <c r="F1617" s="1" t="s">
        <v>9</v>
      </c>
      <c r="G1617" s="2" t="s">
        <v>12</v>
      </c>
      <c r="H1617" s="2" t="s">
        <v>42</v>
      </c>
      <c r="I1617" s="1" t="s">
        <v>11</v>
      </c>
      <c r="J1617" s="1" t="s">
        <v>8</v>
      </c>
      <c r="K1617" s="89">
        <v>20860</v>
      </c>
      <c r="L1617" s="3">
        <v>6.97</v>
      </c>
      <c r="M1617" s="3">
        <v>22.9</v>
      </c>
      <c r="N1617" s="3" t="s">
        <v>8</v>
      </c>
      <c r="O1617" s="3" t="s">
        <v>8</v>
      </c>
    </row>
    <row r="1618" spans="1:15" x14ac:dyDescent="0.35">
      <c r="A1618" s="5" t="str">
        <f>Loads[[#This Row],[Date]]&amp;Loads[[#This Row],[Product]]</f>
        <v>44255Product1</v>
      </c>
      <c r="B1618" s="5">
        <f>COUNTIF($A$1:A1618,Loads[[#This Row],[Load]])</f>
        <v>8</v>
      </c>
      <c r="C1618" s="3" t="str">
        <f>Loads[[#This Row],[Load]]&amp;Loads[[#This Row],[Count]]</f>
        <v>44255Product18</v>
      </c>
      <c r="D1618" s="90">
        <v>44255</v>
      </c>
      <c r="E1618" s="143">
        <v>5.7638888888888885E-2</v>
      </c>
      <c r="F1618" s="1" t="s">
        <v>9</v>
      </c>
      <c r="G1618" s="2" t="s">
        <v>12</v>
      </c>
      <c r="H1618" s="2" t="s">
        <v>42</v>
      </c>
      <c r="I1618" s="1" t="s">
        <v>11</v>
      </c>
      <c r="J1618" s="1" t="s">
        <v>8</v>
      </c>
      <c r="K1618" s="89">
        <v>31680</v>
      </c>
      <c r="L1618" s="3">
        <v>8.58</v>
      </c>
      <c r="M1618" s="3">
        <v>22.25</v>
      </c>
      <c r="N1618" s="3" t="s">
        <v>8</v>
      </c>
      <c r="O1618" s="3" t="s">
        <v>8</v>
      </c>
    </row>
    <row r="1619" spans="1:15" x14ac:dyDescent="0.35">
      <c r="A1619" s="5" t="str">
        <f>Loads[[#This Row],[Date]]&amp;Loads[[#This Row],[Product]]</f>
        <v>44255Product1</v>
      </c>
      <c r="B1619" s="5">
        <f>COUNTIF($A$1:A1619,Loads[[#This Row],[Load]])</f>
        <v>9</v>
      </c>
      <c r="C1619" s="3" t="str">
        <f>Loads[[#This Row],[Load]]&amp;Loads[[#This Row],[Count]]</f>
        <v>44255Product19</v>
      </c>
      <c r="D1619" s="90">
        <v>44255</v>
      </c>
      <c r="E1619" s="143">
        <v>5.8333333333333327E-2</v>
      </c>
      <c r="F1619" s="1" t="s">
        <v>9</v>
      </c>
      <c r="G1619" s="2" t="s">
        <v>12</v>
      </c>
      <c r="H1619" s="2" t="s">
        <v>42</v>
      </c>
      <c r="I1619" s="1" t="s">
        <v>11</v>
      </c>
      <c r="J1619" s="1" t="s">
        <v>8</v>
      </c>
      <c r="K1619" s="89">
        <v>19340</v>
      </c>
      <c r="L1619" s="3">
        <v>9.16</v>
      </c>
      <c r="M1619" s="3">
        <v>22.73</v>
      </c>
      <c r="N1619" s="3" t="s">
        <v>8</v>
      </c>
      <c r="O1619" s="3" t="s">
        <v>8</v>
      </c>
    </row>
    <row r="1620" spans="1:15" x14ac:dyDescent="0.35">
      <c r="A1620" s="5" t="str">
        <f>Loads[[#This Row],[Date]]&amp;Loads[[#This Row],[Product]]</f>
        <v>44255Product1</v>
      </c>
      <c r="B1620" s="5">
        <f>COUNTIF($A$1:A1620,Loads[[#This Row],[Load]])</f>
        <v>10</v>
      </c>
      <c r="C1620" s="3" t="str">
        <f>Loads[[#This Row],[Load]]&amp;Loads[[#This Row],[Count]]</f>
        <v>44255Product110</v>
      </c>
      <c r="D1620" s="90">
        <v>44255</v>
      </c>
      <c r="E1620" s="143">
        <v>5.9027777777777783E-2</v>
      </c>
      <c r="F1620" s="1" t="s">
        <v>9</v>
      </c>
      <c r="G1620" s="2" t="s">
        <v>12</v>
      </c>
      <c r="H1620" s="2" t="s">
        <v>42</v>
      </c>
      <c r="I1620" s="1" t="s">
        <v>11</v>
      </c>
      <c r="J1620" s="1" t="s">
        <v>8</v>
      </c>
      <c r="K1620" s="89">
        <v>29200</v>
      </c>
      <c r="L1620" s="3">
        <v>7.33</v>
      </c>
      <c r="M1620" s="3">
        <v>23.11</v>
      </c>
      <c r="N1620" s="3" t="s">
        <v>8</v>
      </c>
      <c r="O1620" s="3" t="s">
        <v>8</v>
      </c>
    </row>
    <row r="1621" spans="1:15" x14ac:dyDescent="0.35">
      <c r="A1621" s="5" t="str">
        <f>Loads[[#This Row],[Date]]&amp;Loads[[#This Row],[Product]]</f>
        <v>44255Product1</v>
      </c>
      <c r="B1621" s="5">
        <f>COUNTIF($A$1:A1621,Loads[[#This Row],[Load]])</f>
        <v>11</v>
      </c>
      <c r="C1621" s="3" t="str">
        <f>Loads[[#This Row],[Load]]&amp;Loads[[#This Row],[Count]]</f>
        <v>44255Product111</v>
      </c>
      <c r="D1621" s="90">
        <v>44255</v>
      </c>
      <c r="E1621" s="143">
        <v>5.9722222222222225E-2</v>
      </c>
      <c r="F1621" s="1" t="s">
        <v>9</v>
      </c>
      <c r="G1621" s="2" t="s">
        <v>12</v>
      </c>
      <c r="H1621" s="2" t="s">
        <v>42</v>
      </c>
      <c r="I1621" s="1" t="s">
        <v>11</v>
      </c>
      <c r="J1621" s="1" t="s">
        <v>8</v>
      </c>
      <c r="K1621" s="89">
        <v>21900</v>
      </c>
      <c r="L1621" s="3">
        <v>8.7100000000000009</v>
      </c>
      <c r="M1621" s="3">
        <v>22.31</v>
      </c>
      <c r="N1621" s="3" t="s">
        <v>8</v>
      </c>
      <c r="O1621" s="3" t="s">
        <v>8</v>
      </c>
    </row>
    <row r="1622" spans="1:15" x14ac:dyDescent="0.35">
      <c r="A1622" s="5" t="str">
        <f>Loads[[#This Row],[Date]]&amp;Loads[[#This Row],[Product]]</f>
        <v>44255Product1</v>
      </c>
      <c r="B1622" s="5">
        <f>COUNTIF($A$1:A1622,Loads[[#This Row],[Load]])</f>
        <v>12</v>
      </c>
      <c r="C1622" s="3" t="str">
        <f>Loads[[#This Row],[Load]]&amp;Loads[[#This Row],[Count]]</f>
        <v>44255Product112</v>
      </c>
      <c r="D1622" s="90">
        <v>44255</v>
      </c>
      <c r="E1622" s="143">
        <v>6.0416666666666667E-2</v>
      </c>
      <c r="F1622" s="1" t="s">
        <v>9</v>
      </c>
      <c r="G1622" s="2" t="s">
        <v>12</v>
      </c>
      <c r="H1622" s="2" t="s">
        <v>42</v>
      </c>
      <c r="I1622" s="1" t="s">
        <v>11</v>
      </c>
      <c r="J1622" s="1" t="s">
        <v>8</v>
      </c>
      <c r="K1622" s="89">
        <v>18740</v>
      </c>
      <c r="L1622" s="3">
        <v>8.81</v>
      </c>
      <c r="M1622" s="3">
        <v>22.14</v>
      </c>
      <c r="N1622" s="3" t="s">
        <v>8</v>
      </c>
      <c r="O1622" s="3" t="s">
        <v>8</v>
      </c>
    </row>
    <row r="1623" spans="1:15" x14ac:dyDescent="0.35">
      <c r="A1623" s="5" t="str">
        <f>Loads[[#This Row],[Date]]&amp;Loads[[#This Row],[Product]]</f>
        <v>44255Product1</v>
      </c>
      <c r="B1623" s="5">
        <f>COUNTIF($A$1:A1623,Loads[[#This Row],[Load]])</f>
        <v>13</v>
      </c>
      <c r="C1623" s="3" t="str">
        <f>Loads[[#This Row],[Load]]&amp;Loads[[#This Row],[Count]]</f>
        <v>44255Product113</v>
      </c>
      <c r="D1623" s="90">
        <v>44255</v>
      </c>
      <c r="E1623" s="143">
        <v>6.1111111111111116E-2</v>
      </c>
      <c r="F1623" s="1" t="s">
        <v>9</v>
      </c>
      <c r="G1623" s="2" t="s">
        <v>12</v>
      </c>
      <c r="H1623" s="2" t="s">
        <v>42</v>
      </c>
      <c r="I1623" s="1" t="s">
        <v>11</v>
      </c>
      <c r="J1623" s="1" t="s">
        <v>8</v>
      </c>
      <c r="K1623" s="89">
        <v>19920</v>
      </c>
      <c r="L1623" s="3">
        <v>8.6</v>
      </c>
      <c r="M1623" s="3">
        <v>22.11</v>
      </c>
      <c r="N1623" s="3" t="s">
        <v>8</v>
      </c>
      <c r="O1623" s="3" t="s">
        <v>8</v>
      </c>
    </row>
    <row r="1624" spans="1:15" x14ac:dyDescent="0.35">
      <c r="A1624" s="5" t="str">
        <f>Loads[[#This Row],[Date]]&amp;Loads[[#This Row],[Product]]</f>
        <v>44255Product4</v>
      </c>
      <c r="B1624" s="5">
        <f>COUNTIF($A$1:A1624,Loads[[#This Row],[Load]])</f>
        <v>4</v>
      </c>
      <c r="C1624" s="3" t="str">
        <f>Loads[[#This Row],[Load]]&amp;Loads[[#This Row],[Count]]</f>
        <v>44255Product44</v>
      </c>
      <c r="D1624" s="90">
        <v>44255</v>
      </c>
      <c r="E1624" s="143">
        <v>6.1805555555555558E-2</v>
      </c>
      <c r="F1624" s="1" t="s">
        <v>9</v>
      </c>
      <c r="G1624" s="2" t="s">
        <v>15</v>
      </c>
      <c r="H1624" s="2" t="s">
        <v>42</v>
      </c>
      <c r="I1624" s="1" t="s">
        <v>11</v>
      </c>
      <c r="J1624" s="1" t="s">
        <v>8</v>
      </c>
      <c r="K1624" s="89">
        <v>30920</v>
      </c>
      <c r="L1624" s="3">
        <v>10.210000000000001</v>
      </c>
      <c r="M1624" s="3">
        <v>64.319999999999993</v>
      </c>
      <c r="N1624" s="3" t="s">
        <v>8</v>
      </c>
      <c r="O1624" s="3" t="s">
        <v>8</v>
      </c>
    </row>
    <row r="1625" spans="1:15" x14ac:dyDescent="0.35">
      <c r="A1625" s="5" t="str">
        <f>Loads[[#This Row],[Date]]&amp;Loads[[#This Row],[Product]]</f>
        <v>44255Product2</v>
      </c>
      <c r="B1625" s="5">
        <f>COUNTIF($A$1:A1625,Loads[[#This Row],[Load]])</f>
        <v>1</v>
      </c>
      <c r="C1625" s="3" t="str">
        <f>Loads[[#This Row],[Load]]&amp;Loads[[#This Row],[Count]]</f>
        <v>44255Product21</v>
      </c>
      <c r="D1625" s="90">
        <v>44255</v>
      </c>
      <c r="E1625" s="143">
        <v>6.458333333333334E-2</v>
      </c>
      <c r="F1625" s="1" t="s">
        <v>9</v>
      </c>
      <c r="G1625" s="2" t="s">
        <v>13</v>
      </c>
      <c r="H1625" s="2" t="s">
        <v>42</v>
      </c>
      <c r="I1625" s="1" t="s">
        <v>11</v>
      </c>
      <c r="J1625" s="1" t="s">
        <v>8</v>
      </c>
      <c r="K1625" s="89">
        <v>12240</v>
      </c>
      <c r="L1625" s="3">
        <v>62.2</v>
      </c>
      <c r="M1625" s="3">
        <v>10.199999999999999</v>
      </c>
      <c r="N1625" s="3" t="s">
        <v>8</v>
      </c>
      <c r="O1625" s="3" t="s">
        <v>8</v>
      </c>
    </row>
    <row r="1626" spans="1:15" x14ac:dyDescent="0.35">
      <c r="A1626" s="5" t="str">
        <f>Loads[[#This Row],[Date]]&amp;Loads[[#This Row],[Product]]</f>
        <v>44255Product2</v>
      </c>
      <c r="B1626" s="5">
        <f>COUNTIF($A$1:A1626,Loads[[#This Row],[Load]])</f>
        <v>2</v>
      </c>
      <c r="C1626" s="3" t="str">
        <f>Loads[[#This Row],[Load]]&amp;Loads[[#This Row],[Count]]</f>
        <v>44255Product22</v>
      </c>
      <c r="D1626" s="90">
        <v>44255</v>
      </c>
      <c r="E1626" s="143">
        <v>6.5277777777777782E-2</v>
      </c>
      <c r="F1626" s="1" t="s">
        <v>9</v>
      </c>
      <c r="G1626" s="2" t="s">
        <v>13</v>
      </c>
      <c r="H1626" s="2" t="s">
        <v>42</v>
      </c>
      <c r="I1626" s="1" t="s">
        <v>11</v>
      </c>
      <c r="J1626" s="1" t="s">
        <v>8</v>
      </c>
      <c r="K1626" s="89">
        <v>11600</v>
      </c>
      <c r="L1626" s="3">
        <v>61.82</v>
      </c>
      <c r="M1626" s="3">
        <v>10.29</v>
      </c>
      <c r="N1626" s="3" t="s">
        <v>8</v>
      </c>
      <c r="O1626" s="3" t="s">
        <v>8</v>
      </c>
    </row>
    <row r="1627" spans="1:15" x14ac:dyDescent="0.35">
      <c r="A1627" s="5" t="str">
        <f>Loads[[#This Row],[Date]]&amp;Loads[[#This Row],[Product]]</f>
        <v>44255Product2</v>
      </c>
      <c r="B1627" s="5">
        <f>COUNTIF($A$1:A1627,Loads[[#This Row],[Load]])</f>
        <v>3</v>
      </c>
      <c r="C1627" s="3" t="str">
        <f>Loads[[#This Row],[Load]]&amp;Loads[[#This Row],[Count]]</f>
        <v>44255Product23</v>
      </c>
      <c r="D1627" s="90">
        <v>44255</v>
      </c>
      <c r="E1627" s="143">
        <v>6.5972222222222224E-2</v>
      </c>
      <c r="F1627" s="1" t="s">
        <v>9</v>
      </c>
      <c r="G1627" s="2" t="s">
        <v>13</v>
      </c>
      <c r="H1627" s="2" t="s">
        <v>42</v>
      </c>
      <c r="I1627" s="1" t="s">
        <v>11</v>
      </c>
      <c r="J1627" s="1" t="s">
        <v>8</v>
      </c>
      <c r="K1627" s="89">
        <v>16240</v>
      </c>
      <c r="L1627" s="3">
        <v>61.91</v>
      </c>
      <c r="M1627" s="3">
        <v>10.26</v>
      </c>
      <c r="N1627" s="3" t="s">
        <v>8</v>
      </c>
      <c r="O1627" s="3" t="s">
        <v>8</v>
      </c>
    </row>
    <row r="1628" spans="1:15" x14ac:dyDescent="0.35">
      <c r="A1628" s="5" t="str">
        <f>Loads[[#This Row],[Date]]&amp;Loads[[#This Row],[Product]]</f>
        <v>44255Product2</v>
      </c>
      <c r="B1628" s="5">
        <f>COUNTIF($A$1:A1628,Loads[[#This Row],[Load]])</f>
        <v>4</v>
      </c>
      <c r="C1628" s="3" t="str">
        <f>Loads[[#This Row],[Load]]&amp;Loads[[#This Row],[Count]]</f>
        <v>44255Product24</v>
      </c>
      <c r="D1628" s="90">
        <v>44255</v>
      </c>
      <c r="E1628" s="143">
        <v>6.6666666666666666E-2</v>
      </c>
      <c r="F1628" s="1" t="s">
        <v>9</v>
      </c>
      <c r="G1628" s="2" t="s">
        <v>13</v>
      </c>
      <c r="H1628" s="2" t="s">
        <v>42</v>
      </c>
      <c r="I1628" s="1" t="s">
        <v>11</v>
      </c>
      <c r="J1628" s="1" t="s">
        <v>8</v>
      </c>
      <c r="K1628" s="89">
        <v>9560</v>
      </c>
      <c r="L1628" s="3">
        <v>77.13</v>
      </c>
      <c r="M1628" s="3">
        <v>5.88</v>
      </c>
      <c r="N1628" s="3" t="s">
        <v>8</v>
      </c>
      <c r="O1628" s="3" t="s">
        <v>8</v>
      </c>
    </row>
    <row r="1629" spans="1:15" x14ac:dyDescent="0.35">
      <c r="A1629" s="5" t="str">
        <f>Loads[[#This Row],[Date]]&amp;Loads[[#This Row],[Product]]</f>
        <v>44255Product2</v>
      </c>
      <c r="B1629" s="5">
        <f>COUNTIF($A$1:A1629,Loads[[#This Row],[Load]])</f>
        <v>5</v>
      </c>
      <c r="C1629" s="3" t="str">
        <f>Loads[[#This Row],[Load]]&amp;Loads[[#This Row],[Count]]</f>
        <v>44255Product25</v>
      </c>
      <c r="D1629" s="90">
        <v>44255</v>
      </c>
      <c r="E1629" s="143">
        <v>6.7361111111111108E-2</v>
      </c>
      <c r="F1629" s="1" t="s">
        <v>9</v>
      </c>
      <c r="G1629" s="2" t="s">
        <v>13</v>
      </c>
      <c r="H1629" s="2" t="s">
        <v>42</v>
      </c>
      <c r="I1629" s="1" t="s">
        <v>11</v>
      </c>
      <c r="J1629" s="1" t="s">
        <v>8</v>
      </c>
      <c r="K1629" s="89">
        <v>11380</v>
      </c>
      <c r="L1629" s="3">
        <v>60.43</v>
      </c>
      <c r="M1629" s="3">
        <v>10.58</v>
      </c>
      <c r="N1629" s="3" t="s">
        <v>8</v>
      </c>
      <c r="O1629" s="3" t="s">
        <v>8</v>
      </c>
    </row>
    <row r="1630" spans="1:15" x14ac:dyDescent="0.35">
      <c r="A1630" s="5" t="str">
        <f>Loads[[#This Row],[Date]]&amp;Loads[[#This Row],[Product]]</f>
        <v>44255Product2</v>
      </c>
      <c r="B1630" s="5">
        <f>COUNTIF($A$1:A1630,Loads[[#This Row],[Load]])</f>
        <v>6</v>
      </c>
      <c r="C1630" s="3" t="str">
        <f>Loads[[#This Row],[Load]]&amp;Loads[[#This Row],[Count]]</f>
        <v>44255Product26</v>
      </c>
      <c r="D1630" s="90">
        <v>44255</v>
      </c>
      <c r="E1630" s="143">
        <v>7.013888888888889E-2</v>
      </c>
      <c r="F1630" s="1" t="s">
        <v>9</v>
      </c>
      <c r="G1630" s="2" t="s">
        <v>13</v>
      </c>
      <c r="H1630" s="2" t="s">
        <v>42</v>
      </c>
      <c r="I1630" s="1" t="s">
        <v>11</v>
      </c>
      <c r="J1630" s="1" t="s">
        <v>8</v>
      </c>
      <c r="K1630" s="89">
        <v>11740</v>
      </c>
      <c r="L1630" s="3">
        <v>63.63</v>
      </c>
      <c r="M1630" s="3">
        <v>10.1</v>
      </c>
      <c r="N1630" s="3" t="s">
        <v>8</v>
      </c>
      <c r="O1630" s="3" t="s">
        <v>8</v>
      </c>
    </row>
    <row r="1631" spans="1:15" x14ac:dyDescent="0.35">
      <c r="A1631" s="5" t="str">
        <f>Loads[[#This Row],[Date]]&amp;Loads[[#This Row],[Product]]</f>
        <v>44255Product2</v>
      </c>
      <c r="B1631" s="5">
        <f>COUNTIF($A$1:A1631,Loads[[#This Row],[Load]])</f>
        <v>7</v>
      </c>
      <c r="C1631" s="3" t="str">
        <f>Loads[[#This Row],[Load]]&amp;Loads[[#This Row],[Count]]</f>
        <v>44255Product27</v>
      </c>
      <c r="D1631" s="90">
        <v>44255</v>
      </c>
      <c r="E1631" s="143">
        <v>7.013888888888889E-2</v>
      </c>
      <c r="F1631" s="1" t="s">
        <v>9</v>
      </c>
      <c r="G1631" s="2" t="s">
        <v>13</v>
      </c>
      <c r="H1631" s="2" t="s">
        <v>42</v>
      </c>
      <c r="I1631" s="1" t="s">
        <v>11</v>
      </c>
      <c r="J1631" s="1" t="s">
        <v>8</v>
      </c>
      <c r="K1631" s="89">
        <v>15100</v>
      </c>
      <c r="L1631" s="3">
        <v>60.15</v>
      </c>
      <c r="M1631" s="3">
        <v>10.51</v>
      </c>
      <c r="N1631" s="3" t="s">
        <v>8</v>
      </c>
      <c r="O1631" s="3" t="s">
        <v>8</v>
      </c>
    </row>
    <row r="1632" spans="1:15" x14ac:dyDescent="0.35">
      <c r="A1632" s="5" t="str">
        <f>Loads[[#This Row],[Date]]&amp;Loads[[#This Row],[Product]]</f>
        <v>44255Product2</v>
      </c>
      <c r="B1632" s="5">
        <f>COUNTIF($A$1:A1632,Loads[[#This Row],[Load]])</f>
        <v>8</v>
      </c>
      <c r="C1632" s="3" t="str">
        <f>Loads[[#This Row],[Load]]&amp;Loads[[#This Row],[Count]]</f>
        <v>44255Product28</v>
      </c>
      <c r="D1632" s="90">
        <v>44255</v>
      </c>
      <c r="E1632" s="143">
        <v>7.0833333333333331E-2</v>
      </c>
      <c r="F1632" s="1" t="s">
        <v>9</v>
      </c>
      <c r="G1632" s="2" t="s">
        <v>13</v>
      </c>
      <c r="H1632" s="2" t="s">
        <v>42</v>
      </c>
      <c r="I1632" s="1" t="s">
        <v>11</v>
      </c>
      <c r="J1632" s="1" t="s">
        <v>8</v>
      </c>
      <c r="K1632" s="89">
        <v>11860</v>
      </c>
      <c r="L1632" s="3">
        <v>60.12</v>
      </c>
      <c r="M1632" s="3">
        <v>10.25</v>
      </c>
      <c r="N1632" s="3" t="s">
        <v>8</v>
      </c>
      <c r="O1632" s="3" t="s">
        <v>8</v>
      </c>
    </row>
    <row r="1633" spans="1:15" x14ac:dyDescent="0.35">
      <c r="A1633" s="5" t="str">
        <f>Loads[[#This Row],[Date]]&amp;Loads[[#This Row],[Product]]</f>
        <v>44255Product2</v>
      </c>
      <c r="B1633" s="5">
        <f>COUNTIF($A$1:A1633,Loads[[#This Row],[Load]])</f>
        <v>9</v>
      </c>
      <c r="C1633" s="3" t="str">
        <f>Loads[[#This Row],[Load]]&amp;Loads[[#This Row],[Count]]</f>
        <v>44255Product29</v>
      </c>
      <c r="D1633" s="90">
        <v>44255</v>
      </c>
      <c r="E1633" s="143">
        <v>7.1527777777777787E-2</v>
      </c>
      <c r="F1633" s="1" t="s">
        <v>9</v>
      </c>
      <c r="G1633" s="2" t="s">
        <v>13</v>
      </c>
      <c r="H1633" s="2" t="s">
        <v>42</v>
      </c>
      <c r="I1633" s="1" t="s">
        <v>11</v>
      </c>
      <c r="J1633" s="1" t="s">
        <v>8</v>
      </c>
      <c r="K1633" s="89">
        <v>12200</v>
      </c>
      <c r="L1633" s="3">
        <v>64.31</v>
      </c>
      <c r="M1633" s="3">
        <v>9.67</v>
      </c>
      <c r="N1633" s="3" t="s">
        <v>8</v>
      </c>
      <c r="O1633" s="3" t="s">
        <v>8</v>
      </c>
    </row>
    <row r="1634" spans="1:15" x14ac:dyDescent="0.35">
      <c r="A1634" s="5" t="str">
        <f>Loads[[#This Row],[Date]]&amp;Loads[[#This Row],[Product]]</f>
        <v>44256Product1</v>
      </c>
      <c r="B1634" s="5">
        <f>COUNTIF($A$1:A1634,Loads[[#This Row],[Load]])</f>
        <v>1</v>
      </c>
      <c r="C1634" s="3" t="str">
        <f>Loads[[#This Row],[Load]]&amp;Loads[[#This Row],[Count]]</f>
        <v>44256Product11</v>
      </c>
      <c r="D1634" s="90">
        <v>44256</v>
      </c>
      <c r="E1634" s="143">
        <v>0.99791666666666667</v>
      </c>
      <c r="F1634" s="1" t="s">
        <v>9</v>
      </c>
      <c r="G1634" s="2" t="s">
        <v>12</v>
      </c>
      <c r="H1634" s="2" t="s">
        <v>42</v>
      </c>
      <c r="I1634" s="1" t="s">
        <v>11</v>
      </c>
      <c r="J1634" s="1" t="s">
        <v>8</v>
      </c>
      <c r="K1634" s="89">
        <v>18100</v>
      </c>
      <c r="L1634" s="3">
        <v>7.42</v>
      </c>
      <c r="M1634" s="3">
        <v>21.69</v>
      </c>
      <c r="N1634" s="3" t="s">
        <v>8</v>
      </c>
      <c r="O1634" s="3" t="s">
        <v>8</v>
      </c>
    </row>
    <row r="1635" spans="1:15" x14ac:dyDescent="0.35">
      <c r="A1635" s="5" t="str">
        <f>Loads[[#This Row],[Date]]&amp;Loads[[#This Row],[Product]]</f>
        <v>44256Product1</v>
      </c>
      <c r="B1635" s="5">
        <f>COUNTIF($A$1:A1635,Loads[[#This Row],[Load]])</f>
        <v>2</v>
      </c>
      <c r="C1635" s="3" t="str">
        <f>Loads[[#This Row],[Load]]&amp;Loads[[#This Row],[Count]]</f>
        <v>44256Product12</v>
      </c>
      <c r="D1635" s="90">
        <v>44256</v>
      </c>
      <c r="E1635" s="143">
        <v>0.99791666666666667</v>
      </c>
      <c r="F1635" s="1" t="s">
        <v>9</v>
      </c>
      <c r="G1635" s="2" t="s">
        <v>12</v>
      </c>
      <c r="H1635" s="2" t="s">
        <v>42</v>
      </c>
      <c r="I1635" s="1" t="s">
        <v>11</v>
      </c>
      <c r="J1635" s="1" t="s">
        <v>8</v>
      </c>
      <c r="K1635" s="89">
        <v>31740</v>
      </c>
      <c r="L1635" s="3">
        <v>8.0399999999999991</v>
      </c>
      <c r="M1635" s="3">
        <v>21.79</v>
      </c>
      <c r="N1635" s="3" t="s">
        <v>8</v>
      </c>
      <c r="O1635" s="3" t="s">
        <v>8</v>
      </c>
    </row>
    <row r="1636" spans="1:15" x14ac:dyDescent="0.35">
      <c r="A1636" s="5" t="str">
        <f>Loads[[#This Row],[Date]]&amp;Loads[[#This Row],[Product]]</f>
        <v>44256Product1</v>
      </c>
      <c r="B1636" s="5">
        <f>COUNTIF($A$1:A1636,Loads[[#This Row],[Load]])</f>
        <v>3</v>
      </c>
      <c r="C1636" s="3" t="str">
        <f>Loads[[#This Row],[Load]]&amp;Loads[[#This Row],[Count]]</f>
        <v>44256Product13</v>
      </c>
      <c r="D1636" s="90">
        <v>44256</v>
      </c>
      <c r="E1636" s="143">
        <v>0.99861111111111101</v>
      </c>
      <c r="F1636" s="1" t="s">
        <v>9</v>
      </c>
      <c r="G1636" s="2" t="s">
        <v>12</v>
      </c>
      <c r="H1636" s="2" t="s">
        <v>42</v>
      </c>
      <c r="I1636" s="1" t="s">
        <v>11</v>
      </c>
      <c r="J1636" s="1" t="s">
        <v>8</v>
      </c>
      <c r="K1636" s="89">
        <v>23440</v>
      </c>
      <c r="L1636" s="3">
        <v>7.43</v>
      </c>
      <c r="M1636" s="3">
        <v>22.23</v>
      </c>
      <c r="N1636" s="3" t="s">
        <v>8</v>
      </c>
      <c r="O1636" s="3" t="s">
        <v>8</v>
      </c>
    </row>
    <row r="1637" spans="1:15" x14ac:dyDescent="0.35">
      <c r="A1637" s="5" t="str">
        <f>Loads[[#This Row],[Date]]&amp;Loads[[#This Row],[Product]]</f>
        <v>44256Product6</v>
      </c>
      <c r="B1637" s="5">
        <f>COUNTIF($A$1:A1637,Loads[[#This Row],[Load]])</f>
        <v>1</v>
      </c>
      <c r="C1637" s="3" t="str">
        <f>Loads[[#This Row],[Load]]&amp;Loads[[#This Row],[Count]]</f>
        <v>44256Product61</v>
      </c>
      <c r="D1637" s="90">
        <v>44256</v>
      </c>
      <c r="E1637" s="143">
        <v>0.99930555555555556</v>
      </c>
      <c r="F1637" s="1" t="s">
        <v>9</v>
      </c>
      <c r="G1637" s="2" t="s">
        <v>17</v>
      </c>
      <c r="H1637" s="2" t="s">
        <v>42</v>
      </c>
      <c r="I1637" s="1" t="s">
        <v>11</v>
      </c>
      <c r="J1637" s="1" t="s">
        <v>8</v>
      </c>
      <c r="K1637" s="89">
        <v>33480</v>
      </c>
      <c r="L1637" s="3">
        <v>7.0000000000000007E-2</v>
      </c>
      <c r="M1637" s="3" t="s">
        <v>8</v>
      </c>
      <c r="N1637" s="3">
        <v>2.23</v>
      </c>
      <c r="O1637" s="3" t="s">
        <v>8</v>
      </c>
    </row>
    <row r="1638" spans="1:15" x14ac:dyDescent="0.35">
      <c r="A1638" s="5" t="str">
        <f>Loads[[#This Row],[Date]]&amp;Loads[[#This Row],[Product]]</f>
        <v>44256Product1</v>
      </c>
      <c r="B1638" s="5">
        <f>COUNTIF($A$1:A1638,Loads[[#This Row],[Load]])</f>
        <v>4</v>
      </c>
      <c r="C1638" s="3" t="str">
        <f>Loads[[#This Row],[Load]]&amp;Loads[[#This Row],[Count]]</f>
        <v>44256Product14</v>
      </c>
      <c r="D1638" s="90">
        <v>44256</v>
      </c>
      <c r="E1638" s="143">
        <v>0.99930555555555556</v>
      </c>
      <c r="F1638" s="1" t="s">
        <v>9</v>
      </c>
      <c r="G1638" s="2" t="s">
        <v>12</v>
      </c>
      <c r="H1638" s="2" t="s">
        <v>42</v>
      </c>
      <c r="I1638" s="1" t="s">
        <v>11</v>
      </c>
      <c r="J1638" s="1" t="s">
        <v>8</v>
      </c>
      <c r="K1638" s="89">
        <v>18960</v>
      </c>
      <c r="L1638" s="3">
        <v>8.61</v>
      </c>
      <c r="M1638" s="3">
        <v>23.23</v>
      </c>
      <c r="N1638" s="3" t="s">
        <v>8</v>
      </c>
      <c r="O1638" s="3" t="s">
        <v>8</v>
      </c>
    </row>
    <row r="1639" spans="1:15" x14ac:dyDescent="0.35">
      <c r="A1639" s="5" t="str">
        <f>Loads[[#This Row],[Date]]&amp;Loads[[#This Row],[Product]]</f>
        <v>44256Product4</v>
      </c>
      <c r="B1639" s="5">
        <f>COUNTIF($A$1:A1639,Loads[[#This Row],[Load]])</f>
        <v>1</v>
      </c>
      <c r="C1639" s="3" t="str">
        <f>Loads[[#This Row],[Load]]&amp;Loads[[#This Row],[Count]]</f>
        <v>44256Product41</v>
      </c>
      <c r="D1639" s="90">
        <v>44256</v>
      </c>
      <c r="E1639" s="143">
        <v>0</v>
      </c>
      <c r="F1639" s="1" t="s">
        <v>9</v>
      </c>
      <c r="G1639" s="2" t="s">
        <v>15</v>
      </c>
      <c r="H1639" s="2" t="s">
        <v>42</v>
      </c>
      <c r="I1639" s="1" t="s">
        <v>11</v>
      </c>
      <c r="J1639" s="1" t="s">
        <v>8</v>
      </c>
      <c r="K1639" s="89">
        <v>36800</v>
      </c>
      <c r="L1639" s="3">
        <v>9.33</v>
      </c>
      <c r="M1639" s="3">
        <v>64.930000000000007</v>
      </c>
      <c r="N1639" s="3" t="s">
        <v>8</v>
      </c>
      <c r="O1639" s="3" t="s">
        <v>8</v>
      </c>
    </row>
    <row r="1640" spans="1:15" x14ac:dyDescent="0.35">
      <c r="A1640" s="5" t="str">
        <f>Loads[[#This Row],[Date]]&amp;Loads[[#This Row],[Product]]</f>
        <v>44256Product4</v>
      </c>
      <c r="B1640" s="5">
        <f>COUNTIF($A$1:A1640,Loads[[#This Row],[Load]])</f>
        <v>2</v>
      </c>
      <c r="C1640" s="3" t="str">
        <f>Loads[[#This Row],[Load]]&amp;Loads[[#This Row],[Count]]</f>
        <v>44256Product42</v>
      </c>
      <c r="D1640" s="90">
        <v>44256</v>
      </c>
      <c r="E1640" s="143">
        <v>1.3888888888888889E-3</v>
      </c>
      <c r="F1640" s="1" t="s">
        <v>9</v>
      </c>
      <c r="G1640" s="2" t="s">
        <v>15</v>
      </c>
      <c r="H1640" s="2" t="s">
        <v>42</v>
      </c>
      <c r="I1640" s="1" t="s">
        <v>0</v>
      </c>
      <c r="J1640" s="1">
        <v>18</v>
      </c>
      <c r="K1640" s="89">
        <v>23400</v>
      </c>
      <c r="L1640" s="3">
        <v>10.16</v>
      </c>
      <c r="M1640" s="3">
        <v>64.349999999999994</v>
      </c>
      <c r="N1640" s="3" t="s">
        <v>8</v>
      </c>
      <c r="O1640" s="3" t="s">
        <v>8</v>
      </c>
    </row>
    <row r="1641" spans="1:15" x14ac:dyDescent="0.35">
      <c r="A1641" s="5" t="str">
        <f>Loads[[#This Row],[Date]]&amp;Loads[[#This Row],[Product]]</f>
        <v>44256Product1</v>
      </c>
      <c r="B1641" s="5">
        <f>COUNTIF($A$1:A1641,Loads[[#This Row],[Load]])</f>
        <v>5</v>
      </c>
      <c r="C1641" s="3" t="str">
        <f>Loads[[#This Row],[Load]]&amp;Loads[[#This Row],[Count]]</f>
        <v>44256Product15</v>
      </c>
      <c r="D1641" s="90">
        <v>44256</v>
      </c>
      <c r="E1641" s="143">
        <v>3.472222222222222E-3</v>
      </c>
      <c r="F1641" s="1" t="s">
        <v>9</v>
      </c>
      <c r="G1641" s="2" t="s">
        <v>12</v>
      </c>
      <c r="H1641" s="2" t="s">
        <v>42</v>
      </c>
      <c r="I1641" s="1" t="s">
        <v>11</v>
      </c>
      <c r="J1641" s="1" t="s">
        <v>8</v>
      </c>
      <c r="K1641" s="89">
        <v>18100</v>
      </c>
      <c r="L1641" s="3">
        <v>9.0299999999999994</v>
      </c>
      <c r="M1641" s="3">
        <v>21.83</v>
      </c>
      <c r="N1641" s="3" t="s">
        <v>8</v>
      </c>
      <c r="O1641" s="3" t="s">
        <v>8</v>
      </c>
    </row>
    <row r="1642" spans="1:15" x14ac:dyDescent="0.35">
      <c r="A1642" s="5" t="str">
        <f>Loads[[#This Row],[Date]]&amp;Loads[[#This Row],[Product]]</f>
        <v>44256Product1</v>
      </c>
      <c r="B1642" s="5">
        <f>COUNTIF($A$1:A1642,Loads[[#This Row],[Load]])</f>
        <v>6</v>
      </c>
      <c r="C1642" s="3" t="str">
        <f>Loads[[#This Row],[Load]]&amp;Loads[[#This Row],[Count]]</f>
        <v>44256Product16</v>
      </c>
      <c r="D1642" s="90">
        <v>44256</v>
      </c>
      <c r="E1642" s="143">
        <v>4.8611111111111112E-3</v>
      </c>
      <c r="F1642" s="1" t="s">
        <v>9</v>
      </c>
      <c r="G1642" s="2" t="s">
        <v>12</v>
      </c>
      <c r="H1642" s="2" t="s">
        <v>42</v>
      </c>
      <c r="I1642" s="1" t="s">
        <v>11</v>
      </c>
      <c r="J1642" s="1" t="s">
        <v>8</v>
      </c>
      <c r="K1642" s="89">
        <v>18900</v>
      </c>
      <c r="L1642" s="3">
        <v>7.78</v>
      </c>
      <c r="M1642" s="3">
        <v>21.96</v>
      </c>
      <c r="N1642" s="3" t="s">
        <v>8</v>
      </c>
      <c r="O1642" s="3" t="s">
        <v>8</v>
      </c>
    </row>
    <row r="1643" spans="1:15" x14ac:dyDescent="0.35">
      <c r="A1643" s="5" t="str">
        <f>Loads[[#This Row],[Date]]&amp;Loads[[#This Row],[Product]]</f>
        <v>44256Product1</v>
      </c>
      <c r="B1643" s="5">
        <f>COUNTIF($A$1:A1643,Loads[[#This Row],[Load]])</f>
        <v>7</v>
      </c>
      <c r="C1643" s="3" t="str">
        <f>Loads[[#This Row],[Load]]&amp;Loads[[#This Row],[Count]]</f>
        <v>44256Product17</v>
      </c>
      <c r="D1643" s="90">
        <v>44256</v>
      </c>
      <c r="E1643" s="143">
        <v>4.8611111111111112E-3</v>
      </c>
      <c r="F1643" s="1" t="s">
        <v>9</v>
      </c>
      <c r="G1643" s="2" t="s">
        <v>12</v>
      </c>
      <c r="H1643" s="2" t="s">
        <v>42</v>
      </c>
      <c r="I1643" s="1" t="s">
        <v>11</v>
      </c>
      <c r="J1643" s="1" t="s">
        <v>8</v>
      </c>
      <c r="K1643" s="89">
        <v>23260</v>
      </c>
      <c r="L1643" s="3">
        <v>7.85</v>
      </c>
      <c r="M1643" s="3">
        <v>22.21</v>
      </c>
      <c r="N1643" s="3" t="s">
        <v>8</v>
      </c>
      <c r="O1643" s="3" t="s">
        <v>8</v>
      </c>
    </row>
    <row r="1644" spans="1:15" x14ac:dyDescent="0.35">
      <c r="A1644" s="5" t="str">
        <f>Loads[[#This Row],[Date]]&amp;Loads[[#This Row],[Product]]</f>
        <v>44256Product2</v>
      </c>
      <c r="B1644" s="5">
        <f>COUNTIF($A$1:A1644,Loads[[#This Row],[Load]])</f>
        <v>1</v>
      </c>
      <c r="C1644" s="3" t="str">
        <f>Loads[[#This Row],[Load]]&amp;Loads[[#This Row],[Count]]</f>
        <v>44256Product21</v>
      </c>
      <c r="D1644" s="90">
        <v>44256</v>
      </c>
      <c r="E1644" s="143">
        <v>4.5833333333333337E-2</v>
      </c>
      <c r="F1644" s="1" t="s">
        <v>9</v>
      </c>
      <c r="G1644" s="2" t="s">
        <v>13</v>
      </c>
      <c r="H1644" s="2" t="s">
        <v>42</v>
      </c>
      <c r="I1644" s="1" t="s">
        <v>11</v>
      </c>
      <c r="J1644" s="1" t="s">
        <v>8</v>
      </c>
      <c r="K1644" s="89">
        <v>11660</v>
      </c>
      <c r="L1644" s="3">
        <v>65.760000000000005</v>
      </c>
      <c r="M1644" s="3">
        <v>8.59</v>
      </c>
      <c r="N1644" s="3" t="s">
        <v>8</v>
      </c>
      <c r="O1644" s="3" t="s">
        <v>8</v>
      </c>
    </row>
    <row r="1645" spans="1:15" x14ac:dyDescent="0.35">
      <c r="A1645" s="5" t="str">
        <f>Loads[[#This Row],[Date]]&amp;Loads[[#This Row],[Product]]</f>
        <v>44256Product2</v>
      </c>
      <c r="B1645" s="5">
        <f>COUNTIF($A$1:A1645,Loads[[#This Row],[Load]])</f>
        <v>2</v>
      </c>
      <c r="C1645" s="3" t="str">
        <f>Loads[[#This Row],[Load]]&amp;Loads[[#This Row],[Count]]</f>
        <v>44256Product22</v>
      </c>
      <c r="D1645" s="90">
        <v>44256</v>
      </c>
      <c r="E1645" s="143">
        <v>4.6527777777777779E-2</v>
      </c>
      <c r="F1645" s="1" t="s">
        <v>9</v>
      </c>
      <c r="G1645" s="2" t="s">
        <v>13</v>
      </c>
      <c r="H1645" s="2" t="s">
        <v>42</v>
      </c>
      <c r="I1645" s="1" t="s">
        <v>11</v>
      </c>
      <c r="J1645" s="1" t="s">
        <v>8</v>
      </c>
      <c r="K1645" s="89">
        <v>12360</v>
      </c>
      <c r="L1645" s="3">
        <v>63</v>
      </c>
      <c r="M1645" s="3">
        <v>7.05</v>
      </c>
      <c r="N1645" s="3" t="s">
        <v>8</v>
      </c>
      <c r="O1645" s="3" t="s">
        <v>8</v>
      </c>
    </row>
    <row r="1646" spans="1:15" x14ac:dyDescent="0.35">
      <c r="A1646" s="5" t="str">
        <f>Loads[[#This Row],[Date]]&amp;Loads[[#This Row],[Product]]</f>
        <v>44256Product2</v>
      </c>
      <c r="B1646" s="5">
        <f>COUNTIF($A$1:A1646,Loads[[#This Row],[Load]])</f>
        <v>3</v>
      </c>
      <c r="C1646" s="3" t="str">
        <f>Loads[[#This Row],[Load]]&amp;Loads[[#This Row],[Count]]</f>
        <v>44256Product23</v>
      </c>
      <c r="D1646" s="90">
        <v>44256</v>
      </c>
      <c r="E1646" s="143">
        <v>4.7222222222222221E-2</v>
      </c>
      <c r="F1646" s="1" t="s">
        <v>9</v>
      </c>
      <c r="G1646" s="2" t="s">
        <v>13</v>
      </c>
      <c r="H1646" s="2" t="s">
        <v>42</v>
      </c>
      <c r="I1646" s="1" t="s">
        <v>11</v>
      </c>
      <c r="J1646" s="1" t="s">
        <v>8</v>
      </c>
      <c r="K1646" s="89">
        <v>12320</v>
      </c>
      <c r="L1646" s="3">
        <v>66.08</v>
      </c>
      <c r="M1646" s="3">
        <v>8.76</v>
      </c>
      <c r="N1646" s="3" t="s">
        <v>8</v>
      </c>
      <c r="O1646" s="3" t="s">
        <v>8</v>
      </c>
    </row>
    <row r="1647" spans="1:15" x14ac:dyDescent="0.35">
      <c r="A1647" s="5" t="str">
        <f>Loads[[#This Row],[Date]]&amp;Loads[[#This Row],[Product]]</f>
        <v>44256Product2</v>
      </c>
      <c r="B1647" s="5">
        <f>COUNTIF($A$1:A1647,Loads[[#This Row],[Load]])</f>
        <v>4</v>
      </c>
      <c r="C1647" s="3" t="str">
        <f>Loads[[#This Row],[Load]]&amp;Loads[[#This Row],[Count]]</f>
        <v>44256Product24</v>
      </c>
      <c r="D1647" s="90">
        <v>44256</v>
      </c>
      <c r="E1647" s="143">
        <v>4.7916666666666663E-2</v>
      </c>
      <c r="F1647" s="1" t="s">
        <v>9</v>
      </c>
      <c r="G1647" s="2" t="s">
        <v>13</v>
      </c>
      <c r="H1647" s="2" t="s">
        <v>42</v>
      </c>
      <c r="I1647" s="1" t="s">
        <v>11</v>
      </c>
      <c r="J1647" s="1" t="s">
        <v>8</v>
      </c>
      <c r="K1647" s="89">
        <v>11220</v>
      </c>
      <c r="L1647" s="3">
        <v>61.09</v>
      </c>
      <c r="M1647" s="3">
        <v>9.43</v>
      </c>
      <c r="N1647" s="3" t="s">
        <v>8</v>
      </c>
      <c r="O1647" s="3" t="s">
        <v>8</v>
      </c>
    </row>
    <row r="1648" spans="1:15" x14ac:dyDescent="0.35">
      <c r="A1648" s="5" t="str">
        <f>Loads[[#This Row],[Date]]&amp;Loads[[#This Row],[Product]]</f>
        <v>44256Product2</v>
      </c>
      <c r="B1648" s="5">
        <f>COUNTIF($A$1:A1648,Loads[[#This Row],[Load]])</f>
        <v>5</v>
      </c>
      <c r="C1648" s="3" t="str">
        <f>Loads[[#This Row],[Load]]&amp;Loads[[#This Row],[Count]]</f>
        <v>44256Product25</v>
      </c>
      <c r="D1648" s="90">
        <v>44256</v>
      </c>
      <c r="E1648" s="143">
        <v>4.7916666666666663E-2</v>
      </c>
      <c r="F1648" s="1" t="s">
        <v>9</v>
      </c>
      <c r="G1648" s="2" t="s">
        <v>13</v>
      </c>
      <c r="H1648" s="2" t="s">
        <v>42</v>
      </c>
      <c r="I1648" s="1" t="s">
        <v>11</v>
      </c>
      <c r="J1648" s="1" t="s">
        <v>8</v>
      </c>
      <c r="K1648" s="89">
        <v>10900</v>
      </c>
      <c r="L1648" s="3">
        <v>70.760000000000005</v>
      </c>
      <c r="M1648" s="3">
        <v>7.43</v>
      </c>
      <c r="N1648" s="3" t="s">
        <v>8</v>
      </c>
      <c r="O1648" s="3" t="s">
        <v>8</v>
      </c>
    </row>
    <row r="1649" spans="1:15" x14ac:dyDescent="0.35">
      <c r="A1649" s="5" t="str">
        <f>Loads[[#This Row],[Date]]&amp;Loads[[#This Row],[Product]]</f>
        <v>44256Product2</v>
      </c>
      <c r="B1649" s="5">
        <f>COUNTIF($A$1:A1649,Loads[[#This Row],[Load]])</f>
        <v>6</v>
      </c>
      <c r="C1649" s="3" t="str">
        <f>Loads[[#This Row],[Load]]&amp;Loads[[#This Row],[Count]]</f>
        <v>44256Product26</v>
      </c>
      <c r="D1649" s="90">
        <v>44256</v>
      </c>
      <c r="E1649" s="143">
        <v>5.5555555555555552E-2</v>
      </c>
      <c r="F1649" s="1" t="s">
        <v>9</v>
      </c>
      <c r="G1649" s="2" t="s">
        <v>13</v>
      </c>
      <c r="H1649" s="2" t="s">
        <v>42</v>
      </c>
      <c r="I1649" s="1" t="s">
        <v>11</v>
      </c>
      <c r="J1649" s="1" t="s">
        <v>8</v>
      </c>
      <c r="K1649" s="89">
        <v>12200</v>
      </c>
      <c r="L1649" s="3">
        <v>66.25</v>
      </c>
      <c r="M1649" s="3">
        <v>9.4600000000000009</v>
      </c>
      <c r="N1649" s="3" t="s">
        <v>8</v>
      </c>
      <c r="O1649" s="3" t="s">
        <v>8</v>
      </c>
    </row>
    <row r="1650" spans="1:15" x14ac:dyDescent="0.35">
      <c r="A1650" s="5" t="str">
        <f>Loads[[#This Row],[Date]]&amp;Loads[[#This Row],[Product]]</f>
        <v>44256Product2</v>
      </c>
      <c r="B1650" s="5">
        <f>COUNTIF($A$1:A1650,Loads[[#This Row],[Load]])</f>
        <v>7</v>
      </c>
      <c r="C1650" s="3" t="str">
        <f>Loads[[#This Row],[Load]]&amp;Loads[[#This Row],[Count]]</f>
        <v>44256Product27</v>
      </c>
      <c r="D1650" s="90">
        <v>44256</v>
      </c>
      <c r="E1650" s="143">
        <v>5.6250000000000001E-2</v>
      </c>
      <c r="F1650" s="1" t="s">
        <v>9</v>
      </c>
      <c r="G1650" s="2" t="s">
        <v>13</v>
      </c>
      <c r="H1650" s="2" t="s">
        <v>42</v>
      </c>
      <c r="I1650" s="1" t="s">
        <v>11</v>
      </c>
      <c r="J1650" s="1" t="s">
        <v>8</v>
      </c>
      <c r="K1650" s="89">
        <v>17340</v>
      </c>
      <c r="L1650" s="3">
        <v>65.44</v>
      </c>
      <c r="M1650" s="3">
        <v>8.2799999999999994</v>
      </c>
      <c r="N1650" s="3" t="s">
        <v>8</v>
      </c>
      <c r="O1650" s="3" t="s">
        <v>8</v>
      </c>
    </row>
    <row r="1651" spans="1:15" x14ac:dyDescent="0.35">
      <c r="A1651" s="5" t="str">
        <f>Loads[[#This Row],[Date]]&amp;Loads[[#This Row],[Product]]</f>
        <v>44256Product2</v>
      </c>
      <c r="B1651" s="5">
        <f>COUNTIF($A$1:A1651,Loads[[#This Row],[Load]])</f>
        <v>8</v>
      </c>
      <c r="C1651" s="3" t="str">
        <f>Loads[[#This Row],[Load]]&amp;Loads[[#This Row],[Count]]</f>
        <v>44256Product28</v>
      </c>
      <c r="D1651" s="90">
        <v>44256</v>
      </c>
      <c r="E1651" s="143">
        <v>6.5277777777777782E-2</v>
      </c>
      <c r="F1651" s="1" t="s">
        <v>9</v>
      </c>
      <c r="G1651" s="2" t="s">
        <v>13</v>
      </c>
      <c r="H1651" s="2" t="s">
        <v>42</v>
      </c>
      <c r="I1651" s="1" t="s">
        <v>11</v>
      </c>
      <c r="J1651" s="1" t="s">
        <v>8</v>
      </c>
      <c r="K1651" s="89">
        <v>11140</v>
      </c>
      <c r="L1651" s="3">
        <v>64.180000000000007</v>
      </c>
      <c r="M1651" s="3">
        <v>8.43</v>
      </c>
      <c r="N1651" s="3" t="s">
        <v>8</v>
      </c>
      <c r="O1651" s="3" t="s">
        <v>8</v>
      </c>
    </row>
    <row r="1652" spans="1:15" x14ac:dyDescent="0.35">
      <c r="A1652" s="5" t="str">
        <f>Loads[[#This Row],[Date]]&amp;Loads[[#This Row],[Product]]</f>
        <v>44256Product2</v>
      </c>
      <c r="B1652" s="5">
        <f>COUNTIF($A$1:A1652,Loads[[#This Row],[Load]])</f>
        <v>9</v>
      </c>
      <c r="C1652" s="3" t="str">
        <f>Loads[[#This Row],[Load]]&amp;Loads[[#This Row],[Count]]</f>
        <v>44256Product29</v>
      </c>
      <c r="D1652" s="90">
        <v>44256</v>
      </c>
      <c r="E1652" s="143">
        <v>6.5972222222222224E-2</v>
      </c>
      <c r="F1652" s="1" t="s">
        <v>9</v>
      </c>
      <c r="G1652" s="2" t="s">
        <v>13</v>
      </c>
      <c r="H1652" s="2" t="s">
        <v>42</v>
      </c>
      <c r="I1652" s="1" t="s">
        <v>11</v>
      </c>
      <c r="J1652" s="1" t="s">
        <v>8</v>
      </c>
      <c r="K1652" s="89">
        <v>16920</v>
      </c>
      <c r="L1652" s="3">
        <v>63.04</v>
      </c>
      <c r="M1652" s="3">
        <v>8.5299999999999994</v>
      </c>
      <c r="N1652" s="3" t="s">
        <v>8</v>
      </c>
      <c r="O1652" s="3" t="s">
        <v>8</v>
      </c>
    </row>
    <row r="1653" spans="1:15" x14ac:dyDescent="0.35">
      <c r="A1653" s="5" t="str">
        <f>Loads[[#This Row],[Date]]&amp;Loads[[#This Row],[Product]]</f>
        <v>44256Product2</v>
      </c>
      <c r="B1653" s="5">
        <f>COUNTIF($A$1:A1653,Loads[[#This Row],[Load]])</f>
        <v>10</v>
      </c>
      <c r="C1653" s="3" t="str">
        <f>Loads[[#This Row],[Load]]&amp;Loads[[#This Row],[Count]]</f>
        <v>44256Product210</v>
      </c>
      <c r="D1653" s="90">
        <v>44256</v>
      </c>
      <c r="E1653" s="143">
        <v>6.7361111111111108E-2</v>
      </c>
      <c r="F1653" s="1" t="s">
        <v>9</v>
      </c>
      <c r="G1653" s="2" t="s">
        <v>13</v>
      </c>
      <c r="H1653" s="2" t="s">
        <v>42</v>
      </c>
      <c r="I1653" s="1" t="s">
        <v>11</v>
      </c>
      <c r="J1653" s="1" t="s">
        <v>8</v>
      </c>
      <c r="K1653" s="89">
        <v>11440</v>
      </c>
      <c r="L1653" s="3">
        <v>68.42</v>
      </c>
      <c r="M1653" s="3">
        <v>9.5399999999999991</v>
      </c>
      <c r="N1653" s="3" t="s">
        <v>8</v>
      </c>
      <c r="O1653" s="3" t="s">
        <v>8</v>
      </c>
    </row>
    <row r="1654" spans="1:15" x14ac:dyDescent="0.35">
      <c r="A1654" s="5" t="str">
        <f>Loads[[#This Row],[Date]]&amp;Loads[[#This Row],[Product]]</f>
        <v>44256Product2</v>
      </c>
      <c r="B1654" s="5">
        <f>COUNTIF($A$1:A1654,Loads[[#This Row],[Load]])</f>
        <v>11</v>
      </c>
      <c r="C1654" s="3" t="str">
        <f>Loads[[#This Row],[Load]]&amp;Loads[[#This Row],[Count]]</f>
        <v>44256Product211</v>
      </c>
      <c r="D1654" s="90">
        <v>44256</v>
      </c>
      <c r="E1654" s="143">
        <v>6.805555555555555E-2</v>
      </c>
      <c r="F1654" s="1" t="s">
        <v>9</v>
      </c>
      <c r="G1654" s="2" t="s">
        <v>13</v>
      </c>
      <c r="H1654" s="2" t="s">
        <v>42</v>
      </c>
      <c r="I1654" s="1" t="s">
        <v>11</v>
      </c>
      <c r="J1654" s="1" t="s">
        <v>8</v>
      </c>
      <c r="K1654" s="89">
        <v>12180</v>
      </c>
      <c r="L1654" s="3">
        <v>63.2</v>
      </c>
      <c r="M1654" s="3">
        <v>8.24</v>
      </c>
      <c r="N1654" s="3" t="s">
        <v>8</v>
      </c>
      <c r="O1654" s="3" t="s">
        <v>8</v>
      </c>
    </row>
    <row r="1655" spans="1:15" x14ac:dyDescent="0.35">
      <c r="A1655" s="5" t="str">
        <f>Loads[[#This Row],[Date]]&amp;Loads[[#This Row],[Product]]</f>
        <v>44256Product2</v>
      </c>
      <c r="B1655" s="5">
        <f>COUNTIF($A$1:A1655,Loads[[#This Row],[Load]])</f>
        <v>12</v>
      </c>
      <c r="C1655" s="3" t="str">
        <f>Loads[[#This Row],[Load]]&amp;Loads[[#This Row],[Count]]</f>
        <v>44256Product212</v>
      </c>
      <c r="D1655" s="90">
        <v>44256</v>
      </c>
      <c r="E1655" s="143">
        <v>6.8749999999999992E-2</v>
      </c>
      <c r="F1655" s="1" t="s">
        <v>9</v>
      </c>
      <c r="G1655" s="2" t="s">
        <v>13</v>
      </c>
      <c r="H1655" s="2" t="s">
        <v>42</v>
      </c>
      <c r="I1655" s="1" t="s">
        <v>11</v>
      </c>
      <c r="J1655" s="1" t="s">
        <v>8</v>
      </c>
      <c r="K1655" s="89">
        <v>12200</v>
      </c>
      <c r="L1655" s="3">
        <v>62.35</v>
      </c>
      <c r="M1655" s="3">
        <v>8.4600000000000009</v>
      </c>
      <c r="N1655" s="3" t="s">
        <v>8</v>
      </c>
      <c r="O1655" s="3" t="s">
        <v>8</v>
      </c>
    </row>
    <row r="1656" spans="1:15" x14ac:dyDescent="0.35">
      <c r="A1656" s="5" t="str">
        <f>Loads[[#This Row],[Date]]&amp;Loads[[#This Row],[Product]]</f>
        <v>44256Product2</v>
      </c>
      <c r="B1656" s="5">
        <f>COUNTIF($A$1:A1656,Loads[[#This Row],[Load]])</f>
        <v>13</v>
      </c>
      <c r="C1656" s="3" t="str">
        <f>Loads[[#This Row],[Load]]&amp;Loads[[#This Row],[Count]]</f>
        <v>44256Product213</v>
      </c>
      <c r="D1656" s="90">
        <v>44256</v>
      </c>
      <c r="E1656" s="143">
        <v>6.9444444444444434E-2</v>
      </c>
      <c r="F1656" s="1" t="s">
        <v>9</v>
      </c>
      <c r="G1656" s="2" t="s">
        <v>13</v>
      </c>
      <c r="H1656" s="2" t="s">
        <v>42</v>
      </c>
      <c r="I1656" s="1" t="s">
        <v>11</v>
      </c>
      <c r="J1656" s="1" t="s">
        <v>8</v>
      </c>
      <c r="K1656" s="89">
        <v>13900</v>
      </c>
      <c r="L1656" s="3">
        <v>63.5</v>
      </c>
      <c r="M1656" s="3">
        <v>8.64</v>
      </c>
      <c r="N1656" s="3" t="s">
        <v>8</v>
      </c>
      <c r="O1656" s="3" t="s">
        <v>8</v>
      </c>
    </row>
    <row r="1657" spans="1:15" x14ac:dyDescent="0.35">
      <c r="A1657" s="5" t="str">
        <f>Loads[[#This Row],[Date]]&amp;Loads[[#This Row],[Product]]</f>
        <v>44257Product1</v>
      </c>
      <c r="B1657" s="5">
        <f>COUNTIF($A$1:A1657,Loads[[#This Row],[Load]])</f>
        <v>1</v>
      </c>
      <c r="C1657" s="3" t="str">
        <f>Loads[[#This Row],[Load]]&amp;Loads[[#This Row],[Count]]</f>
        <v>44257Product11</v>
      </c>
      <c r="D1657" s="90">
        <v>44257</v>
      </c>
      <c r="E1657" s="143">
        <v>3.7499999999999999E-2</v>
      </c>
      <c r="F1657" s="1" t="s">
        <v>9</v>
      </c>
      <c r="G1657" s="2" t="s">
        <v>12</v>
      </c>
      <c r="H1657" s="2" t="s">
        <v>42</v>
      </c>
      <c r="I1657" s="1" t="s">
        <v>10</v>
      </c>
      <c r="J1657" s="1">
        <v>775</v>
      </c>
      <c r="K1657" s="89">
        <v>31060</v>
      </c>
      <c r="L1657" s="3">
        <v>9.0500000000000007</v>
      </c>
      <c r="M1657" s="3">
        <v>22.33</v>
      </c>
      <c r="N1657" s="3" t="s">
        <v>8</v>
      </c>
      <c r="O1657" s="3" t="s">
        <v>8</v>
      </c>
    </row>
    <row r="1658" spans="1:15" x14ac:dyDescent="0.35">
      <c r="A1658" s="5" t="str">
        <f>Loads[[#This Row],[Date]]&amp;Loads[[#This Row],[Product]]</f>
        <v>44257Product1</v>
      </c>
      <c r="B1658" s="5">
        <f>COUNTIF($A$1:A1658,Loads[[#This Row],[Load]])</f>
        <v>2</v>
      </c>
      <c r="C1658" s="3" t="str">
        <f>Loads[[#This Row],[Load]]&amp;Loads[[#This Row],[Count]]</f>
        <v>44257Product12</v>
      </c>
      <c r="D1658" s="90">
        <v>44257</v>
      </c>
      <c r="E1658" s="143">
        <v>3.8194444444444441E-2</v>
      </c>
      <c r="F1658" s="1" t="s">
        <v>9</v>
      </c>
      <c r="G1658" s="2" t="s">
        <v>12</v>
      </c>
      <c r="H1658" s="2" t="s">
        <v>42</v>
      </c>
      <c r="I1658" s="1" t="s">
        <v>11</v>
      </c>
      <c r="J1658" s="1" t="s">
        <v>8</v>
      </c>
      <c r="K1658" s="89">
        <v>26520</v>
      </c>
      <c r="L1658" s="3">
        <v>8.91</v>
      </c>
      <c r="M1658" s="3">
        <v>22.47</v>
      </c>
      <c r="N1658" s="3" t="s">
        <v>8</v>
      </c>
      <c r="O1658" s="3" t="s">
        <v>8</v>
      </c>
    </row>
    <row r="1659" spans="1:15" x14ac:dyDescent="0.35">
      <c r="A1659" s="5" t="str">
        <f>Loads[[#This Row],[Date]]&amp;Loads[[#This Row],[Product]]</f>
        <v>44257Product8</v>
      </c>
      <c r="B1659" s="5">
        <f>COUNTIF($A$1:A1659,Loads[[#This Row],[Load]])</f>
        <v>1</v>
      </c>
      <c r="C1659" s="3" t="str">
        <f>Loads[[#This Row],[Load]]&amp;Loads[[#This Row],[Count]]</f>
        <v>44257Product81</v>
      </c>
      <c r="D1659" s="90">
        <v>44257</v>
      </c>
      <c r="E1659" s="143">
        <v>3.888888888888889E-2</v>
      </c>
      <c r="F1659" s="1" t="s">
        <v>9</v>
      </c>
      <c r="G1659" s="2" t="s">
        <v>19</v>
      </c>
      <c r="H1659" s="2" t="s">
        <v>42</v>
      </c>
      <c r="I1659" s="1" t="s">
        <v>11</v>
      </c>
      <c r="J1659" s="1" t="s">
        <v>8</v>
      </c>
      <c r="K1659" s="89">
        <v>13580</v>
      </c>
      <c r="L1659" s="3">
        <v>11.44</v>
      </c>
      <c r="M1659" s="3">
        <v>7.2</v>
      </c>
      <c r="N1659" s="3" t="s">
        <v>8</v>
      </c>
      <c r="O1659" s="3" t="s">
        <v>8</v>
      </c>
    </row>
    <row r="1660" spans="1:15" x14ac:dyDescent="0.35">
      <c r="A1660" s="5" t="str">
        <f>Loads[[#This Row],[Date]]&amp;Loads[[#This Row],[Product]]</f>
        <v>44257Product1</v>
      </c>
      <c r="B1660" s="5">
        <f>COUNTIF($A$1:A1660,Loads[[#This Row],[Load]])</f>
        <v>3</v>
      </c>
      <c r="C1660" s="3" t="str">
        <f>Loads[[#This Row],[Load]]&amp;Loads[[#This Row],[Count]]</f>
        <v>44257Product13</v>
      </c>
      <c r="D1660" s="90">
        <v>44257</v>
      </c>
      <c r="E1660" s="143">
        <v>3.9583333333333331E-2</v>
      </c>
      <c r="F1660" s="1" t="s">
        <v>9</v>
      </c>
      <c r="G1660" s="2" t="s">
        <v>12</v>
      </c>
      <c r="H1660" s="2" t="s">
        <v>42</v>
      </c>
      <c r="I1660" s="1" t="s">
        <v>11</v>
      </c>
      <c r="J1660" s="1" t="s">
        <v>8</v>
      </c>
      <c r="K1660" s="89">
        <v>30160</v>
      </c>
      <c r="L1660" s="3">
        <v>4.72</v>
      </c>
      <c r="M1660" s="3">
        <v>21.79</v>
      </c>
      <c r="N1660" s="3" t="s">
        <v>8</v>
      </c>
      <c r="O1660" s="3" t="s">
        <v>8</v>
      </c>
    </row>
    <row r="1661" spans="1:15" x14ac:dyDescent="0.35">
      <c r="A1661" s="5" t="str">
        <f>Loads[[#This Row],[Date]]&amp;Loads[[#This Row],[Product]]</f>
        <v>44257Product1</v>
      </c>
      <c r="B1661" s="5">
        <f>COUNTIF($A$1:A1661,Loads[[#This Row],[Load]])</f>
        <v>4</v>
      </c>
      <c r="C1661" s="3" t="str">
        <f>Loads[[#This Row],[Load]]&amp;Loads[[#This Row],[Count]]</f>
        <v>44257Product14</v>
      </c>
      <c r="D1661" s="90">
        <v>44257</v>
      </c>
      <c r="E1661" s="143">
        <v>3.9583333333333331E-2</v>
      </c>
      <c r="F1661" s="1" t="s">
        <v>9</v>
      </c>
      <c r="G1661" s="2" t="s">
        <v>12</v>
      </c>
      <c r="H1661" s="2" t="s">
        <v>42</v>
      </c>
      <c r="I1661" s="1" t="s">
        <v>11</v>
      </c>
      <c r="J1661" s="1" t="s">
        <v>8</v>
      </c>
      <c r="K1661" s="89">
        <v>17220</v>
      </c>
      <c r="L1661" s="3">
        <v>6.65</v>
      </c>
      <c r="M1661" s="3">
        <v>22.85</v>
      </c>
      <c r="N1661" s="3" t="s">
        <v>8</v>
      </c>
      <c r="O1661" s="3" t="s">
        <v>8</v>
      </c>
    </row>
    <row r="1662" spans="1:15" x14ac:dyDescent="0.35">
      <c r="A1662" s="5" t="str">
        <f>Loads[[#This Row],[Date]]&amp;Loads[[#This Row],[Product]]</f>
        <v>44257Product4</v>
      </c>
      <c r="B1662" s="5">
        <f>COUNTIF($A$1:A1662,Loads[[#This Row],[Load]])</f>
        <v>1</v>
      </c>
      <c r="C1662" s="3" t="str">
        <f>Loads[[#This Row],[Load]]&amp;Loads[[#This Row],[Count]]</f>
        <v>44257Product41</v>
      </c>
      <c r="D1662" s="90">
        <v>44257</v>
      </c>
      <c r="E1662" s="143">
        <v>4.027777777777778E-2</v>
      </c>
      <c r="F1662" s="1" t="s">
        <v>9</v>
      </c>
      <c r="G1662" s="2" t="s">
        <v>15</v>
      </c>
      <c r="H1662" s="2" t="s">
        <v>42</v>
      </c>
      <c r="I1662" s="1" t="s">
        <v>0</v>
      </c>
      <c r="J1662" s="1">
        <v>22</v>
      </c>
      <c r="K1662" s="89">
        <v>26540</v>
      </c>
      <c r="L1662" s="3">
        <v>9.39</v>
      </c>
      <c r="M1662" s="3">
        <v>61.81</v>
      </c>
      <c r="N1662" s="3" t="s">
        <v>8</v>
      </c>
      <c r="O1662" s="3" t="s">
        <v>8</v>
      </c>
    </row>
    <row r="1663" spans="1:15" x14ac:dyDescent="0.35">
      <c r="A1663" s="5" t="str">
        <f>Loads[[#This Row],[Date]]&amp;Loads[[#This Row],[Product]]</f>
        <v>44257Product1</v>
      </c>
      <c r="B1663" s="5">
        <f>COUNTIF($A$1:A1663,Loads[[#This Row],[Load]])</f>
        <v>5</v>
      </c>
      <c r="C1663" s="3" t="str">
        <f>Loads[[#This Row],[Load]]&amp;Loads[[#This Row],[Count]]</f>
        <v>44257Product15</v>
      </c>
      <c r="D1663" s="90">
        <v>44257</v>
      </c>
      <c r="E1663" s="143">
        <v>4.0972222222222222E-2</v>
      </c>
      <c r="F1663" s="1" t="s">
        <v>9</v>
      </c>
      <c r="G1663" s="2" t="s">
        <v>12</v>
      </c>
      <c r="H1663" s="2" t="s">
        <v>42</v>
      </c>
      <c r="I1663" s="1" t="s">
        <v>10</v>
      </c>
      <c r="J1663" s="1">
        <v>586</v>
      </c>
      <c r="K1663" s="89">
        <v>23500</v>
      </c>
      <c r="L1663" s="3">
        <v>8.51</v>
      </c>
      <c r="M1663" s="3">
        <v>21.88</v>
      </c>
      <c r="N1663" s="3" t="s">
        <v>8</v>
      </c>
      <c r="O1663" s="3" t="s">
        <v>8</v>
      </c>
    </row>
    <row r="1664" spans="1:15" x14ac:dyDescent="0.35">
      <c r="A1664" s="5" t="str">
        <f>Loads[[#This Row],[Date]]&amp;Loads[[#This Row],[Product]]</f>
        <v>44257Product6</v>
      </c>
      <c r="B1664" s="5">
        <f>COUNTIF($A$1:A1664,Loads[[#This Row],[Load]])</f>
        <v>1</v>
      </c>
      <c r="C1664" s="3" t="str">
        <f>Loads[[#This Row],[Load]]&amp;Loads[[#This Row],[Count]]</f>
        <v>44257Product61</v>
      </c>
      <c r="D1664" s="90">
        <v>44257</v>
      </c>
      <c r="E1664" s="143">
        <v>4.2361111111111106E-2</v>
      </c>
      <c r="F1664" s="1" t="s">
        <v>9</v>
      </c>
      <c r="G1664" s="2" t="s">
        <v>17</v>
      </c>
      <c r="H1664" s="2" t="s">
        <v>42</v>
      </c>
      <c r="I1664" s="1" t="s">
        <v>11</v>
      </c>
      <c r="J1664" s="1" t="s">
        <v>8</v>
      </c>
      <c r="K1664" s="89">
        <v>36220</v>
      </c>
      <c r="L1664" s="3">
        <v>0.06</v>
      </c>
      <c r="M1664" s="3" t="s">
        <v>8</v>
      </c>
      <c r="N1664" s="3">
        <v>2.0699999999999998</v>
      </c>
      <c r="O1664" s="3" t="s">
        <v>8</v>
      </c>
    </row>
    <row r="1665" spans="1:15" x14ac:dyDescent="0.35">
      <c r="A1665" s="5" t="str">
        <f>Loads[[#This Row],[Date]]&amp;Loads[[#This Row],[Product]]</f>
        <v>44257Product4</v>
      </c>
      <c r="B1665" s="5">
        <f>COUNTIF($A$1:A1665,Loads[[#This Row],[Load]])</f>
        <v>2</v>
      </c>
      <c r="C1665" s="3" t="str">
        <f>Loads[[#This Row],[Load]]&amp;Loads[[#This Row],[Count]]</f>
        <v>44257Product42</v>
      </c>
      <c r="D1665" s="90">
        <v>44257</v>
      </c>
      <c r="E1665" s="143">
        <v>4.3055555555555562E-2</v>
      </c>
      <c r="F1665" s="1" t="s">
        <v>9</v>
      </c>
      <c r="G1665" s="2" t="s">
        <v>15</v>
      </c>
      <c r="H1665" s="2" t="s">
        <v>42</v>
      </c>
      <c r="I1665" s="1" t="s">
        <v>11</v>
      </c>
      <c r="J1665" s="1" t="s">
        <v>8</v>
      </c>
      <c r="K1665" s="89">
        <v>29940</v>
      </c>
      <c r="L1665" s="3">
        <v>9.11</v>
      </c>
      <c r="M1665" s="3">
        <v>60.95</v>
      </c>
      <c r="N1665" s="3" t="s">
        <v>8</v>
      </c>
      <c r="O1665" s="3" t="s">
        <v>8</v>
      </c>
    </row>
    <row r="1666" spans="1:15" x14ac:dyDescent="0.35">
      <c r="A1666" s="5" t="str">
        <f>Loads[[#This Row],[Date]]&amp;Loads[[#This Row],[Product]]</f>
        <v>44257Product1</v>
      </c>
      <c r="B1666" s="5">
        <f>COUNTIF($A$1:A1666,Loads[[#This Row],[Load]])</f>
        <v>6</v>
      </c>
      <c r="C1666" s="3" t="str">
        <f>Loads[[#This Row],[Load]]&amp;Loads[[#This Row],[Count]]</f>
        <v>44257Product16</v>
      </c>
      <c r="D1666" s="90">
        <v>44257</v>
      </c>
      <c r="E1666" s="143">
        <v>4.3055555555555562E-2</v>
      </c>
      <c r="F1666" s="1" t="s">
        <v>9</v>
      </c>
      <c r="G1666" s="2" t="s">
        <v>12</v>
      </c>
      <c r="H1666" s="2" t="s">
        <v>42</v>
      </c>
      <c r="I1666" s="1" t="s">
        <v>11</v>
      </c>
      <c r="J1666" s="1" t="s">
        <v>8</v>
      </c>
      <c r="K1666" s="89">
        <v>21020</v>
      </c>
      <c r="L1666" s="3">
        <v>9.59</v>
      </c>
      <c r="M1666" s="3">
        <v>22.6</v>
      </c>
      <c r="N1666" s="3" t="s">
        <v>8</v>
      </c>
      <c r="O1666" s="3" t="s">
        <v>8</v>
      </c>
    </row>
    <row r="1667" spans="1:15" x14ac:dyDescent="0.35">
      <c r="A1667" s="5" t="str">
        <f>Loads[[#This Row],[Date]]&amp;Loads[[#This Row],[Product]]</f>
        <v>44257Product1</v>
      </c>
      <c r="B1667" s="5">
        <f>COUNTIF($A$1:A1667,Loads[[#This Row],[Load]])</f>
        <v>7</v>
      </c>
      <c r="C1667" s="3" t="str">
        <f>Loads[[#This Row],[Load]]&amp;Loads[[#This Row],[Count]]</f>
        <v>44257Product17</v>
      </c>
      <c r="D1667" s="90">
        <v>44257</v>
      </c>
      <c r="E1667" s="143">
        <v>4.3750000000000004E-2</v>
      </c>
      <c r="F1667" s="1" t="s">
        <v>9</v>
      </c>
      <c r="G1667" s="2" t="s">
        <v>12</v>
      </c>
      <c r="H1667" s="2" t="s">
        <v>42</v>
      </c>
      <c r="I1667" s="1" t="s">
        <v>10</v>
      </c>
      <c r="J1667" s="1">
        <v>795</v>
      </c>
      <c r="K1667" s="89">
        <v>31780</v>
      </c>
      <c r="L1667" s="3">
        <v>9.61</v>
      </c>
      <c r="M1667" s="3">
        <v>23.04</v>
      </c>
      <c r="N1667" s="3" t="s">
        <v>8</v>
      </c>
      <c r="O1667" s="3" t="s">
        <v>8</v>
      </c>
    </row>
    <row r="1668" spans="1:15" x14ac:dyDescent="0.35">
      <c r="A1668" s="5" t="str">
        <f>Loads[[#This Row],[Date]]&amp;Loads[[#This Row],[Product]]</f>
        <v>44257Product1</v>
      </c>
      <c r="B1668" s="5">
        <f>COUNTIF($A$1:A1668,Loads[[#This Row],[Load]])</f>
        <v>8</v>
      </c>
      <c r="C1668" s="3" t="str">
        <f>Loads[[#This Row],[Load]]&amp;Loads[[#This Row],[Count]]</f>
        <v>44257Product18</v>
      </c>
      <c r="D1668" s="90">
        <v>44257</v>
      </c>
      <c r="E1668" s="143">
        <v>4.5138888888888888E-2</v>
      </c>
      <c r="F1668" s="1" t="s">
        <v>9</v>
      </c>
      <c r="G1668" s="2" t="s">
        <v>12</v>
      </c>
      <c r="H1668" s="2" t="s">
        <v>42</v>
      </c>
      <c r="I1668" s="1" t="s">
        <v>11</v>
      </c>
      <c r="J1668" s="1" t="s">
        <v>8</v>
      </c>
      <c r="K1668" s="89">
        <v>26620</v>
      </c>
      <c r="L1668" s="3">
        <v>7.09</v>
      </c>
      <c r="M1668" s="3">
        <v>21.38</v>
      </c>
      <c r="N1668" s="3" t="s">
        <v>8</v>
      </c>
      <c r="O1668" s="3" t="s">
        <v>8</v>
      </c>
    </row>
    <row r="1669" spans="1:15" x14ac:dyDescent="0.35">
      <c r="A1669" s="5" t="str">
        <f>Loads[[#This Row],[Date]]&amp;Loads[[#This Row],[Product]]</f>
        <v>44257Product1</v>
      </c>
      <c r="B1669" s="5">
        <f>COUNTIF($A$1:A1669,Loads[[#This Row],[Load]])</f>
        <v>9</v>
      </c>
      <c r="C1669" s="3" t="str">
        <f>Loads[[#This Row],[Load]]&amp;Loads[[#This Row],[Count]]</f>
        <v>44257Product19</v>
      </c>
      <c r="D1669" s="90">
        <v>44257</v>
      </c>
      <c r="E1669" s="143">
        <v>4.5138888888888888E-2</v>
      </c>
      <c r="F1669" s="1" t="s">
        <v>9</v>
      </c>
      <c r="G1669" s="2" t="s">
        <v>12</v>
      </c>
      <c r="H1669" s="2" t="s">
        <v>42</v>
      </c>
      <c r="I1669" s="1" t="s">
        <v>10</v>
      </c>
      <c r="J1669" s="1">
        <v>775</v>
      </c>
      <c r="K1669" s="89">
        <v>30680</v>
      </c>
      <c r="L1669" s="3">
        <v>11.25</v>
      </c>
      <c r="M1669" s="3">
        <v>20.52</v>
      </c>
      <c r="N1669" s="3" t="s">
        <v>8</v>
      </c>
      <c r="O1669" s="3" t="s">
        <v>8</v>
      </c>
    </row>
    <row r="1670" spans="1:15" x14ac:dyDescent="0.35">
      <c r="A1670" s="5" t="str">
        <f>Loads[[#This Row],[Date]]&amp;Loads[[#This Row],[Product]]</f>
        <v>44257Product2</v>
      </c>
      <c r="B1670" s="5">
        <f>COUNTIF($A$1:A1670,Loads[[#This Row],[Load]])</f>
        <v>1</v>
      </c>
      <c r="C1670" s="3" t="str">
        <f>Loads[[#This Row],[Load]]&amp;Loads[[#This Row],[Count]]</f>
        <v>44257Product21</v>
      </c>
      <c r="D1670" s="90">
        <v>44257</v>
      </c>
      <c r="E1670" s="143">
        <v>0.11597222222222221</v>
      </c>
      <c r="F1670" s="1" t="s">
        <v>9</v>
      </c>
      <c r="G1670" s="2" t="s">
        <v>13</v>
      </c>
      <c r="H1670" s="2" t="s">
        <v>42</v>
      </c>
      <c r="I1670" s="1" t="s">
        <v>11</v>
      </c>
      <c r="J1670" s="1" t="s">
        <v>8</v>
      </c>
      <c r="K1670" s="89">
        <v>11420</v>
      </c>
      <c r="L1670" s="3">
        <v>64.39</v>
      </c>
      <c r="M1670" s="3">
        <v>9.74</v>
      </c>
      <c r="N1670" s="3" t="s">
        <v>8</v>
      </c>
      <c r="O1670" s="3" t="s">
        <v>8</v>
      </c>
    </row>
    <row r="1671" spans="1:15" x14ac:dyDescent="0.35">
      <c r="A1671" s="5" t="str">
        <f>Loads[[#This Row],[Date]]&amp;Loads[[#This Row],[Product]]</f>
        <v>44257Product2</v>
      </c>
      <c r="B1671" s="5">
        <f>COUNTIF($A$1:A1671,Loads[[#This Row],[Load]])</f>
        <v>2</v>
      </c>
      <c r="C1671" s="3" t="str">
        <f>Loads[[#This Row],[Load]]&amp;Loads[[#This Row],[Count]]</f>
        <v>44257Product22</v>
      </c>
      <c r="D1671" s="90">
        <v>44257</v>
      </c>
      <c r="E1671" s="143">
        <v>0.11666666666666665</v>
      </c>
      <c r="F1671" s="1" t="s">
        <v>9</v>
      </c>
      <c r="G1671" s="2" t="s">
        <v>13</v>
      </c>
      <c r="H1671" s="2" t="s">
        <v>42</v>
      </c>
      <c r="I1671" s="1" t="s">
        <v>11</v>
      </c>
      <c r="J1671" s="1" t="s">
        <v>8</v>
      </c>
      <c r="K1671" s="89">
        <v>12460</v>
      </c>
      <c r="L1671" s="3">
        <v>61.99</v>
      </c>
      <c r="M1671" s="3">
        <v>8.35</v>
      </c>
      <c r="N1671" s="3" t="s">
        <v>8</v>
      </c>
      <c r="O1671" s="3" t="s">
        <v>8</v>
      </c>
    </row>
    <row r="1672" spans="1:15" x14ac:dyDescent="0.35">
      <c r="A1672" s="5" t="str">
        <f>Loads[[#This Row],[Date]]&amp;Loads[[#This Row],[Product]]</f>
        <v>44257Product2</v>
      </c>
      <c r="B1672" s="5">
        <f>COUNTIF($A$1:A1672,Loads[[#This Row],[Load]])</f>
        <v>3</v>
      </c>
      <c r="C1672" s="3" t="str">
        <f>Loads[[#This Row],[Load]]&amp;Loads[[#This Row],[Count]]</f>
        <v>44257Product23</v>
      </c>
      <c r="D1672" s="90">
        <v>44257</v>
      </c>
      <c r="E1672" s="143">
        <v>0.1173611111111111</v>
      </c>
      <c r="F1672" s="1" t="s">
        <v>9</v>
      </c>
      <c r="G1672" s="2" t="s">
        <v>13</v>
      </c>
      <c r="H1672" s="2" t="s">
        <v>42</v>
      </c>
      <c r="I1672" s="1" t="s">
        <v>11</v>
      </c>
      <c r="J1672" s="1" t="s">
        <v>8</v>
      </c>
      <c r="K1672" s="89">
        <v>11500</v>
      </c>
      <c r="L1672" s="3">
        <v>64.040000000000006</v>
      </c>
      <c r="M1672" s="3">
        <v>6.89</v>
      </c>
      <c r="N1672" s="3" t="s">
        <v>8</v>
      </c>
      <c r="O1672" s="3" t="s">
        <v>8</v>
      </c>
    </row>
    <row r="1673" spans="1:15" x14ac:dyDescent="0.35">
      <c r="A1673" s="5" t="str">
        <f>Loads[[#This Row],[Date]]&amp;Loads[[#This Row],[Product]]</f>
        <v>44257Product2</v>
      </c>
      <c r="B1673" s="5">
        <f>COUNTIF($A$1:A1673,Loads[[#This Row],[Load]])</f>
        <v>4</v>
      </c>
      <c r="C1673" s="3" t="str">
        <f>Loads[[#This Row],[Load]]&amp;Loads[[#This Row],[Count]]</f>
        <v>44257Product24</v>
      </c>
      <c r="D1673" s="90">
        <v>44257</v>
      </c>
      <c r="E1673" s="143">
        <v>0.1173611111111111</v>
      </c>
      <c r="F1673" s="1" t="s">
        <v>9</v>
      </c>
      <c r="G1673" s="2" t="s">
        <v>13</v>
      </c>
      <c r="H1673" s="2" t="s">
        <v>42</v>
      </c>
      <c r="I1673" s="1" t="s">
        <v>11</v>
      </c>
      <c r="J1673" s="1" t="s">
        <v>8</v>
      </c>
      <c r="K1673" s="89">
        <v>16120</v>
      </c>
      <c r="L1673" s="3">
        <v>63.04</v>
      </c>
      <c r="M1673" s="3">
        <v>8.5299999999999994</v>
      </c>
      <c r="N1673" s="3" t="s">
        <v>8</v>
      </c>
      <c r="O1673" s="3" t="s">
        <v>8</v>
      </c>
    </row>
    <row r="1674" spans="1:15" x14ac:dyDescent="0.35">
      <c r="A1674" s="5" t="str">
        <f>Loads[[#This Row],[Date]]&amp;Loads[[#This Row],[Product]]</f>
        <v>44257Product2</v>
      </c>
      <c r="B1674" s="5">
        <f>COUNTIF($A$1:A1674,Loads[[#This Row],[Load]])</f>
        <v>5</v>
      </c>
      <c r="C1674" s="3" t="str">
        <f>Loads[[#This Row],[Load]]&amp;Loads[[#This Row],[Count]]</f>
        <v>44257Product25</v>
      </c>
      <c r="D1674" s="90">
        <v>44257</v>
      </c>
      <c r="E1674" s="143">
        <v>0.11805555555555557</v>
      </c>
      <c r="F1674" s="1" t="s">
        <v>9</v>
      </c>
      <c r="G1674" s="2" t="s">
        <v>13</v>
      </c>
      <c r="H1674" s="2" t="s">
        <v>42</v>
      </c>
      <c r="I1674" s="1" t="s">
        <v>11</v>
      </c>
      <c r="J1674" s="1" t="s">
        <v>8</v>
      </c>
      <c r="K1674" s="89">
        <v>9920</v>
      </c>
      <c r="L1674" s="3">
        <v>64.180000000000007</v>
      </c>
      <c r="M1674" s="3">
        <v>8.43</v>
      </c>
      <c r="N1674" s="3" t="s">
        <v>8</v>
      </c>
      <c r="O1674" s="3" t="s">
        <v>8</v>
      </c>
    </row>
    <row r="1675" spans="1:15" x14ac:dyDescent="0.35">
      <c r="A1675" s="5" t="str">
        <f>Loads[[#This Row],[Date]]&amp;Loads[[#This Row],[Product]]</f>
        <v>44257Product2</v>
      </c>
      <c r="B1675" s="5">
        <f>COUNTIF($A$1:A1675,Loads[[#This Row],[Load]])</f>
        <v>6</v>
      </c>
      <c r="C1675" s="3" t="str">
        <f>Loads[[#This Row],[Load]]&amp;Loads[[#This Row],[Count]]</f>
        <v>44257Product26</v>
      </c>
      <c r="D1675" s="90">
        <v>44257</v>
      </c>
      <c r="E1675" s="143">
        <v>0.11875000000000001</v>
      </c>
      <c r="F1675" s="1" t="s">
        <v>9</v>
      </c>
      <c r="G1675" s="2" t="s">
        <v>13</v>
      </c>
      <c r="H1675" s="2" t="s">
        <v>42</v>
      </c>
      <c r="I1675" s="1" t="s">
        <v>11</v>
      </c>
      <c r="J1675" s="1" t="s">
        <v>8</v>
      </c>
      <c r="K1675" s="89">
        <v>11940</v>
      </c>
      <c r="L1675" s="3">
        <v>62.35</v>
      </c>
      <c r="M1675" s="3">
        <v>8.5399999999999991</v>
      </c>
      <c r="N1675" s="3" t="s">
        <v>8</v>
      </c>
      <c r="O1675" s="3" t="s">
        <v>8</v>
      </c>
    </row>
    <row r="1676" spans="1:15" x14ac:dyDescent="0.35">
      <c r="A1676" s="5" t="str">
        <f>Loads[[#This Row],[Date]]&amp;Loads[[#This Row],[Product]]</f>
        <v>44257Product2</v>
      </c>
      <c r="B1676" s="5">
        <f>COUNTIF($A$1:A1676,Loads[[#This Row],[Load]])</f>
        <v>7</v>
      </c>
      <c r="C1676" s="3" t="str">
        <f>Loads[[#This Row],[Load]]&amp;Loads[[#This Row],[Count]]</f>
        <v>44257Product27</v>
      </c>
      <c r="D1676" s="90">
        <v>44257</v>
      </c>
      <c r="E1676" s="143">
        <v>0.11944444444444445</v>
      </c>
      <c r="F1676" s="1" t="s">
        <v>9</v>
      </c>
      <c r="G1676" s="2" t="s">
        <v>13</v>
      </c>
      <c r="H1676" s="2" t="s">
        <v>42</v>
      </c>
      <c r="I1676" s="1" t="s">
        <v>11</v>
      </c>
      <c r="J1676" s="1" t="s">
        <v>8</v>
      </c>
      <c r="K1676" s="89">
        <v>16560</v>
      </c>
      <c r="L1676" s="3">
        <v>60.93</v>
      </c>
      <c r="M1676" s="3">
        <v>10.35</v>
      </c>
      <c r="N1676" s="3" t="s">
        <v>8</v>
      </c>
      <c r="O1676" s="3" t="s">
        <v>8</v>
      </c>
    </row>
    <row r="1677" spans="1:15" x14ac:dyDescent="0.35">
      <c r="A1677" s="5" t="str">
        <f>Loads[[#This Row],[Date]]&amp;Loads[[#This Row],[Product]]</f>
        <v>44257Product2</v>
      </c>
      <c r="B1677" s="5">
        <f>COUNTIF($A$1:A1677,Loads[[#This Row],[Load]])</f>
        <v>8</v>
      </c>
      <c r="C1677" s="3" t="str">
        <f>Loads[[#This Row],[Load]]&amp;Loads[[#This Row],[Count]]</f>
        <v>44257Product28</v>
      </c>
      <c r="D1677" s="90">
        <v>44257</v>
      </c>
      <c r="E1677" s="143">
        <v>0.11944444444444445</v>
      </c>
      <c r="F1677" s="1" t="s">
        <v>9</v>
      </c>
      <c r="G1677" s="2" t="s">
        <v>13</v>
      </c>
      <c r="H1677" s="2" t="s">
        <v>42</v>
      </c>
      <c r="I1677" s="1" t="s">
        <v>11</v>
      </c>
      <c r="J1677" s="1" t="s">
        <v>8</v>
      </c>
      <c r="K1677" s="89">
        <v>10580</v>
      </c>
      <c r="L1677" s="3">
        <v>65.36</v>
      </c>
      <c r="M1677" s="3">
        <v>8.4499999999999993</v>
      </c>
      <c r="N1677" s="3" t="s">
        <v>8</v>
      </c>
      <c r="O1677" s="3" t="s">
        <v>8</v>
      </c>
    </row>
    <row r="1678" spans="1:15" x14ac:dyDescent="0.35">
      <c r="A1678" s="5" t="str">
        <f>Loads[[#This Row],[Date]]&amp;Loads[[#This Row],[Product]]</f>
        <v>44257Product2</v>
      </c>
      <c r="B1678" s="5">
        <f>COUNTIF($A$1:A1678,Loads[[#This Row],[Load]])</f>
        <v>9</v>
      </c>
      <c r="C1678" s="3" t="str">
        <f>Loads[[#This Row],[Load]]&amp;Loads[[#This Row],[Count]]</f>
        <v>44257Product29</v>
      </c>
      <c r="D1678" s="90">
        <v>44257</v>
      </c>
      <c r="E1678" s="143">
        <v>0.12013888888888889</v>
      </c>
      <c r="F1678" s="1" t="s">
        <v>9</v>
      </c>
      <c r="G1678" s="2" t="s">
        <v>13</v>
      </c>
      <c r="H1678" s="2" t="s">
        <v>42</v>
      </c>
      <c r="I1678" s="1" t="s">
        <v>11</v>
      </c>
      <c r="J1678" s="1" t="s">
        <v>8</v>
      </c>
      <c r="K1678" s="89">
        <v>11520</v>
      </c>
      <c r="L1678" s="3">
        <v>61.81</v>
      </c>
      <c r="M1678" s="3">
        <v>8.9600000000000009</v>
      </c>
      <c r="N1678" s="3" t="s">
        <v>8</v>
      </c>
      <c r="O1678" s="3" t="s">
        <v>8</v>
      </c>
    </row>
    <row r="1679" spans="1:15" x14ac:dyDescent="0.35">
      <c r="A1679" s="5" t="str">
        <f>Loads[[#This Row],[Date]]&amp;Loads[[#This Row],[Product]]</f>
        <v>44257Product2</v>
      </c>
      <c r="B1679" s="5">
        <f>COUNTIF($A$1:A1679,Loads[[#This Row],[Load]])</f>
        <v>10</v>
      </c>
      <c r="C1679" s="3" t="str">
        <f>Loads[[#This Row],[Load]]&amp;Loads[[#This Row],[Count]]</f>
        <v>44257Product210</v>
      </c>
      <c r="D1679" s="90">
        <v>44257</v>
      </c>
      <c r="E1679" s="143">
        <v>0.12013888888888889</v>
      </c>
      <c r="F1679" s="1" t="s">
        <v>9</v>
      </c>
      <c r="G1679" s="2" t="s">
        <v>13</v>
      </c>
      <c r="H1679" s="2" t="s">
        <v>42</v>
      </c>
      <c r="I1679" s="1" t="s">
        <v>11</v>
      </c>
      <c r="J1679" s="1" t="s">
        <v>8</v>
      </c>
      <c r="K1679" s="89">
        <v>12000</v>
      </c>
      <c r="L1679" s="3">
        <v>63.45</v>
      </c>
      <c r="M1679" s="3">
        <v>8.17</v>
      </c>
      <c r="N1679" s="3" t="s">
        <v>8</v>
      </c>
      <c r="O1679" s="3" t="s">
        <v>8</v>
      </c>
    </row>
    <row r="1680" spans="1:15" x14ac:dyDescent="0.35">
      <c r="A1680" s="5" t="str">
        <f>Loads[[#This Row],[Date]]&amp;Loads[[#This Row],[Product]]</f>
        <v>44257Product2</v>
      </c>
      <c r="B1680" s="5">
        <f>COUNTIF($A$1:A1680,Loads[[#This Row],[Load]])</f>
        <v>11</v>
      </c>
      <c r="C1680" s="3" t="str">
        <f>Loads[[#This Row],[Load]]&amp;Loads[[#This Row],[Count]]</f>
        <v>44257Product211</v>
      </c>
      <c r="D1680" s="90">
        <v>44257</v>
      </c>
      <c r="E1680" s="143">
        <v>0.12083333333333333</v>
      </c>
      <c r="F1680" s="1" t="s">
        <v>9</v>
      </c>
      <c r="G1680" s="2" t="s">
        <v>13</v>
      </c>
      <c r="H1680" s="2" t="s">
        <v>42</v>
      </c>
      <c r="I1680" s="1" t="s">
        <v>11</v>
      </c>
      <c r="J1680" s="1" t="s">
        <v>8</v>
      </c>
      <c r="K1680" s="89">
        <v>11220</v>
      </c>
      <c r="L1680" s="3">
        <v>61.52</v>
      </c>
      <c r="M1680" s="3">
        <v>9.48</v>
      </c>
      <c r="N1680" s="3" t="s">
        <v>8</v>
      </c>
      <c r="O1680" s="3" t="s">
        <v>8</v>
      </c>
    </row>
    <row r="1681" spans="1:15" x14ac:dyDescent="0.35">
      <c r="A1681" s="5" t="str">
        <f>Loads[[#This Row],[Date]]&amp;Loads[[#This Row],[Product]]</f>
        <v>44257Product2</v>
      </c>
      <c r="B1681" s="5">
        <f>COUNTIF($A$1:A1681,Loads[[#This Row],[Load]])</f>
        <v>12</v>
      </c>
      <c r="C1681" s="3" t="str">
        <f>Loads[[#This Row],[Load]]&amp;Loads[[#This Row],[Count]]</f>
        <v>44257Product212</v>
      </c>
      <c r="D1681" s="90">
        <v>44257</v>
      </c>
      <c r="E1681" s="143">
        <v>0.12152777777777778</v>
      </c>
      <c r="F1681" s="1" t="s">
        <v>9</v>
      </c>
      <c r="G1681" s="2" t="s">
        <v>13</v>
      </c>
      <c r="H1681" s="2" t="s">
        <v>42</v>
      </c>
      <c r="I1681" s="1" t="s">
        <v>11</v>
      </c>
      <c r="J1681" s="1" t="s">
        <v>8</v>
      </c>
      <c r="K1681" s="89">
        <v>10360</v>
      </c>
      <c r="L1681" s="3">
        <v>65.47</v>
      </c>
      <c r="M1681" s="3">
        <v>10.67</v>
      </c>
      <c r="N1681" s="3" t="s">
        <v>8</v>
      </c>
      <c r="O1681" s="3" t="s">
        <v>8</v>
      </c>
    </row>
    <row r="1682" spans="1:15" x14ac:dyDescent="0.35">
      <c r="A1682" s="5" t="str">
        <f>Loads[[#This Row],[Date]]&amp;Loads[[#This Row],[Product]]</f>
        <v>44257Product2</v>
      </c>
      <c r="B1682" s="5">
        <f>COUNTIF($A$1:A1682,Loads[[#This Row],[Load]])</f>
        <v>13</v>
      </c>
      <c r="C1682" s="3" t="str">
        <f>Loads[[#This Row],[Load]]&amp;Loads[[#This Row],[Count]]</f>
        <v>44257Product213</v>
      </c>
      <c r="D1682" s="90">
        <v>44257</v>
      </c>
      <c r="E1682" s="143">
        <v>0.12222222222222223</v>
      </c>
      <c r="F1682" s="1" t="s">
        <v>9</v>
      </c>
      <c r="G1682" s="2" t="s">
        <v>13</v>
      </c>
      <c r="H1682" s="2" t="s">
        <v>42</v>
      </c>
      <c r="I1682" s="1" t="s">
        <v>11</v>
      </c>
      <c r="J1682" s="1" t="s">
        <v>8</v>
      </c>
      <c r="K1682" s="89">
        <v>16520</v>
      </c>
      <c r="L1682" s="3">
        <v>62.36</v>
      </c>
      <c r="M1682" s="3">
        <v>10.76</v>
      </c>
      <c r="N1682" s="3" t="s">
        <v>8</v>
      </c>
      <c r="O1682" s="3" t="s">
        <v>8</v>
      </c>
    </row>
    <row r="1683" spans="1:15" x14ac:dyDescent="0.35">
      <c r="A1683" s="5" t="str">
        <f>Loads[[#This Row],[Date]]&amp;Loads[[#This Row],[Product]]</f>
        <v>44258Product4</v>
      </c>
      <c r="B1683" s="5">
        <f>COUNTIF($A$1:A1683,Loads[[#This Row],[Load]])</f>
        <v>1</v>
      </c>
      <c r="C1683" s="3" t="str">
        <f>Loads[[#This Row],[Load]]&amp;Loads[[#This Row],[Count]]</f>
        <v>44258Product41</v>
      </c>
      <c r="D1683" s="90">
        <v>44258</v>
      </c>
      <c r="E1683" s="143">
        <v>5.1388888888888894E-2</v>
      </c>
      <c r="F1683" s="1" t="s">
        <v>9</v>
      </c>
      <c r="G1683" s="2" t="s">
        <v>15</v>
      </c>
      <c r="H1683" s="2" t="s">
        <v>42</v>
      </c>
      <c r="I1683" s="1" t="s">
        <v>11</v>
      </c>
      <c r="J1683" s="1" t="s">
        <v>8</v>
      </c>
      <c r="K1683" s="89">
        <v>30520</v>
      </c>
      <c r="L1683" s="3">
        <v>9.08</v>
      </c>
      <c r="M1683" s="3">
        <v>63.68</v>
      </c>
      <c r="N1683" s="3" t="s">
        <v>8</v>
      </c>
      <c r="O1683" s="3" t="s">
        <v>8</v>
      </c>
    </row>
    <row r="1684" spans="1:15" x14ac:dyDescent="0.35">
      <c r="A1684" s="5" t="str">
        <f>Loads[[#This Row],[Date]]&amp;Loads[[#This Row],[Product]]</f>
        <v>44258Product1</v>
      </c>
      <c r="B1684" s="5">
        <f>COUNTIF($A$1:A1684,Loads[[#This Row],[Load]])</f>
        <v>1</v>
      </c>
      <c r="C1684" s="3" t="str">
        <f>Loads[[#This Row],[Load]]&amp;Loads[[#This Row],[Count]]</f>
        <v>44258Product11</v>
      </c>
      <c r="D1684" s="90">
        <v>44258</v>
      </c>
      <c r="E1684" s="143">
        <v>5.2777777777777778E-2</v>
      </c>
      <c r="F1684" s="1" t="s">
        <v>9</v>
      </c>
      <c r="G1684" s="2" t="s">
        <v>12</v>
      </c>
      <c r="H1684" s="2" t="s">
        <v>42</v>
      </c>
      <c r="I1684" s="1" t="s">
        <v>11</v>
      </c>
      <c r="J1684" s="1" t="s">
        <v>8</v>
      </c>
      <c r="K1684" s="89">
        <v>12300</v>
      </c>
      <c r="L1684" s="3">
        <v>9.61</v>
      </c>
      <c r="M1684" s="3">
        <v>61.97</v>
      </c>
      <c r="N1684" s="3" t="s">
        <v>8</v>
      </c>
      <c r="O1684" s="3" t="s">
        <v>8</v>
      </c>
    </row>
    <row r="1685" spans="1:15" x14ac:dyDescent="0.35">
      <c r="A1685" s="5" t="str">
        <f>Loads[[#This Row],[Date]]&amp;Loads[[#This Row],[Product]]</f>
        <v>44258Product6</v>
      </c>
      <c r="B1685" s="5">
        <f>COUNTIF($A$1:A1685,Loads[[#This Row],[Load]])</f>
        <v>1</v>
      </c>
      <c r="C1685" s="3" t="str">
        <f>Loads[[#This Row],[Load]]&amp;Loads[[#This Row],[Count]]</f>
        <v>44258Product61</v>
      </c>
      <c r="D1685" s="90">
        <v>44258</v>
      </c>
      <c r="E1685" s="143">
        <v>5.347222222222222E-2</v>
      </c>
      <c r="F1685" s="1" t="s">
        <v>9</v>
      </c>
      <c r="G1685" s="2" t="s">
        <v>17</v>
      </c>
      <c r="H1685" s="2" t="s">
        <v>42</v>
      </c>
      <c r="I1685" s="1" t="s">
        <v>11</v>
      </c>
      <c r="J1685" s="1" t="s">
        <v>8</v>
      </c>
      <c r="K1685" s="89">
        <v>40900</v>
      </c>
      <c r="L1685" s="3">
        <v>0.06</v>
      </c>
      <c r="M1685" s="3" t="s">
        <v>8</v>
      </c>
      <c r="N1685" s="3">
        <v>2.04</v>
      </c>
      <c r="O1685" s="3" t="s">
        <v>8</v>
      </c>
    </row>
    <row r="1686" spans="1:15" x14ac:dyDescent="0.35">
      <c r="A1686" s="5" t="str">
        <f>Loads[[#This Row],[Date]]&amp;Loads[[#This Row],[Product]]</f>
        <v>44258Product1</v>
      </c>
      <c r="B1686" s="5">
        <f>COUNTIF($A$1:A1686,Loads[[#This Row],[Load]])</f>
        <v>2</v>
      </c>
      <c r="C1686" s="3" t="str">
        <f>Loads[[#This Row],[Load]]&amp;Loads[[#This Row],[Count]]</f>
        <v>44258Product12</v>
      </c>
      <c r="D1686" s="90">
        <v>44258</v>
      </c>
      <c r="E1686" s="143">
        <v>5.486111111111111E-2</v>
      </c>
      <c r="F1686" s="1" t="s">
        <v>9</v>
      </c>
      <c r="G1686" s="2" t="s">
        <v>12</v>
      </c>
      <c r="H1686" s="2" t="s">
        <v>42</v>
      </c>
      <c r="I1686" s="1" t="s">
        <v>11</v>
      </c>
      <c r="J1686" s="1" t="s">
        <v>8</v>
      </c>
      <c r="K1686" s="89">
        <v>17400</v>
      </c>
      <c r="L1686" s="3">
        <v>8.9600000000000009</v>
      </c>
      <c r="M1686" s="3">
        <v>22.02</v>
      </c>
      <c r="N1686" s="3" t="s">
        <v>8</v>
      </c>
      <c r="O1686" s="3" t="s">
        <v>8</v>
      </c>
    </row>
    <row r="1687" spans="1:15" x14ac:dyDescent="0.35">
      <c r="A1687" s="5" t="str">
        <f>Loads[[#This Row],[Date]]&amp;Loads[[#This Row],[Product]]</f>
        <v>44258Product1</v>
      </c>
      <c r="B1687" s="5">
        <f>COUNTIF($A$1:A1687,Loads[[#This Row],[Load]])</f>
        <v>3</v>
      </c>
      <c r="C1687" s="3" t="str">
        <f>Loads[[#This Row],[Load]]&amp;Loads[[#This Row],[Count]]</f>
        <v>44258Product13</v>
      </c>
      <c r="D1687" s="90">
        <v>44258</v>
      </c>
      <c r="E1687" s="143">
        <v>5.5555555555555552E-2</v>
      </c>
      <c r="F1687" s="1" t="s">
        <v>9</v>
      </c>
      <c r="G1687" s="2" t="s">
        <v>12</v>
      </c>
      <c r="H1687" s="2" t="s">
        <v>42</v>
      </c>
      <c r="I1687" s="1" t="s">
        <v>11</v>
      </c>
      <c r="J1687" s="1" t="s">
        <v>8</v>
      </c>
      <c r="K1687" s="89">
        <v>20580</v>
      </c>
      <c r="L1687" s="3">
        <v>7.51</v>
      </c>
      <c r="M1687" s="3">
        <v>22.71</v>
      </c>
      <c r="N1687" s="3" t="s">
        <v>8</v>
      </c>
      <c r="O1687" s="3" t="s">
        <v>8</v>
      </c>
    </row>
    <row r="1688" spans="1:15" x14ac:dyDescent="0.35">
      <c r="A1688" s="5" t="str">
        <f>Loads[[#This Row],[Date]]&amp;Loads[[#This Row],[Product]]</f>
        <v>44258Product1</v>
      </c>
      <c r="B1688" s="5">
        <f>COUNTIF($A$1:A1688,Loads[[#This Row],[Load]])</f>
        <v>4</v>
      </c>
      <c r="C1688" s="3" t="str">
        <f>Loads[[#This Row],[Load]]&amp;Loads[[#This Row],[Count]]</f>
        <v>44258Product14</v>
      </c>
      <c r="D1688" s="90">
        <v>44258</v>
      </c>
      <c r="E1688" s="143">
        <v>5.6944444444444443E-2</v>
      </c>
      <c r="F1688" s="1" t="s">
        <v>9</v>
      </c>
      <c r="G1688" s="2" t="s">
        <v>12</v>
      </c>
      <c r="H1688" s="2" t="s">
        <v>42</v>
      </c>
      <c r="I1688" s="1" t="s">
        <v>11</v>
      </c>
      <c r="J1688" s="1" t="s">
        <v>8</v>
      </c>
      <c r="K1688" s="89">
        <v>28340</v>
      </c>
      <c r="L1688" s="3">
        <v>8.24</v>
      </c>
      <c r="M1688" s="3">
        <v>22.22</v>
      </c>
      <c r="N1688" s="3" t="s">
        <v>8</v>
      </c>
      <c r="O1688" s="3" t="s">
        <v>8</v>
      </c>
    </row>
    <row r="1689" spans="1:15" x14ac:dyDescent="0.35">
      <c r="A1689" s="5" t="str">
        <f>Loads[[#This Row],[Date]]&amp;Loads[[#This Row],[Product]]</f>
        <v>44258Product1</v>
      </c>
      <c r="B1689" s="5">
        <f>COUNTIF($A$1:A1689,Loads[[#This Row],[Load]])</f>
        <v>5</v>
      </c>
      <c r="C1689" s="3" t="str">
        <f>Loads[[#This Row],[Load]]&amp;Loads[[#This Row],[Count]]</f>
        <v>44258Product15</v>
      </c>
      <c r="D1689" s="90">
        <v>44258</v>
      </c>
      <c r="E1689" s="143">
        <v>5.7638888888888885E-2</v>
      </c>
      <c r="F1689" s="1" t="s">
        <v>9</v>
      </c>
      <c r="G1689" s="2" t="s">
        <v>12</v>
      </c>
      <c r="H1689" s="2" t="s">
        <v>42</v>
      </c>
      <c r="I1689" s="1" t="s">
        <v>11</v>
      </c>
      <c r="J1689" s="1" t="s">
        <v>8</v>
      </c>
      <c r="K1689" s="89">
        <v>24860</v>
      </c>
      <c r="L1689" s="3">
        <v>9.7200000000000006</v>
      </c>
      <c r="M1689" s="3">
        <v>23.36</v>
      </c>
      <c r="N1689" s="3" t="s">
        <v>8</v>
      </c>
      <c r="O1689" s="3" t="s">
        <v>8</v>
      </c>
    </row>
    <row r="1690" spans="1:15" x14ac:dyDescent="0.35">
      <c r="A1690" s="5" t="str">
        <f>Loads[[#This Row],[Date]]&amp;Loads[[#This Row],[Product]]</f>
        <v>44258Product4</v>
      </c>
      <c r="B1690" s="5">
        <f>COUNTIF($A$1:A1690,Loads[[#This Row],[Load]])</f>
        <v>2</v>
      </c>
      <c r="C1690" s="3" t="str">
        <f>Loads[[#This Row],[Load]]&amp;Loads[[#This Row],[Count]]</f>
        <v>44258Product42</v>
      </c>
      <c r="D1690" s="90">
        <v>44258</v>
      </c>
      <c r="E1690" s="143">
        <v>5.8333333333333327E-2</v>
      </c>
      <c r="F1690" s="1" t="s">
        <v>9</v>
      </c>
      <c r="G1690" s="2" t="s">
        <v>15</v>
      </c>
      <c r="H1690" s="2" t="s">
        <v>42</v>
      </c>
      <c r="I1690" s="1" t="s">
        <v>0</v>
      </c>
      <c r="J1690" s="1">
        <v>22</v>
      </c>
      <c r="K1690" s="89">
        <v>27140</v>
      </c>
      <c r="L1690" s="3">
        <v>8.84</v>
      </c>
      <c r="M1690" s="3">
        <v>64.739999999999995</v>
      </c>
      <c r="N1690" s="3" t="s">
        <v>8</v>
      </c>
      <c r="O1690" s="3" t="s">
        <v>8</v>
      </c>
    </row>
    <row r="1691" spans="1:15" x14ac:dyDescent="0.35">
      <c r="A1691" s="5" t="str">
        <f>Loads[[#This Row],[Date]]&amp;Loads[[#This Row],[Product]]</f>
        <v>44258Product1</v>
      </c>
      <c r="B1691" s="5">
        <f>COUNTIF($A$1:A1691,Loads[[#This Row],[Load]])</f>
        <v>6</v>
      </c>
      <c r="C1691" s="3" t="str">
        <f>Loads[[#This Row],[Load]]&amp;Loads[[#This Row],[Count]]</f>
        <v>44258Product16</v>
      </c>
      <c r="D1691" s="90">
        <v>44258</v>
      </c>
      <c r="E1691" s="143">
        <v>5.9722222222222225E-2</v>
      </c>
      <c r="F1691" s="1" t="s">
        <v>9</v>
      </c>
      <c r="G1691" s="2" t="s">
        <v>12</v>
      </c>
      <c r="H1691" s="2" t="s">
        <v>42</v>
      </c>
      <c r="I1691" s="1" t="s">
        <v>11</v>
      </c>
      <c r="J1691" s="1" t="s">
        <v>8</v>
      </c>
      <c r="K1691" s="89">
        <v>31040</v>
      </c>
      <c r="L1691" s="3">
        <v>9.0299999999999994</v>
      </c>
      <c r="M1691" s="3">
        <v>22.94</v>
      </c>
      <c r="N1691" s="3" t="s">
        <v>8</v>
      </c>
      <c r="O1691" s="3" t="s">
        <v>8</v>
      </c>
    </row>
    <row r="1692" spans="1:15" x14ac:dyDescent="0.35">
      <c r="A1692" s="5" t="str">
        <f>Loads[[#This Row],[Date]]&amp;Loads[[#This Row],[Product]]</f>
        <v>44258Product1</v>
      </c>
      <c r="B1692" s="5">
        <f>COUNTIF($A$1:A1692,Loads[[#This Row],[Load]])</f>
        <v>7</v>
      </c>
      <c r="C1692" s="3" t="str">
        <f>Loads[[#This Row],[Load]]&amp;Loads[[#This Row],[Count]]</f>
        <v>44258Product17</v>
      </c>
      <c r="D1692" s="90">
        <v>44258</v>
      </c>
      <c r="E1692" s="143">
        <v>6.1111111111111116E-2</v>
      </c>
      <c r="F1692" s="1" t="s">
        <v>9</v>
      </c>
      <c r="G1692" s="2" t="s">
        <v>12</v>
      </c>
      <c r="H1692" s="2" t="s">
        <v>42</v>
      </c>
      <c r="I1692" s="1" t="s">
        <v>11</v>
      </c>
      <c r="J1692" s="1" t="s">
        <v>8</v>
      </c>
      <c r="K1692" s="89">
        <v>29300</v>
      </c>
      <c r="L1692" s="3">
        <v>8.66</v>
      </c>
      <c r="M1692" s="3">
        <v>23.78</v>
      </c>
      <c r="N1692" s="3" t="s">
        <v>8</v>
      </c>
      <c r="O1692" s="3" t="s">
        <v>8</v>
      </c>
    </row>
    <row r="1693" spans="1:15" x14ac:dyDescent="0.35">
      <c r="A1693" s="5" t="str">
        <f>Loads[[#This Row],[Date]]&amp;Loads[[#This Row],[Product]]</f>
        <v>44258Product1</v>
      </c>
      <c r="B1693" s="5">
        <f>COUNTIF($A$1:A1693,Loads[[#This Row],[Load]])</f>
        <v>8</v>
      </c>
      <c r="C1693" s="3" t="str">
        <f>Loads[[#This Row],[Load]]&amp;Loads[[#This Row],[Count]]</f>
        <v>44258Product18</v>
      </c>
      <c r="D1693" s="90">
        <v>44258</v>
      </c>
      <c r="E1693" s="143">
        <v>6.25E-2</v>
      </c>
      <c r="F1693" s="1" t="s">
        <v>9</v>
      </c>
      <c r="G1693" s="2" t="s">
        <v>12</v>
      </c>
      <c r="H1693" s="2" t="s">
        <v>42</v>
      </c>
      <c r="I1693" s="1" t="s">
        <v>11</v>
      </c>
      <c r="J1693" s="1" t="s">
        <v>8</v>
      </c>
      <c r="K1693" s="89">
        <v>28820</v>
      </c>
      <c r="L1693" s="3">
        <v>9.35</v>
      </c>
      <c r="M1693" s="3">
        <v>22.27</v>
      </c>
      <c r="N1693" s="3" t="s">
        <v>8</v>
      </c>
      <c r="O1693" s="3" t="s">
        <v>8</v>
      </c>
    </row>
    <row r="1694" spans="1:15" x14ac:dyDescent="0.35">
      <c r="A1694" s="5" t="str">
        <f>Loads[[#This Row],[Date]]&amp;Loads[[#This Row],[Product]]</f>
        <v>44258Product4</v>
      </c>
      <c r="B1694" s="5">
        <f>COUNTIF($A$1:A1694,Loads[[#This Row],[Load]])</f>
        <v>3</v>
      </c>
      <c r="C1694" s="3" t="str">
        <f>Loads[[#This Row],[Load]]&amp;Loads[[#This Row],[Count]]</f>
        <v>44258Product43</v>
      </c>
      <c r="D1694" s="90">
        <v>44258</v>
      </c>
      <c r="E1694" s="143">
        <v>6.3194444444444442E-2</v>
      </c>
      <c r="F1694" s="1" t="s">
        <v>9</v>
      </c>
      <c r="G1694" s="2" t="s">
        <v>15</v>
      </c>
      <c r="H1694" s="2" t="s">
        <v>42</v>
      </c>
      <c r="I1694" s="1" t="s">
        <v>11</v>
      </c>
      <c r="J1694" s="1" t="s">
        <v>8</v>
      </c>
      <c r="K1694" s="89">
        <v>24620</v>
      </c>
      <c r="L1694" s="3">
        <v>7.82</v>
      </c>
      <c r="M1694" s="3">
        <v>65.44</v>
      </c>
      <c r="N1694" s="3" t="s">
        <v>8</v>
      </c>
      <c r="O1694" s="3" t="s">
        <v>8</v>
      </c>
    </row>
    <row r="1695" spans="1:15" x14ac:dyDescent="0.35">
      <c r="A1695" s="5" t="str">
        <f>Loads[[#This Row],[Date]]&amp;Loads[[#This Row],[Product]]</f>
        <v>44258Product1</v>
      </c>
      <c r="B1695" s="5">
        <f>COUNTIF($A$1:A1695,Loads[[#This Row],[Load]])</f>
        <v>9</v>
      </c>
      <c r="C1695" s="3" t="str">
        <f>Loads[[#This Row],[Load]]&amp;Loads[[#This Row],[Count]]</f>
        <v>44258Product19</v>
      </c>
      <c r="D1695" s="90">
        <v>44258</v>
      </c>
      <c r="E1695" s="143">
        <v>6.6666666666666666E-2</v>
      </c>
      <c r="F1695" s="1" t="s">
        <v>9</v>
      </c>
      <c r="G1695" s="2" t="s">
        <v>12</v>
      </c>
      <c r="H1695" s="2" t="s">
        <v>42</v>
      </c>
      <c r="I1695" s="1" t="s">
        <v>11</v>
      </c>
      <c r="J1695" s="1" t="s">
        <v>8</v>
      </c>
      <c r="K1695" s="89">
        <v>18920</v>
      </c>
      <c r="L1695" s="3">
        <v>7.56</v>
      </c>
      <c r="M1695" s="3">
        <v>22.59</v>
      </c>
      <c r="N1695" s="3" t="s">
        <v>8</v>
      </c>
      <c r="O1695" s="3" t="s">
        <v>8</v>
      </c>
    </row>
    <row r="1696" spans="1:15" x14ac:dyDescent="0.35">
      <c r="A1696" s="5" t="str">
        <f>Loads[[#This Row],[Date]]&amp;Loads[[#This Row],[Product]]</f>
        <v>44258Product1</v>
      </c>
      <c r="B1696" s="5">
        <f>COUNTIF($A$1:A1696,Loads[[#This Row],[Load]])</f>
        <v>10</v>
      </c>
      <c r="C1696" s="3" t="str">
        <f>Loads[[#This Row],[Load]]&amp;Loads[[#This Row],[Count]]</f>
        <v>44258Product110</v>
      </c>
      <c r="D1696" s="90">
        <v>44258</v>
      </c>
      <c r="E1696" s="143">
        <v>6.8749999999999992E-2</v>
      </c>
      <c r="F1696" s="1" t="s">
        <v>9</v>
      </c>
      <c r="G1696" s="2" t="s">
        <v>12</v>
      </c>
      <c r="H1696" s="2" t="s">
        <v>42</v>
      </c>
      <c r="I1696" s="1" t="s">
        <v>11</v>
      </c>
      <c r="J1696" s="1" t="s">
        <v>8</v>
      </c>
      <c r="K1696" s="89">
        <v>20400</v>
      </c>
      <c r="L1696" s="3">
        <v>7.55</v>
      </c>
      <c r="M1696" s="3">
        <v>22.1</v>
      </c>
      <c r="N1696" s="3" t="s">
        <v>8</v>
      </c>
      <c r="O1696" s="3" t="s">
        <v>8</v>
      </c>
    </row>
    <row r="1697" spans="1:15" x14ac:dyDescent="0.35">
      <c r="A1697" s="5" t="str">
        <f>Loads[[#This Row],[Date]]&amp;Loads[[#This Row],[Product]]</f>
        <v>44258Product4</v>
      </c>
      <c r="B1697" s="5">
        <f>COUNTIF($A$1:A1697,Loads[[#This Row],[Load]])</f>
        <v>4</v>
      </c>
      <c r="C1697" s="3" t="str">
        <f>Loads[[#This Row],[Load]]&amp;Loads[[#This Row],[Count]]</f>
        <v>44258Product44</v>
      </c>
      <c r="D1697" s="90">
        <v>44258</v>
      </c>
      <c r="E1697" s="143">
        <v>7.0833333333333331E-2</v>
      </c>
      <c r="F1697" s="1" t="s">
        <v>9</v>
      </c>
      <c r="G1697" s="2" t="s">
        <v>15</v>
      </c>
      <c r="H1697" s="2" t="s">
        <v>42</v>
      </c>
      <c r="I1697" s="1" t="s">
        <v>11</v>
      </c>
      <c r="J1697" s="1" t="s">
        <v>8</v>
      </c>
      <c r="K1697" s="89">
        <v>29940</v>
      </c>
      <c r="L1697" s="3">
        <v>8.86</v>
      </c>
      <c r="M1697" s="3">
        <v>64.87</v>
      </c>
      <c r="N1697" s="3" t="s">
        <v>8</v>
      </c>
      <c r="O1697" s="3" t="s">
        <v>8</v>
      </c>
    </row>
    <row r="1698" spans="1:15" x14ac:dyDescent="0.35">
      <c r="A1698" s="5" t="str">
        <f>Loads[[#This Row],[Date]]&amp;Loads[[#This Row],[Product]]</f>
        <v>44258Product6</v>
      </c>
      <c r="B1698" s="5">
        <f>COUNTIF($A$1:A1698,Loads[[#This Row],[Load]])</f>
        <v>2</v>
      </c>
      <c r="C1698" s="3" t="str">
        <f>Loads[[#This Row],[Load]]&amp;Loads[[#This Row],[Count]]</f>
        <v>44258Product62</v>
      </c>
      <c r="D1698" s="90">
        <v>44258</v>
      </c>
      <c r="E1698" s="143">
        <v>7.2222222222222229E-2</v>
      </c>
      <c r="F1698" s="1" t="s">
        <v>9</v>
      </c>
      <c r="G1698" s="2" t="s">
        <v>17</v>
      </c>
      <c r="H1698" s="2" t="s">
        <v>42</v>
      </c>
      <c r="I1698" s="1" t="s">
        <v>11</v>
      </c>
      <c r="J1698" s="1" t="s">
        <v>8</v>
      </c>
      <c r="K1698" s="89">
        <v>34980</v>
      </c>
      <c r="L1698" s="3">
        <v>0.06</v>
      </c>
      <c r="M1698" s="3" t="s">
        <v>8</v>
      </c>
      <c r="N1698" s="3">
        <v>2.04</v>
      </c>
      <c r="O1698" s="3" t="s">
        <v>8</v>
      </c>
    </row>
    <row r="1699" spans="1:15" x14ac:dyDescent="0.35">
      <c r="A1699" s="5" t="str">
        <f>Loads[[#This Row],[Date]]&amp;Loads[[#This Row],[Product]]</f>
        <v>44258Product1</v>
      </c>
      <c r="B1699" s="5">
        <f>COUNTIF($A$1:A1699,Loads[[#This Row],[Load]])</f>
        <v>11</v>
      </c>
      <c r="C1699" s="3" t="str">
        <f>Loads[[#This Row],[Load]]&amp;Loads[[#This Row],[Count]]</f>
        <v>44258Product111</v>
      </c>
      <c r="D1699" s="90">
        <v>44258</v>
      </c>
      <c r="E1699" s="143">
        <v>7.4305555555555555E-2</v>
      </c>
      <c r="F1699" s="1" t="s">
        <v>9</v>
      </c>
      <c r="G1699" s="2" t="s">
        <v>12</v>
      </c>
      <c r="H1699" s="2" t="s">
        <v>42</v>
      </c>
      <c r="I1699" s="1" t="s">
        <v>11</v>
      </c>
      <c r="J1699" s="1" t="s">
        <v>8</v>
      </c>
      <c r="K1699" s="89">
        <v>21780</v>
      </c>
      <c r="L1699" s="3">
        <v>9.94</v>
      </c>
      <c r="M1699" s="3">
        <v>22.32</v>
      </c>
      <c r="N1699" s="3" t="s">
        <v>8</v>
      </c>
      <c r="O1699" s="3" t="s">
        <v>8</v>
      </c>
    </row>
    <row r="1700" spans="1:15" x14ac:dyDescent="0.35">
      <c r="A1700" s="5" t="str">
        <f>Loads[[#This Row],[Date]]&amp;Loads[[#This Row],[Product]]</f>
        <v>44258Product1</v>
      </c>
      <c r="B1700" s="5">
        <f>COUNTIF($A$1:A1700,Loads[[#This Row],[Load]])</f>
        <v>12</v>
      </c>
      <c r="C1700" s="3" t="str">
        <f>Loads[[#This Row],[Load]]&amp;Loads[[#This Row],[Count]]</f>
        <v>44258Product112</v>
      </c>
      <c r="D1700" s="90">
        <v>44258</v>
      </c>
      <c r="E1700" s="143">
        <v>7.5694444444444439E-2</v>
      </c>
      <c r="F1700" s="1" t="s">
        <v>9</v>
      </c>
      <c r="G1700" s="2" t="s">
        <v>12</v>
      </c>
      <c r="H1700" s="2" t="s">
        <v>42</v>
      </c>
      <c r="I1700" s="1" t="s">
        <v>10</v>
      </c>
      <c r="J1700" s="1">
        <v>790</v>
      </c>
      <c r="K1700" s="89">
        <v>31600</v>
      </c>
      <c r="L1700" s="3">
        <v>9.82</v>
      </c>
      <c r="M1700" s="3">
        <v>23.06</v>
      </c>
      <c r="N1700" s="3" t="s">
        <v>8</v>
      </c>
      <c r="O1700" s="3" t="s">
        <v>8</v>
      </c>
    </row>
    <row r="1701" spans="1:15" x14ac:dyDescent="0.35">
      <c r="A1701" s="5" t="str">
        <f>Loads[[#This Row],[Date]]&amp;Loads[[#This Row],[Product]]</f>
        <v>44258Product1</v>
      </c>
      <c r="B1701" s="5">
        <f>COUNTIF($A$1:A1701,Loads[[#This Row],[Load]])</f>
        <v>13</v>
      </c>
      <c r="C1701" s="3" t="str">
        <f>Loads[[#This Row],[Load]]&amp;Loads[[#This Row],[Count]]</f>
        <v>44258Product113</v>
      </c>
      <c r="D1701" s="90">
        <v>44258</v>
      </c>
      <c r="E1701" s="143">
        <v>7.6388888888888895E-2</v>
      </c>
      <c r="F1701" s="1" t="s">
        <v>9</v>
      </c>
      <c r="G1701" s="2" t="s">
        <v>12</v>
      </c>
      <c r="H1701" s="2" t="s">
        <v>42</v>
      </c>
      <c r="I1701" s="1" t="s">
        <v>10</v>
      </c>
      <c r="J1701" s="1">
        <v>935</v>
      </c>
      <c r="K1701" s="89">
        <v>37200</v>
      </c>
      <c r="L1701" s="3">
        <v>8.86</v>
      </c>
      <c r="M1701" s="3">
        <v>21.66</v>
      </c>
      <c r="N1701" s="3" t="s">
        <v>8</v>
      </c>
      <c r="O1701" s="3" t="s">
        <v>8</v>
      </c>
    </row>
    <row r="1702" spans="1:15" x14ac:dyDescent="0.35">
      <c r="A1702" s="5" t="str">
        <f>Loads[[#This Row],[Date]]&amp;Loads[[#This Row],[Product]]</f>
        <v>44258Product2</v>
      </c>
      <c r="B1702" s="5">
        <f>COUNTIF($A$1:A1702,Loads[[#This Row],[Load]])</f>
        <v>1</v>
      </c>
      <c r="C1702" s="3" t="str">
        <f>Loads[[#This Row],[Load]]&amp;Loads[[#This Row],[Count]]</f>
        <v>44258Product21</v>
      </c>
      <c r="D1702" s="90">
        <v>44258</v>
      </c>
      <c r="E1702" s="143">
        <v>9.7222222222222224E-2</v>
      </c>
      <c r="F1702" s="1" t="s">
        <v>9</v>
      </c>
      <c r="G1702" s="2" t="s">
        <v>13</v>
      </c>
      <c r="H1702" s="2" t="s">
        <v>42</v>
      </c>
      <c r="I1702" s="1" t="s">
        <v>11</v>
      </c>
      <c r="J1702" s="1" t="s">
        <v>8</v>
      </c>
      <c r="K1702" s="89">
        <v>11880</v>
      </c>
      <c r="L1702" s="3">
        <v>61.49</v>
      </c>
      <c r="M1702" s="3">
        <v>9.5500000000000007</v>
      </c>
      <c r="N1702" s="3" t="s">
        <v>8</v>
      </c>
      <c r="O1702" s="3" t="s">
        <v>8</v>
      </c>
    </row>
    <row r="1703" spans="1:15" x14ac:dyDescent="0.35">
      <c r="A1703" s="5" t="str">
        <f>Loads[[#This Row],[Date]]&amp;Loads[[#This Row],[Product]]</f>
        <v>44258Product2</v>
      </c>
      <c r="B1703" s="5">
        <f>COUNTIF($A$1:A1703,Loads[[#This Row],[Load]])</f>
        <v>2</v>
      </c>
      <c r="C1703" s="3" t="str">
        <f>Loads[[#This Row],[Load]]&amp;Loads[[#This Row],[Count]]</f>
        <v>44258Product22</v>
      </c>
      <c r="D1703" s="90">
        <v>44258</v>
      </c>
      <c r="E1703" s="143">
        <v>0.10625</v>
      </c>
      <c r="F1703" s="1" t="s">
        <v>9</v>
      </c>
      <c r="G1703" s="2" t="s">
        <v>13</v>
      </c>
      <c r="H1703" s="2" t="s">
        <v>42</v>
      </c>
      <c r="I1703" s="1" t="s">
        <v>11</v>
      </c>
      <c r="J1703" s="1" t="s">
        <v>8</v>
      </c>
      <c r="K1703" s="89">
        <v>10440</v>
      </c>
      <c r="L1703" s="3">
        <v>61.81</v>
      </c>
      <c r="M1703" s="3">
        <v>8.9600000000000009</v>
      </c>
      <c r="N1703" s="3" t="s">
        <v>8</v>
      </c>
      <c r="O1703" s="3" t="s">
        <v>8</v>
      </c>
    </row>
    <row r="1704" spans="1:15" x14ac:dyDescent="0.35">
      <c r="A1704" s="5" t="str">
        <f>Loads[[#This Row],[Date]]&amp;Loads[[#This Row],[Product]]</f>
        <v>44258Product2</v>
      </c>
      <c r="B1704" s="5">
        <f>COUNTIF($A$1:A1704,Loads[[#This Row],[Load]])</f>
        <v>3</v>
      </c>
      <c r="C1704" s="3" t="str">
        <f>Loads[[#This Row],[Load]]&amp;Loads[[#This Row],[Count]]</f>
        <v>44258Product23</v>
      </c>
      <c r="D1704" s="90">
        <v>44258</v>
      </c>
      <c r="E1704" s="143">
        <v>0.1076388888888889</v>
      </c>
      <c r="F1704" s="1" t="s">
        <v>9</v>
      </c>
      <c r="G1704" s="2" t="s">
        <v>13</v>
      </c>
      <c r="H1704" s="2" t="s">
        <v>42</v>
      </c>
      <c r="I1704" s="1" t="s">
        <v>11</v>
      </c>
      <c r="J1704" s="1" t="s">
        <v>8</v>
      </c>
      <c r="K1704" s="89">
        <v>12880</v>
      </c>
      <c r="L1704" s="3">
        <v>64.87</v>
      </c>
      <c r="M1704" s="3">
        <v>9.24</v>
      </c>
      <c r="N1704" s="3" t="s">
        <v>8</v>
      </c>
      <c r="O1704" s="3" t="s">
        <v>8</v>
      </c>
    </row>
    <row r="1705" spans="1:15" x14ac:dyDescent="0.35">
      <c r="A1705" s="5" t="str">
        <f>Loads[[#This Row],[Date]]&amp;Loads[[#This Row],[Product]]</f>
        <v>44258Product2</v>
      </c>
      <c r="B1705" s="5">
        <f>COUNTIF($A$1:A1705,Loads[[#This Row],[Load]])</f>
        <v>4</v>
      </c>
      <c r="C1705" s="3" t="str">
        <f>Loads[[#This Row],[Load]]&amp;Loads[[#This Row],[Count]]</f>
        <v>44258Product24</v>
      </c>
      <c r="D1705" s="90">
        <v>44258</v>
      </c>
      <c r="E1705" s="143">
        <v>0.10833333333333334</v>
      </c>
      <c r="F1705" s="1" t="s">
        <v>9</v>
      </c>
      <c r="G1705" s="2" t="s">
        <v>13</v>
      </c>
      <c r="H1705" s="2" t="s">
        <v>42</v>
      </c>
      <c r="I1705" s="1" t="s">
        <v>11</v>
      </c>
      <c r="J1705" s="1" t="s">
        <v>8</v>
      </c>
      <c r="K1705" s="89">
        <v>12480</v>
      </c>
      <c r="L1705" s="3">
        <v>58.8</v>
      </c>
      <c r="M1705" s="3">
        <v>10.31</v>
      </c>
      <c r="N1705" s="3" t="s">
        <v>8</v>
      </c>
      <c r="O1705" s="3" t="s">
        <v>8</v>
      </c>
    </row>
    <row r="1706" spans="1:15" x14ac:dyDescent="0.35">
      <c r="A1706" s="5" t="str">
        <f>Loads[[#This Row],[Date]]&amp;Loads[[#This Row],[Product]]</f>
        <v>44258Product2</v>
      </c>
      <c r="B1706" s="5">
        <f>COUNTIF($A$1:A1706,Loads[[#This Row],[Load]])</f>
        <v>5</v>
      </c>
      <c r="C1706" s="3" t="str">
        <f>Loads[[#This Row],[Load]]&amp;Loads[[#This Row],[Count]]</f>
        <v>44258Product25</v>
      </c>
      <c r="D1706" s="90">
        <v>44258</v>
      </c>
      <c r="E1706" s="143">
        <v>0.10902777777777778</v>
      </c>
      <c r="F1706" s="1" t="s">
        <v>9</v>
      </c>
      <c r="G1706" s="2" t="s">
        <v>13</v>
      </c>
      <c r="H1706" s="2" t="s">
        <v>42</v>
      </c>
      <c r="I1706" s="1" t="s">
        <v>11</v>
      </c>
      <c r="J1706" s="1" t="s">
        <v>8</v>
      </c>
      <c r="K1706" s="89">
        <v>16680</v>
      </c>
      <c r="L1706" s="3">
        <v>60.93</v>
      </c>
      <c r="M1706" s="3">
        <v>10.42</v>
      </c>
      <c r="N1706" s="3" t="s">
        <v>8</v>
      </c>
      <c r="O1706" s="3" t="s">
        <v>8</v>
      </c>
    </row>
    <row r="1707" spans="1:15" x14ac:dyDescent="0.35">
      <c r="A1707" s="5" t="str">
        <f>Loads[[#This Row],[Date]]&amp;Loads[[#This Row],[Product]]</f>
        <v>44258Product2</v>
      </c>
      <c r="B1707" s="5">
        <f>COUNTIF($A$1:A1707,Loads[[#This Row],[Load]])</f>
        <v>6</v>
      </c>
      <c r="C1707" s="3" t="str">
        <f>Loads[[#This Row],[Load]]&amp;Loads[[#This Row],[Count]]</f>
        <v>44258Product26</v>
      </c>
      <c r="D1707" s="90">
        <v>44258</v>
      </c>
      <c r="E1707" s="143">
        <v>0.10972222222222222</v>
      </c>
      <c r="F1707" s="1" t="s">
        <v>9</v>
      </c>
      <c r="G1707" s="2" t="s">
        <v>13</v>
      </c>
      <c r="H1707" s="2" t="s">
        <v>42</v>
      </c>
      <c r="I1707" s="1" t="s">
        <v>11</v>
      </c>
      <c r="J1707" s="1" t="s">
        <v>8</v>
      </c>
      <c r="K1707" s="89">
        <v>10120</v>
      </c>
      <c r="L1707" s="3">
        <v>59.93</v>
      </c>
      <c r="M1707" s="3">
        <v>10.61</v>
      </c>
      <c r="N1707" s="3" t="s">
        <v>8</v>
      </c>
      <c r="O1707" s="3" t="s">
        <v>8</v>
      </c>
    </row>
    <row r="1708" spans="1:15" x14ac:dyDescent="0.35">
      <c r="A1708" s="5" t="str">
        <f>Loads[[#This Row],[Date]]&amp;Loads[[#This Row],[Product]]</f>
        <v>44258Product2</v>
      </c>
      <c r="B1708" s="5">
        <f>COUNTIF($A$1:A1708,Loads[[#This Row],[Load]])</f>
        <v>7</v>
      </c>
      <c r="C1708" s="3" t="str">
        <f>Loads[[#This Row],[Load]]&amp;Loads[[#This Row],[Count]]</f>
        <v>44258Product27</v>
      </c>
      <c r="D1708" s="90">
        <v>44258</v>
      </c>
      <c r="E1708" s="143">
        <v>0.11041666666666666</v>
      </c>
      <c r="F1708" s="1" t="s">
        <v>9</v>
      </c>
      <c r="G1708" s="2" t="s">
        <v>13</v>
      </c>
      <c r="H1708" s="2" t="s">
        <v>42</v>
      </c>
      <c r="I1708" s="1" t="s">
        <v>11</v>
      </c>
      <c r="J1708" s="1" t="s">
        <v>8</v>
      </c>
      <c r="K1708" s="89">
        <v>12240</v>
      </c>
      <c r="L1708" s="3">
        <v>60.24</v>
      </c>
      <c r="M1708" s="3">
        <v>10.35</v>
      </c>
      <c r="N1708" s="3" t="s">
        <v>8</v>
      </c>
      <c r="O1708" s="3" t="s">
        <v>8</v>
      </c>
    </row>
    <row r="1709" spans="1:15" x14ac:dyDescent="0.35">
      <c r="A1709" s="5" t="str">
        <f>Loads[[#This Row],[Date]]&amp;Loads[[#This Row],[Product]]</f>
        <v>44259Product1</v>
      </c>
      <c r="B1709" s="5">
        <f>COUNTIF($A$1:A1709,Loads[[#This Row],[Load]])</f>
        <v>1</v>
      </c>
      <c r="C1709" s="3" t="str">
        <f>Loads[[#This Row],[Load]]&amp;Loads[[#This Row],[Count]]</f>
        <v>44259Product11</v>
      </c>
      <c r="D1709" s="90">
        <v>44259</v>
      </c>
      <c r="E1709" s="143">
        <v>6.1805555555555558E-2</v>
      </c>
      <c r="F1709" s="1" t="s">
        <v>9</v>
      </c>
      <c r="G1709" s="2" t="s">
        <v>12</v>
      </c>
      <c r="H1709" s="2" t="s">
        <v>42</v>
      </c>
      <c r="I1709" s="1" t="s">
        <v>11</v>
      </c>
      <c r="J1709" s="1" t="s">
        <v>8</v>
      </c>
      <c r="K1709" s="89">
        <v>25840</v>
      </c>
      <c r="L1709" s="3">
        <v>8.8000000000000007</v>
      </c>
      <c r="M1709" s="3">
        <v>22.16</v>
      </c>
      <c r="N1709" s="3" t="s">
        <v>8</v>
      </c>
      <c r="O1709" s="3" t="s">
        <v>8</v>
      </c>
    </row>
    <row r="1710" spans="1:15" x14ac:dyDescent="0.35">
      <c r="A1710" s="5" t="str">
        <f>Loads[[#This Row],[Date]]&amp;Loads[[#This Row],[Product]]</f>
        <v>44259Product1</v>
      </c>
      <c r="B1710" s="5">
        <f>COUNTIF($A$1:A1710,Loads[[#This Row],[Load]])</f>
        <v>2</v>
      </c>
      <c r="C1710" s="3" t="str">
        <f>Loads[[#This Row],[Load]]&amp;Loads[[#This Row],[Count]]</f>
        <v>44259Product12</v>
      </c>
      <c r="D1710" s="90">
        <v>44259</v>
      </c>
      <c r="E1710" s="143">
        <v>6.3888888888888884E-2</v>
      </c>
      <c r="F1710" s="1" t="s">
        <v>9</v>
      </c>
      <c r="G1710" s="2" t="s">
        <v>12</v>
      </c>
      <c r="H1710" s="2" t="s">
        <v>42</v>
      </c>
      <c r="I1710" s="1" t="s">
        <v>11</v>
      </c>
      <c r="J1710" s="1" t="s">
        <v>8</v>
      </c>
      <c r="K1710" s="89">
        <v>21140</v>
      </c>
      <c r="L1710" s="3">
        <v>8.93</v>
      </c>
      <c r="M1710" s="3">
        <v>21.99</v>
      </c>
      <c r="N1710" s="3" t="s">
        <v>8</v>
      </c>
      <c r="O1710" s="3" t="s">
        <v>8</v>
      </c>
    </row>
    <row r="1711" spans="1:15" x14ac:dyDescent="0.35">
      <c r="A1711" s="5" t="str">
        <f>Loads[[#This Row],[Date]]&amp;Loads[[#This Row],[Product]]</f>
        <v>44259Product1</v>
      </c>
      <c r="B1711" s="5">
        <f>COUNTIF($A$1:A1711,Loads[[#This Row],[Load]])</f>
        <v>3</v>
      </c>
      <c r="C1711" s="3" t="str">
        <f>Loads[[#This Row],[Load]]&amp;Loads[[#This Row],[Count]]</f>
        <v>44259Product13</v>
      </c>
      <c r="D1711" s="90">
        <v>44259</v>
      </c>
      <c r="E1711" s="143">
        <v>6.458333333333334E-2</v>
      </c>
      <c r="F1711" s="1" t="s">
        <v>9</v>
      </c>
      <c r="G1711" s="2" t="s">
        <v>12</v>
      </c>
      <c r="H1711" s="2" t="s">
        <v>42</v>
      </c>
      <c r="I1711" s="1" t="s">
        <v>11</v>
      </c>
      <c r="J1711" s="1" t="s">
        <v>8</v>
      </c>
      <c r="K1711" s="89">
        <v>24780</v>
      </c>
      <c r="L1711" s="3">
        <v>8.7200000000000006</v>
      </c>
      <c r="M1711" s="3">
        <v>21.78</v>
      </c>
      <c r="N1711" s="3" t="s">
        <v>8</v>
      </c>
      <c r="O1711" s="3" t="s">
        <v>8</v>
      </c>
    </row>
    <row r="1712" spans="1:15" x14ac:dyDescent="0.35">
      <c r="A1712" s="5" t="str">
        <f>Loads[[#This Row],[Date]]&amp;Loads[[#This Row],[Product]]</f>
        <v>44259Product1</v>
      </c>
      <c r="B1712" s="5">
        <f>COUNTIF($A$1:A1712,Loads[[#This Row],[Load]])</f>
        <v>4</v>
      </c>
      <c r="C1712" s="3" t="str">
        <f>Loads[[#This Row],[Load]]&amp;Loads[[#This Row],[Count]]</f>
        <v>44259Product14</v>
      </c>
      <c r="D1712" s="90">
        <v>44259</v>
      </c>
      <c r="E1712" s="143">
        <v>6.6666666666666666E-2</v>
      </c>
      <c r="F1712" s="1" t="s">
        <v>9</v>
      </c>
      <c r="G1712" s="2" t="s">
        <v>12</v>
      </c>
      <c r="H1712" s="2" t="s">
        <v>42</v>
      </c>
      <c r="I1712" s="1" t="s">
        <v>11</v>
      </c>
      <c r="J1712" s="1" t="s">
        <v>8</v>
      </c>
      <c r="K1712" s="89">
        <v>22420</v>
      </c>
      <c r="L1712" s="3">
        <v>8.14</v>
      </c>
      <c r="M1712" s="3">
        <v>21.55</v>
      </c>
      <c r="N1712" s="3" t="s">
        <v>8</v>
      </c>
      <c r="O1712" s="3" t="s">
        <v>8</v>
      </c>
    </row>
    <row r="1713" spans="1:15" x14ac:dyDescent="0.35">
      <c r="A1713" s="5" t="str">
        <f>Loads[[#This Row],[Date]]&amp;Loads[[#This Row],[Product]]</f>
        <v>44259Product1</v>
      </c>
      <c r="B1713" s="5">
        <f>COUNTIF($A$1:A1713,Loads[[#This Row],[Load]])</f>
        <v>5</v>
      </c>
      <c r="C1713" s="3" t="str">
        <f>Loads[[#This Row],[Load]]&amp;Loads[[#This Row],[Count]]</f>
        <v>44259Product15</v>
      </c>
      <c r="D1713" s="90">
        <v>44259</v>
      </c>
      <c r="E1713" s="143">
        <v>6.7361111111111108E-2</v>
      </c>
      <c r="F1713" s="1" t="s">
        <v>9</v>
      </c>
      <c r="G1713" s="2" t="s">
        <v>12</v>
      </c>
      <c r="H1713" s="2" t="s">
        <v>42</v>
      </c>
      <c r="I1713" s="1" t="s">
        <v>11</v>
      </c>
      <c r="J1713" s="1" t="s">
        <v>8</v>
      </c>
      <c r="K1713" s="89">
        <v>30760</v>
      </c>
      <c r="L1713" s="3">
        <v>9.07</v>
      </c>
      <c r="M1713" s="3">
        <v>22.45</v>
      </c>
      <c r="N1713" s="3" t="s">
        <v>8</v>
      </c>
      <c r="O1713" s="3" t="s">
        <v>8</v>
      </c>
    </row>
    <row r="1714" spans="1:15" x14ac:dyDescent="0.35">
      <c r="A1714" s="5" t="str">
        <f>Loads[[#This Row],[Date]]&amp;Loads[[#This Row],[Product]]</f>
        <v>44259Product1</v>
      </c>
      <c r="B1714" s="5">
        <f>COUNTIF($A$1:A1714,Loads[[#This Row],[Load]])</f>
        <v>6</v>
      </c>
      <c r="C1714" s="3" t="str">
        <f>Loads[[#This Row],[Load]]&amp;Loads[[#This Row],[Count]]</f>
        <v>44259Product16</v>
      </c>
      <c r="D1714" s="90">
        <v>44259</v>
      </c>
      <c r="E1714" s="143">
        <v>6.805555555555555E-2</v>
      </c>
      <c r="F1714" s="1" t="s">
        <v>9</v>
      </c>
      <c r="G1714" s="2" t="s">
        <v>12</v>
      </c>
      <c r="H1714" s="2" t="s">
        <v>42</v>
      </c>
      <c r="I1714" s="1" t="s">
        <v>10</v>
      </c>
      <c r="J1714" s="1">
        <v>275</v>
      </c>
      <c r="K1714" s="89">
        <v>10080</v>
      </c>
      <c r="L1714" s="3">
        <v>8.5</v>
      </c>
      <c r="M1714" s="3">
        <v>21.1</v>
      </c>
      <c r="N1714" s="3" t="s">
        <v>8</v>
      </c>
      <c r="O1714" s="3" t="s">
        <v>8</v>
      </c>
    </row>
    <row r="1715" spans="1:15" x14ac:dyDescent="0.35">
      <c r="A1715" s="5" t="str">
        <f>Loads[[#This Row],[Date]]&amp;Loads[[#This Row],[Product]]</f>
        <v>44259Product6</v>
      </c>
      <c r="B1715" s="5">
        <f>COUNTIF($A$1:A1715,Loads[[#This Row],[Load]])</f>
        <v>1</v>
      </c>
      <c r="C1715" s="3" t="str">
        <f>Loads[[#This Row],[Load]]&amp;Loads[[#This Row],[Count]]</f>
        <v>44259Product61</v>
      </c>
      <c r="D1715" s="90">
        <v>44259</v>
      </c>
      <c r="E1715" s="143">
        <v>6.9444444444444434E-2</v>
      </c>
      <c r="F1715" s="1" t="s">
        <v>9</v>
      </c>
      <c r="G1715" s="2" t="s">
        <v>17</v>
      </c>
      <c r="H1715" s="2" t="s">
        <v>42</v>
      </c>
      <c r="I1715" s="1" t="s">
        <v>11</v>
      </c>
      <c r="J1715" s="1" t="s">
        <v>8</v>
      </c>
      <c r="K1715" s="89">
        <v>35600</v>
      </c>
      <c r="L1715" s="3">
        <v>0.08</v>
      </c>
      <c r="M1715" s="3" t="s">
        <v>8</v>
      </c>
      <c r="N1715" s="3">
        <v>2.04</v>
      </c>
      <c r="O1715" s="3" t="s">
        <v>8</v>
      </c>
    </row>
    <row r="1716" spans="1:15" x14ac:dyDescent="0.35">
      <c r="A1716" s="5" t="str">
        <f>Loads[[#This Row],[Date]]&amp;Loads[[#This Row],[Product]]</f>
        <v>44259Product4</v>
      </c>
      <c r="B1716" s="5">
        <f>COUNTIF($A$1:A1716,Loads[[#This Row],[Load]])</f>
        <v>1</v>
      </c>
      <c r="C1716" s="3" t="str">
        <f>Loads[[#This Row],[Load]]&amp;Loads[[#This Row],[Count]]</f>
        <v>44259Product41</v>
      </c>
      <c r="D1716" s="90">
        <v>44259</v>
      </c>
      <c r="E1716" s="143">
        <v>6.9444444444444434E-2</v>
      </c>
      <c r="F1716" s="1" t="s">
        <v>9</v>
      </c>
      <c r="G1716" s="2" t="s">
        <v>15</v>
      </c>
      <c r="H1716" s="2" t="s">
        <v>42</v>
      </c>
      <c r="I1716" s="1" t="s">
        <v>0</v>
      </c>
      <c r="J1716" s="1">
        <v>22</v>
      </c>
      <c r="K1716" s="89">
        <v>26600</v>
      </c>
      <c r="L1716" s="3">
        <v>9.93</v>
      </c>
      <c r="M1716" s="3">
        <v>63.63</v>
      </c>
      <c r="N1716" s="3" t="s">
        <v>8</v>
      </c>
      <c r="O1716" s="3" t="s">
        <v>8</v>
      </c>
    </row>
    <row r="1717" spans="1:15" x14ac:dyDescent="0.35">
      <c r="A1717" s="5" t="str">
        <f>Loads[[#This Row],[Date]]&amp;Loads[[#This Row],[Product]]</f>
        <v>44259Product8</v>
      </c>
      <c r="B1717" s="5">
        <f>COUNTIF($A$1:A1717,Loads[[#This Row],[Load]])</f>
        <v>1</v>
      </c>
      <c r="C1717" s="3" t="str">
        <f>Loads[[#This Row],[Load]]&amp;Loads[[#This Row],[Count]]</f>
        <v>44259Product81</v>
      </c>
      <c r="D1717" s="90">
        <v>44259</v>
      </c>
      <c r="E1717" s="143">
        <v>7.1527777777777787E-2</v>
      </c>
      <c r="F1717" s="1" t="s">
        <v>9</v>
      </c>
      <c r="G1717" s="2" t="s">
        <v>19</v>
      </c>
      <c r="H1717" s="2" t="s">
        <v>42</v>
      </c>
      <c r="I1717" s="1" t="s">
        <v>11</v>
      </c>
      <c r="J1717" s="1" t="s">
        <v>8</v>
      </c>
      <c r="K1717" s="89">
        <v>18680</v>
      </c>
      <c r="L1717" s="3">
        <v>12.39</v>
      </c>
      <c r="M1717" s="3">
        <v>7.01</v>
      </c>
      <c r="N1717" s="3" t="s">
        <v>8</v>
      </c>
      <c r="O1717" s="3" t="s">
        <v>8</v>
      </c>
    </row>
    <row r="1718" spans="1:15" x14ac:dyDescent="0.35">
      <c r="A1718" s="5" t="str">
        <f>Loads[[#This Row],[Date]]&amp;Loads[[#This Row],[Product]]</f>
        <v>44259Product2</v>
      </c>
      <c r="B1718" s="5">
        <f>COUNTIF($A$1:A1718,Loads[[#This Row],[Load]])</f>
        <v>1</v>
      </c>
      <c r="C1718" s="3" t="str">
        <f>Loads[[#This Row],[Load]]&amp;Loads[[#This Row],[Count]]</f>
        <v>44259Product21</v>
      </c>
      <c r="D1718" s="90">
        <v>44259</v>
      </c>
      <c r="E1718" s="143">
        <v>8.3333333333333329E-2</v>
      </c>
      <c r="F1718" s="1" t="s">
        <v>9</v>
      </c>
      <c r="G1718" s="2" t="s">
        <v>13</v>
      </c>
      <c r="H1718" s="2" t="s">
        <v>42</v>
      </c>
      <c r="I1718" s="1" t="s">
        <v>11</v>
      </c>
      <c r="J1718" s="1" t="s">
        <v>8</v>
      </c>
      <c r="K1718" s="89">
        <v>10640</v>
      </c>
      <c r="L1718" s="3">
        <v>66.48</v>
      </c>
      <c r="M1718" s="3">
        <v>8.5500000000000007</v>
      </c>
      <c r="N1718" s="3" t="s">
        <v>8</v>
      </c>
      <c r="O1718" s="3" t="s">
        <v>8</v>
      </c>
    </row>
    <row r="1719" spans="1:15" x14ac:dyDescent="0.35">
      <c r="A1719" s="5" t="str">
        <f>Loads[[#This Row],[Date]]&amp;Loads[[#This Row],[Product]]</f>
        <v>44259Product3</v>
      </c>
      <c r="B1719" s="5">
        <f>COUNTIF($A$1:A1719,Loads[[#This Row],[Load]])</f>
        <v>1</v>
      </c>
      <c r="C1719" s="3" t="str">
        <f>Loads[[#This Row],[Load]]&amp;Loads[[#This Row],[Count]]</f>
        <v>44259Product31</v>
      </c>
      <c r="D1719" s="90">
        <v>44259</v>
      </c>
      <c r="E1719" s="143">
        <v>8.4027777777777771E-2</v>
      </c>
      <c r="F1719" s="1" t="s">
        <v>9</v>
      </c>
      <c r="G1719" s="2" t="s">
        <v>14</v>
      </c>
      <c r="H1719" s="2" t="s">
        <v>42</v>
      </c>
      <c r="I1719" s="1" t="s">
        <v>11</v>
      </c>
      <c r="J1719" s="1" t="s">
        <v>8</v>
      </c>
      <c r="K1719" s="89">
        <v>12440</v>
      </c>
      <c r="L1719" s="3">
        <v>54.97</v>
      </c>
      <c r="M1719" s="3">
        <v>13.14</v>
      </c>
      <c r="N1719" s="3" t="s">
        <v>8</v>
      </c>
      <c r="O1719" s="3" t="s">
        <v>8</v>
      </c>
    </row>
    <row r="1720" spans="1:15" x14ac:dyDescent="0.35">
      <c r="A1720" s="5" t="str">
        <f>Loads[[#This Row],[Date]]&amp;Loads[[#This Row],[Product]]</f>
        <v>44259Product3</v>
      </c>
      <c r="B1720" s="5">
        <f>COUNTIF($A$1:A1720,Loads[[#This Row],[Load]])</f>
        <v>2</v>
      </c>
      <c r="C1720" s="3" t="str">
        <f>Loads[[#This Row],[Load]]&amp;Loads[[#This Row],[Count]]</f>
        <v>44259Product32</v>
      </c>
      <c r="D1720" s="90">
        <v>44259</v>
      </c>
      <c r="E1720" s="143">
        <v>8.6805555555555566E-2</v>
      </c>
      <c r="F1720" s="1" t="s">
        <v>9</v>
      </c>
      <c r="G1720" s="2" t="s">
        <v>14</v>
      </c>
      <c r="H1720" s="2" t="s">
        <v>42</v>
      </c>
      <c r="I1720" s="1" t="s">
        <v>11</v>
      </c>
      <c r="J1720" s="1" t="s">
        <v>8</v>
      </c>
      <c r="K1720" s="89">
        <v>12180</v>
      </c>
      <c r="L1720" s="3">
        <v>59.64</v>
      </c>
      <c r="M1720" s="3">
        <v>11.81</v>
      </c>
      <c r="N1720" s="3" t="s">
        <v>8</v>
      </c>
      <c r="O1720" s="3" t="s">
        <v>8</v>
      </c>
    </row>
    <row r="1721" spans="1:15" x14ac:dyDescent="0.35">
      <c r="A1721" s="5" t="str">
        <f>Loads[[#This Row],[Date]]&amp;Loads[[#This Row],[Product]]</f>
        <v>44259Product2</v>
      </c>
      <c r="B1721" s="5">
        <f>COUNTIF($A$1:A1721,Loads[[#This Row],[Load]])</f>
        <v>2</v>
      </c>
      <c r="C1721" s="3" t="str">
        <f>Loads[[#This Row],[Load]]&amp;Loads[[#This Row],[Count]]</f>
        <v>44259Product22</v>
      </c>
      <c r="D1721" s="90">
        <v>44259</v>
      </c>
      <c r="E1721" s="143">
        <v>8.7500000000000008E-2</v>
      </c>
      <c r="F1721" s="1" t="s">
        <v>9</v>
      </c>
      <c r="G1721" s="2" t="s">
        <v>13</v>
      </c>
      <c r="H1721" s="2" t="s">
        <v>42</v>
      </c>
      <c r="I1721" s="1" t="s">
        <v>11</v>
      </c>
      <c r="J1721" s="1" t="s">
        <v>8</v>
      </c>
      <c r="K1721" s="89">
        <v>12300</v>
      </c>
      <c r="L1721" s="3">
        <v>65.180000000000007</v>
      </c>
      <c r="M1721" s="3">
        <v>8.11</v>
      </c>
      <c r="N1721" s="3" t="s">
        <v>8</v>
      </c>
      <c r="O1721" s="3" t="s">
        <v>8</v>
      </c>
    </row>
    <row r="1722" spans="1:15" x14ac:dyDescent="0.35">
      <c r="A1722" s="5" t="str">
        <f>Loads[[#This Row],[Date]]&amp;Loads[[#This Row],[Product]]</f>
        <v>44259Product2</v>
      </c>
      <c r="B1722" s="5">
        <f>COUNTIF($A$1:A1722,Loads[[#This Row],[Load]])</f>
        <v>3</v>
      </c>
      <c r="C1722" s="3" t="str">
        <f>Loads[[#This Row],[Load]]&amp;Loads[[#This Row],[Count]]</f>
        <v>44259Product23</v>
      </c>
      <c r="D1722" s="90">
        <v>44259</v>
      </c>
      <c r="E1722" s="143">
        <v>8.819444444444445E-2</v>
      </c>
      <c r="F1722" s="1" t="s">
        <v>9</v>
      </c>
      <c r="G1722" s="2" t="s">
        <v>13</v>
      </c>
      <c r="H1722" s="2" t="s">
        <v>42</v>
      </c>
      <c r="I1722" s="1" t="s">
        <v>11</v>
      </c>
      <c r="J1722" s="1" t="s">
        <v>8</v>
      </c>
      <c r="K1722" s="89">
        <v>16680</v>
      </c>
      <c r="L1722" s="3">
        <v>59.36</v>
      </c>
      <c r="M1722" s="3">
        <v>12.45</v>
      </c>
      <c r="N1722" s="3" t="s">
        <v>8</v>
      </c>
      <c r="O1722" s="3" t="s">
        <v>8</v>
      </c>
    </row>
    <row r="1723" spans="1:15" x14ac:dyDescent="0.35">
      <c r="A1723" s="5" t="str">
        <f>Loads[[#This Row],[Date]]&amp;Loads[[#This Row],[Product]]</f>
        <v>44259Product3</v>
      </c>
      <c r="B1723" s="5">
        <f>COUNTIF($A$1:A1723,Loads[[#This Row],[Load]])</f>
        <v>3</v>
      </c>
      <c r="C1723" s="3" t="str">
        <f>Loads[[#This Row],[Load]]&amp;Loads[[#This Row],[Count]]</f>
        <v>44259Product33</v>
      </c>
      <c r="D1723" s="90">
        <v>44259</v>
      </c>
      <c r="E1723" s="143">
        <v>8.8888888888888892E-2</v>
      </c>
      <c r="F1723" s="1" t="s">
        <v>9</v>
      </c>
      <c r="G1723" s="2" t="s">
        <v>14</v>
      </c>
      <c r="H1723" s="2" t="s">
        <v>42</v>
      </c>
      <c r="I1723" s="1" t="s">
        <v>11</v>
      </c>
      <c r="J1723" s="1" t="s">
        <v>8</v>
      </c>
      <c r="K1723" s="89">
        <v>11600</v>
      </c>
      <c r="L1723" s="3">
        <v>58.59</v>
      </c>
      <c r="M1723" s="3">
        <v>10.16</v>
      </c>
      <c r="N1723" s="3" t="s">
        <v>8</v>
      </c>
      <c r="O1723" s="3" t="s">
        <v>8</v>
      </c>
    </row>
    <row r="1724" spans="1:15" x14ac:dyDescent="0.35">
      <c r="A1724" s="5" t="str">
        <f>Loads[[#This Row],[Date]]&amp;Loads[[#This Row],[Product]]</f>
        <v>44259Product2</v>
      </c>
      <c r="B1724" s="5">
        <f>COUNTIF($A$1:A1724,Loads[[#This Row],[Load]])</f>
        <v>4</v>
      </c>
      <c r="C1724" s="3" t="str">
        <f>Loads[[#This Row],[Load]]&amp;Loads[[#This Row],[Count]]</f>
        <v>44259Product24</v>
      </c>
      <c r="D1724" s="90">
        <v>44259</v>
      </c>
      <c r="E1724" s="143">
        <v>8.9583333333333334E-2</v>
      </c>
      <c r="F1724" s="1" t="s">
        <v>9</v>
      </c>
      <c r="G1724" s="2" t="s">
        <v>13</v>
      </c>
      <c r="H1724" s="2" t="s">
        <v>42</v>
      </c>
      <c r="I1724" s="1" t="s">
        <v>11</v>
      </c>
      <c r="J1724" s="1" t="s">
        <v>8</v>
      </c>
      <c r="K1724" s="89">
        <v>11140</v>
      </c>
      <c r="L1724" s="3">
        <v>61.49</v>
      </c>
      <c r="M1724" s="3">
        <v>9.8699999999999992</v>
      </c>
      <c r="N1724" s="3" t="s">
        <v>8</v>
      </c>
      <c r="O1724" s="3" t="s">
        <v>8</v>
      </c>
    </row>
    <row r="1725" spans="1:15" x14ac:dyDescent="0.35">
      <c r="A1725" s="5" t="str">
        <f>Loads[[#This Row],[Date]]&amp;Loads[[#This Row],[Product]]</f>
        <v>44259Product3</v>
      </c>
      <c r="B1725" s="5">
        <f>COUNTIF($A$1:A1725,Loads[[#This Row],[Load]])</f>
        <v>4</v>
      </c>
      <c r="C1725" s="3" t="str">
        <f>Loads[[#This Row],[Load]]&amp;Loads[[#This Row],[Count]]</f>
        <v>44259Product34</v>
      </c>
      <c r="D1725" s="90">
        <v>44259</v>
      </c>
      <c r="E1725" s="143">
        <v>9.0277777777777776E-2</v>
      </c>
      <c r="F1725" s="1" t="s">
        <v>9</v>
      </c>
      <c r="G1725" s="2" t="s">
        <v>14</v>
      </c>
      <c r="H1725" s="2" t="s">
        <v>42</v>
      </c>
      <c r="I1725" s="1" t="s">
        <v>11</v>
      </c>
      <c r="J1725" s="1" t="s">
        <v>8</v>
      </c>
      <c r="K1725" s="89">
        <v>10700</v>
      </c>
      <c r="L1725" s="3">
        <v>54.32</v>
      </c>
      <c r="M1725" s="3">
        <v>11.13</v>
      </c>
      <c r="N1725" s="3" t="s">
        <v>8</v>
      </c>
      <c r="O1725" s="3" t="s">
        <v>8</v>
      </c>
    </row>
    <row r="1726" spans="1:15" x14ac:dyDescent="0.35">
      <c r="A1726" s="5" t="str">
        <f>Loads[[#This Row],[Date]]&amp;Loads[[#This Row],[Product]]</f>
        <v>44259Product7</v>
      </c>
      <c r="B1726" s="5">
        <f>COUNTIF($A$1:A1726,Loads[[#This Row],[Load]])</f>
        <v>1</v>
      </c>
      <c r="C1726" s="3" t="str">
        <f>Loads[[#This Row],[Load]]&amp;Loads[[#This Row],[Count]]</f>
        <v>44259Product71</v>
      </c>
      <c r="D1726" s="90">
        <v>44259</v>
      </c>
      <c r="E1726" s="143">
        <v>9.1666666666666674E-2</v>
      </c>
      <c r="F1726" s="1" t="s">
        <v>9</v>
      </c>
      <c r="G1726" s="2" t="s">
        <v>18</v>
      </c>
      <c r="H1726" s="2" t="s">
        <v>42</v>
      </c>
      <c r="I1726" s="1" t="s">
        <v>11</v>
      </c>
      <c r="J1726" s="1" t="s">
        <v>8</v>
      </c>
      <c r="K1726" s="89">
        <v>29460</v>
      </c>
      <c r="L1726" s="3" t="s">
        <v>8</v>
      </c>
      <c r="M1726" s="3">
        <v>23.46</v>
      </c>
      <c r="N1726" s="3" t="s">
        <v>8</v>
      </c>
      <c r="O1726" s="3">
        <v>41.18</v>
      </c>
    </row>
    <row r="1727" spans="1:15" x14ac:dyDescent="0.35">
      <c r="A1727" s="5" t="str">
        <f>Loads[[#This Row],[Date]]&amp;Loads[[#This Row],[Product]]</f>
        <v>44259Product7</v>
      </c>
      <c r="B1727" s="5">
        <f>COUNTIF($A$1:A1727,Loads[[#This Row],[Load]])</f>
        <v>2</v>
      </c>
      <c r="C1727" s="3" t="str">
        <f>Loads[[#This Row],[Load]]&amp;Loads[[#This Row],[Count]]</f>
        <v>44259Product72</v>
      </c>
      <c r="D1727" s="90">
        <v>44259</v>
      </c>
      <c r="E1727" s="143">
        <v>0.28750000000000003</v>
      </c>
      <c r="F1727" s="1" t="s">
        <v>9</v>
      </c>
      <c r="G1727" s="2" t="s">
        <v>18</v>
      </c>
      <c r="H1727" s="2" t="s">
        <v>42</v>
      </c>
      <c r="I1727" s="1" t="s">
        <v>11</v>
      </c>
      <c r="J1727" s="1" t="s">
        <v>8</v>
      </c>
      <c r="K1727" s="89">
        <v>25820</v>
      </c>
      <c r="L1727" s="3" t="s">
        <v>8</v>
      </c>
      <c r="M1727" s="3">
        <v>22.97</v>
      </c>
      <c r="N1727" s="3" t="s">
        <v>8</v>
      </c>
      <c r="O1727" s="3">
        <v>39.57</v>
      </c>
    </row>
    <row r="1728" spans="1:15" x14ac:dyDescent="0.35">
      <c r="A1728" s="5" t="str">
        <f>Loads[[#This Row],[Date]]&amp;Loads[[#This Row],[Product]]</f>
        <v>44260Product1</v>
      </c>
      <c r="B1728" s="5">
        <f>COUNTIF($A$1:A1728,Loads[[#This Row],[Load]])</f>
        <v>1</v>
      </c>
      <c r="C1728" s="3" t="str">
        <f>Loads[[#This Row],[Load]]&amp;Loads[[#This Row],[Count]]</f>
        <v>44260Product11</v>
      </c>
      <c r="D1728" s="90">
        <v>44260</v>
      </c>
      <c r="E1728" s="143">
        <v>0.30902777777777779</v>
      </c>
      <c r="F1728" s="1" t="s">
        <v>9</v>
      </c>
      <c r="G1728" s="2" t="s">
        <v>12</v>
      </c>
      <c r="H1728" s="2" t="s">
        <v>42</v>
      </c>
      <c r="I1728" s="1" t="s">
        <v>10</v>
      </c>
      <c r="J1728" s="1">
        <v>800</v>
      </c>
      <c r="K1728" s="89">
        <v>31500</v>
      </c>
      <c r="L1728" s="3">
        <v>8.9499999999999993</v>
      </c>
      <c r="M1728" s="3">
        <v>21.24</v>
      </c>
      <c r="N1728" s="3" t="s">
        <v>8</v>
      </c>
      <c r="O1728" s="3" t="s">
        <v>8</v>
      </c>
    </row>
    <row r="1729" spans="1:15" x14ac:dyDescent="0.35">
      <c r="A1729" s="5" t="str">
        <f>Loads[[#This Row],[Date]]&amp;Loads[[#This Row],[Product]]</f>
        <v>44260Product1</v>
      </c>
      <c r="B1729" s="5">
        <f>COUNTIF($A$1:A1729,Loads[[#This Row],[Load]])</f>
        <v>2</v>
      </c>
      <c r="C1729" s="3" t="str">
        <f>Loads[[#This Row],[Load]]&amp;Loads[[#This Row],[Count]]</f>
        <v>44260Product12</v>
      </c>
      <c r="D1729" s="90">
        <v>44260</v>
      </c>
      <c r="E1729" s="143">
        <v>0.30972222222222223</v>
      </c>
      <c r="F1729" s="1" t="s">
        <v>9</v>
      </c>
      <c r="G1729" s="2" t="s">
        <v>12</v>
      </c>
      <c r="H1729" s="2" t="s">
        <v>42</v>
      </c>
      <c r="I1729" s="1" t="s">
        <v>10</v>
      </c>
      <c r="J1729" s="1">
        <v>750</v>
      </c>
      <c r="K1729" s="89">
        <v>29580</v>
      </c>
      <c r="L1729" s="3">
        <v>8.81</v>
      </c>
      <c r="M1729" s="3">
        <v>21.42</v>
      </c>
      <c r="N1729" s="3" t="s">
        <v>8</v>
      </c>
      <c r="O1729" s="3" t="s">
        <v>8</v>
      </c>
    </row>
    <row r="1730" spans="1:15" x14ac:dyDescent="0.35">
      <c r="A1730" s="5" t="str">
        <f>Loads[[#This Row],[Date]]&amp;Loads[[#This Row],[Product]]</f>
        <v>44260Product5</v>
      </c>
      <c r="B1730" s="5">
        <f>COUNTIF($A$1:A1730,Loads[[#This Row],[Load]])</f>
        <v>1</v>
      </c>
      <c r="C1730" s="3" t="str">
        <f>Loads[[#This Row],[Load]]&amp;Loads[[#This Row],[Count]]</f>
        <v>44260Product51</v>
      </c>
      <c r="D1730" s="90">
        <v>44260</v>
      </c>
      <c r="E1730" s="143">
        <v>0.31041666666666667</v>
      </c>
      <c r="F1730" s="1" t="s">
        <v>9</v>
      </c>
      <c r="G1730" s="2" t="s">
        <v>16</v>
      </c>
      <c r="H1730" s="2" t="s">
        <v>42</v>
      </c>
      <c r="I1730" s="1" t="s">
        <v>11</v>
      </c>
      <c r="J1730" s="1" t="s">
        <v>8</v>
      </c>
      <c r="K1730" s="89">
        <v>6080</v>
      </c>
      <c r="L1730" s="3">
        <v>11.31</v>
      </c>
      <c r="N1730" s="3"/>
      <c r="O1730" s="3"/>
    </row>
    <row r="1731" spans="1:15" x14ac:dyDescent="0.35">
      <c r="A1731" s="5" t="str">
        <f>Loads[[#This Row],[Date]]&amp;Loads[[#This Row],[Product]]</f>
        <v>44260Product4</v>
      </c>
      <c r="B1731" s="5">
        <f>COUNTIF($A$1:A1731,Loads[[#This Row],[Load]])</f>
        <v>1</v>
      </c>
      <c r="C1731" s="3" t="str">
        <f>Loads[[#This Row],[Load]]&amp;Loads[[#This Row],[Count]]</f>
        <v>44260Product41</v>
      </c>
      <c r="D1731" s="90">
        <v>44260</v>
      </c>
      <c r="E1731" s="143">
        <v>0.31111111111111112</v>
      </c>
      <c r="F1731" s="1" t="s">
        <v>9</v>
      </c>
      <c r="G1731" s="2" t="s">
        <v>15</v>
      </c>
      <c r="H1731" s="2" t="s">
        <v>42</v>
      </c>
      <c r="I1731" s="1" t="s">
        <v>11</v>
      </c>
      <c r="J1731" s="1" t="s">
        <v>8</v>
      </c>
      <c r="K1731" s="89">
        <v>36380</v>
      </c>
      <c r="L1731" s="3">
        <v>10.49</v>
      </c>
      <c r="M1731" s="3">
        <v>61.75</v>
      </c>
      <c r="N1731" s="3" t="s">
        <v>8</v>
      </c>
      <c r="O1731" s="3" t="s">
        <v>8</v>
      </c>
    </row>
    <row r="1732" spans="1:15" x14ac:dyDescent="0.35">
      <c r="A1732" s="5" t="str">
        <f>Loads[[#This Row],[Date]]&amp;Loads[[#This Row],[Product]]</f>
        <v>44260Product1</v>
      </c>
      <c r="B1732" s="5">
        <f>COUNTIF($A$1:A1732,Loads[[#This Row],[Load]])</f>
        <v>3</v>
      </c>
      <c r="C1732" s="3" t="str">
        <f>Loads[[#This Row],[Load]]&amp;Loads[[#This Row],[Count]]</f>
        <v>44260Product13</v>
      </c>
      <c r="D1732" s="90">
        <v>44260</v>
      </c>
      <c r="E1732" s="143">
        <v>0.31180555555555556</v>
      </c>
      <c r="F1732" s="1" t="s">
        <v>9</v>
      </c>
      <c r="G1732" s="2" t="s">
        <v>12</v>
      </c>
      <c r="H1732" s="2" t="s">
        <v>42</v>
      </c>
      <c r="I1732" s="1" t="s">
        <v>11</v>
      </c>
      <c r="J1732" s="1" t="s">
        <v>8</v>
      </c>
      <c r="K1732" s="89">
        <v>25480</v>
      </c>
      <c r="L1732" s="3">
        <v>9.15</v>
      </c>
      <c r="M1732" s="3">
        <v>22.08</v>
      </c>
      <c r="N1732" s="3" t="s">
        <v>8</v>
      </c>
      <c r="O1732" s="3" t="s">
        <v>8</v>
      </c>
    </row>
    <row r="1733" spans="1:15" x14ac:dyDescent="0.35">
      <c r="A1733" s="5" t="str">
        <f>Loads[[#This Row],[Date]]&amp;Loads[[#This Row],[Product]]</f>
        <v>44260Product1</v>
      </c>
      <c r="B1733" s="5">
        <f>COUNTIF($A$1:A1733,Loads[[#This Row],[Load]])</f>
        <v>4</v>
      </c>
      <c r="C1733" s="3" t="str">
        <f>Loads[[#This Row],[Load]]&amp;Loads[[#This Row],[Count]]</f>
        <v>44260Product14</v>
      </c>
      <c r="D1733" s="90">
        <v>44260</v>
      </c>
      <c r="E1733" s="143">
        <v>0.31180555555555556</v>
      </c>
      <c r="F1733" s="1" t="s">
        <v>9</v>
      </c>
      <c r="G1733" s="2" t="s">
        <v>12</v>
      </c>
      <c r="H1733" s="2" t="s">
        <v>42</v>
      </c>
      <c r="I1733" s="1" t="s">
        <v>10</v>
      </c>
      <c r="J1733" s="1">
        <v>650</v>
      </c>
      <c r="K1733" s="89">
        <v>25580</v>
      </c>
      <c r="L1733" s="3">
        <v>8.8699999999999992</v>
      </c>
      <c r="M1733" s="3">
        <v>22.07</v>
      </c>
      <c r="N1733" s="3" t="s">
        <v>8</v>
      </c>
      <c r="O1733" s="3" t="s">
        <v>8</v>
      </c>
    </row>
    <row r="1734" spans="1:15" x14ac:dyDescent="0.35">
      <c r="A1734" s="5" t="str">
        <f>Loads[[#This Row],[Date]]&amp;Loads[[#This Row],[Product]]</f>
        <v>44261Product4</v>
      </c>
      <c r="B1734" s="5">
        <f>COUNTIF($A$1:A1734,Loads[[#This Row],[Load]])</f>
        <v>1</v>
      </c>
      <c r="C1734" s="3" t="str">
        <f>Loads[[#This Row],[Load]]&amp;Loads[[#This Row],[Count]]</f>
        <v>44261Product41</v>
      </c>
      <c r="D1734" s="90">
        <v>44261</v>
      </c>
      <c r="E1734" s="143">
        <v>0.11180555555555556</v>
      </c>
      <c r="F1734" s="1" t="s">
        <v>9</v>
      </c>
      <c r="G1734" s="2" t="s">
        <v>15</v>
      </c>
      <c r="H1734" s="2" t="s">
        <v>42</v>
      </c>
      <c r="I1734" s="1" t="s">
        <v>11</v>
      </c>
      <c r="J1734" s="1" t="s">
        <v>8</v>
      </c>
      <c r="K1734" s="89">
        <v>29160</v>
      </c>
      <c r="L1734" s="3">
        <v>11.44</v>
      </c>
      <c r="M1734" s="3">
        <v>60</v>
      </c>
      <c r="N1734" s="3" t="s">
        <v>8</v>
      </c>
      <c r="O1734" s="3" t="s">
        <v>8</v>
      </c>
    </row>
    <row r="1735" spans="1:15" x14ac:dyDescent="0.35">
      <c r="A1735" s="5" t="str">
        <f>Loads[[#This Row],[Date]]&amp;Loads[[#This Row],[Product]]</f>
        <v>44261Product4</v>
      </c>
      <c r="B1735" s="5">
        <f>COUNTIF($A$1:A1735,Loads[[#This Row],[Load]])</f>
        <v>2</v>
      </c>
      <c r="C1735" s="3" t="str">
        <f>Loads[[#This Row],[Load]]&amp;Loads[[#This Row],[Count]]</f>
        <v>44261Product42</v>
      </c>
      <c r="D1735" s="90">
        <v>44261</v>
      </c>
      <c r="E1735" s="143">
        <v>0.1125</v>
      </c>
      <c r="F1735" s="1" t="s">
        <v>9</v>
      </c>
      <c r="G1735" s="2" t="s">
        <v>15</v>
      </c>
      <c r="H1735" s="2" t="s">
        <v>42</v>
      </c>
      <c r="I1735" s="1" t="s">
        <v>0</v>
      </c>
      <c r="J1735" s="1">
        <v>24</v>
      </c>
      <c r="K1735" s="89">
        <v>30240</v>
      </c>
      <c r="L1735" s="3">
        <v>9.4600000000000009</v>
      </c>
      <c r="M1735" s="3">
        <v>61.07</v>
      </c>
      <c r="N1735" s="3" t="s">
        <v>8</v>
      </c>
      <c r="O1735" s="3" t="s">
        <v>8</v>
      </c>
    </row>
    <row r="1736" spans="1:15" x14ac:dyDescent="0.35">
      <c r="A1736" s="5" t="str">
        <f>Loads[[#This Row],[Date]]&amp;Loads[[#This Row],[Product]]</f>
        <v>44261Product3</v>
      </c>
      <c r="B1736" s="5">
        <f>COUNTIF($A$1:A1736,Loads[[#This Row],[Load]])</f>
        <v>1</v>
      </c>
      <c r="C1736" s="3" t="str">
        <f>Loads[[#This Row],[Load]]&amp;Loads[[#This Row],[Count]]</f>
        <v>44261Product31</v>
      </c>
      <c r="D1736" s="90">
        <v>44261</v>
      </c>
      <c r="E1736" s="143">
        <v>9.7916666666666666E-2</v>
      </c>
      <c r="F1736" s="1" t="s">
        <v>9</v>
      </c>
      <c r="G1736" s="2" t="s">
        <v>14</v>
      </c>
      <c r="H1736" s="2" t="s">
        <v>42</v>
      </c>
      <c r="I1736" s="1" t="s">
        <v>11</v>
      </c>
      <c r="J1736" s="1" t="s">
        <v>8</v>
      </c>
      <c r="K1736" s="89">
        <v>12060</v>
      </c>
      <c r="L1736" s="3">
        <v>58.04</v>
      </c>
      <c r="M1736" s="3">
        <v>11.34</v>
      </c>
      <c r="N1736" s="3" t="s">
        <v>8</v>
      </c>
      <c r="O1736" s="3" t="s">
        <v>8</v>
      </c>
    </row>
    <row r="1737" spans="1:15" x14ac:dyDescent="0.35">
      <c r="A1737" s="5" t="str">
        <f>Loads[[#This Row],[Date]]&amp;Loads[[#This Row],[Product]]</f>
        <v>44261Product2</v>
      </c>
      <c r="B1737" s="5">
        <f>COUNTIF($A$1:A1737,Loads[[#This Row],[Load]])</f>
        <v>1</v>
      </c>
      <c r="C1737" s="3" t="str">
        <f>Loads[[#This Row],[Load]]&amp;Loads[[#This Row],[Count]]</f>
        <v>44261Product21</v>
      </c>
      <c r="D1737" s="90">
        <v>44261</v>
      </c>
      <c r="E1737" s="143">
        <v>9.6527777777777768E-2</v>
      </c>
      <c r="F1737" s="1" t="s">
        <v>9</v>
      </c>
      <c r="G1737" s="2" t="s">
        <v>13</v>
      </c>
      <c r="H1737" s="2" t="s">
        <v>42</v>
      </c>
      <c r="I1737" s="1" t="s">
        <v>11</v>
      </c>
      <c r="J1737" s="1" t="s">
        <v>8</v>
      </c>
      <c r="K1737" s="89">
        <v>11360</v>
      </c>
      <c r="L1737" s="3">
        <v>58.09</v>
      </c>
      <c r="M1737" s="3">
        <v>11.2</v>
      </c>
      <c r="N1737" s="3" t="s">
        <v>8</v>
      </c>
      <c r="O1737" s="3" t="s">
        <v>8</v>
      </c>
    </row>
    <row r="1738" spans="1:15" x14ac:dyDescent="0.35">
      <c r="A1738" s="5" t="str">
        <f>Loads[[#This Row],[Date]]&amp;Loads[[#This Row],[Product]]</f>
        <v>44261Product2</v>
      </c>
      <c r="B1738" s="5">
        <f>COUNTIF($A$1:A1738,Loads[[#This Row],[Load]])</f>
        <v>2</v>
      </c>
      <c r="C1738" s="3" t="str">
        <f>Loads[[#This Row],[Load]]&amp;Loads[[#This Row],[Count]]</f>
        <v>44261Product22</v>
      </c>
      <c r="D1738" s="90">
        <v>44261</v>
      </c>
      <c r="E1738" s="143">
        <v>9.8611111111111108E-2</v>
      </c>
      <c r="F1738" s="1" t="s">
        <v>9</v>
      </c>
      <c r="G1738" s="2" t="s">
        <v>13</v>
      </c>
      <c r="H1738" s="2" t="s">
        <v>42</v>
      </c>
      <c r="I1738" s="1" t="s">
        <v>11</v>
      </c>
      <c r="J1738" s="1" t="s">
        <v>8</v>
      </c>
      <c r="K1738" s="89">
        <v>16240</v>
      </c>
      <c r="L1738" s="3">
        <v>68.209999999999994</v>
      </c>
      <c r="M1738" s="3">
        <v>8.51</v>
      </c>
      <c r="N1738" s="3" t="s">
        <v>8</v>
      </c>
      <c r="O1738" s="3" t="s">
        <v>8</v>
      </c>
    </row>
    <row r="1739" spans="1:15" x14ac:dyDescent="0.35">
      <c r="A1739" s="5" t="str">
        <f>Loads[[#This Row],[Date]]&amp;Loads[[#This Row],[Product]]</f>
        <v>44261Product2</v>
      </c>
      <c r="B1739" s="5">
        <f>COUNTIF($A$1:A1739,Loads[[#This Row],[Load]])</f>
        <v>3</v>
      </c>
      <c r="C1739" s="3" t="str">
        <f>Loads[[#This Row],[Load]]&amp;Loads[[#This Row],[Count]]</f>
        <v>44261Product23</v>
      </c>
      <c r="D1739" s="90">
        <v>44261</v>
      </c>
      <c r="E1739" s="143">
        <v>9.8611111111111108E-2</v>
      </c>
      <c r="F1739" s="1" t="s">
        <v>9</v>
      </c>
      <c r="G1739" s="2" t="s">
        <v>13</v>
      </c>
      <c r="H1739" s="2" t="s">
        <v>42</v>
      </c>
      <c r="I1739" s="1" t="s">
        <v>11</v>
      </c>
      <c r="J1739" s="1" t="s">
        <v>8</v>
      </c>
      <c r="K1739" s="89">
        <v>11500</v>
      </c>
      <c r="L1739" s="3">
        <v>62.05</v>
      </c>
      <c r="M1739" s="3">
        <v>8.92</v>
      </c>
      <c r="N1739" s="3" t="s">
        <v>8</v>
      </c>
      <c r="O1739" s="3" t="s">
        <v>8</v>
      </c>
    </row>
    <row r="1740" spans="1:15" x14ac:dyDescent="0.35">
      <c r="A1740" s="5" t="str">
        <f>Loads[[#This Row],[Date]]&amp;Loads[[#This Row],[Product]]</f>
        <v>44261Product2</v>
      </c>
      <c r="B1740" s="5">
        <f>COUNTIF($A$1:A1740,Loads[[#This Row],[Load]])</f>
        <v>4</v>
      </c>
      <c r="C1740" s="3" t="str">
        <f>Loads[[#This Row],[Load]]&amp;Loads[[#This Row],[Count]]</f>
        <v>44261Product24</v>
      </c>
      <c r="D1740" s="90">
        <v>44261</v>
      </c>
      <c r="E1740" s="143">
        <v>9.930555555555555E-2</v>
      </c>
      <c r="F1740" s="1" t="s">
        <v>9</v>
      </c>
      <c r="G1740" s="2" t="s">
        <v>13</v>
      </c>
      <c r="H1740" s="2" t="s">
        <v>42</v>
      </c>
      <c r="I1740" s="1" t="s">
        <v>11</v>
      </c>
      <c r="J1740" s="1" t="s">
        <v>8</v>
      </c>
      <c r="K1740" s="89">
        <v>10960</v>
      </c>
      <c r="L1740" s="3">
        <v>57.91</v>
      </c>
      <c r="M1740" s="3">
        <v>11.28</v>
      </c>
      <c r="N1740" s="3" t="s">
        <v>8</v>
      </c>
      <c r="O1740" s="3" t="s">
        <v>8</v>
      </c>
    </row>
    <row r="1741" spans="1:15" x14ac:dyDescent="0.35">
      <c r="A1741" s="5" t="str">
        <f>Loads[[#This Row],[Date]]&amp;Loads[[#This Row],[Product]]</f>
        <v>44261Product2</v>
      </c>
      <c r="B1741" s="5">
        <f>COUNTIF($A$1:A1741,Loads[[#This Row],[Load]])</f>
        <v>5</v>
      </c>
      <c r="C1741" s="3" t="str">
        <f>Loads[[#This Row],[Load]]&amp;Loads[[#This Row],[Count]]</f>
        <v>44261Product25</v>
      </c>
      <c r="D1741" s="90">
        <v>44261</v>
      </c>
      <c r="E1741" s="143">
        <v>9.9999999999999992E-2</v>
      </c>
      <c r="F1741" s="1" t="s">
        <v>9</v>
      </c>
      <c r="G1741" s="2" t="s">
        <v>13</v>
      </c>
      <c r="H1741" s="2" t="s">
        <v>42</v>
      </c>
      <c r="I1741" s="1" t="s">
        <v>11</v>
      </c>
      <c r="J1741" s="1" t="s">
        <v>8</v>
      </c>
      <c r="K1741" s="89">
        <v>17520</v>
      </c>
      <c r="L1741" s="3">
        <v>59.31</v>
      </c>
      <c r="M1741" s="3">
        <v>10.48</v>
      </c>
      <c r="N1741" s="3" t="s">
        <v>8</v>
      </c>
      <c r="O1741" s="3" t="s">
        <v>8</v>
      </c>
    </row>
    <row r="1742" spans="1:15" x14ac:dyDescent="0.35">
      <c r="A1742" s="5" t="str">
        <f>Loads[[#This Row],[Date]]&amp;Loads[[#This Row],[Product]]</f>
        <v>44261Product2</v>
      </c>
      <c r="B1742" s="5">
        <f>COUNTIF($A$1:A1742,Loads[[#This Row],[Load]])</f>
        <v>6</v>
      </c>
      <c r="C1742" s="3" t="str">
        <f>Loads[[#This Row],[Load]]&amp;Loads[[#This Row],[Count]]</f>
        <v>44261Product26</v>
      </c>
      <c r="D1742" s="90">
        <v>44261</v>
      </c>
      <c r="E1742" s="143">
        <v>9.9999999999999992E-2</v>
      </c>
      <c r="F1742" s="1" t="s">
        <v>9</v>
      </c>
      <c r="G1742" s="2" t="s">
        <v>13</v>
      </c>
      <c r="H1742" s="2" t="s">
        <v>42</v>
      </c>
      <c r="I1742" s="1" t="s">
        <v>11</v>
      </c>
      <c r="J1742" s="1" t="s">
        <v>8</v>
      </c>
      <c r="K1742" s="89">
        <v>11960</v>
      </c>
      <c r="L1742" s="3">
        <v>59.54</v>
      </c>
      <c r="M1742" s="3">
        <v>10.220000000000001</v>
      </c>
      <c r="N1742" s="3" t="s">
        <v>8</v>
      </c>
      <c r="O1742" s="3" t="s">
        <v>8</v>
      </c>
    </row>
    <row r="1743" spans="1:15" x14ac:dyDescent="0.35">
      <c r="A1743" s="5" t="str">
        <f>Loads[[#This Row],[Date]]&amp;Loads[[#This Row],[Product]]</f>
        <v>44261Product2</v>
      </c>
      <c r="B1743" s="5">
        <f>COUNTIF($A$1:A1743,Loads[[#This Row],[Load]])</f>
        <v>7</v>
      </c>
      <c r="C1743" s="3" t="str">
        <f>Loads[[#This Row],[Load]]&amp;Loads[[#This Row],[Count]]</f>
        <v>44261Product27</v>
      </c>
      <c r="D1743" s="90">
        <v>44261</v>
      </c>
      <c r="E1743" s="143">
        <v>0.10069444444444443</v>
      </c>
      <c r="F1743" s="1" t="s">
        <v>9</v>
      </c>
      <c r="G1743" s="2" t="s">
        <v>13</v>
      </c>
      <c r="H1743" s="2" t="s">
        <v>42</v>
      </c>
      <c r="I1743" s="1" t="s">
        <v>11</v>
      </c>
      <c r="J1743" s="1" t="s">
        <v>8</v>
      </c>
      <c r="K1743" s="89">
        <v>10860</v>
      </c>
      <c r="L1743" s="3">
        <v>56.91</v>
      </c>
      <c r="M1743" s="3">
        <v>11.05</v>
      </c>
      <c r="N1743" s="3" t="s">
        <v>8</v>
      </c>
      <c r="O1743" s="3" t="s">
        <v>8</v>
      </c>
    </row>
    <row r="1744" spans="1:15" x14ac:dyDescent="0.35">
      <c r="A1744" s="5" t="str">
        <f>Loads[[#This Row],[Date]]&amp;Loads[[#This Row],[Product]]</f>
        <v>44261Product7</v>
      </c>
      <c r="B1744" s="5">
        <f>COUNTIF($A$1:A1744,Loads[[#This Row],[Load]])</f>
        <v>1</v>
      </c>
      <c r="C1744" s="3" t="str">
        <f>Loads[[#This Row],[Load]]&amp;Loads[[#This Row],[Count]]</f>
        <v>44261Product71</v>
      </c>
      <c r="D1744" s="90">
        <v>44261</v>
      </c>
      <c r="E1744" s="143">
        <v>0.11388888888888889</v>
      </c>
      <c r="F1744" s="1" t="s">
        <v>9</v>
      </c>
      <c r="G1744" s="2" t="s">
        <v>18</v>
      </c>
      <c r="H1744" s="2" t="s">
        <v>42</v>
      </c>
      <c r="I1744" s="1" t="s">
        <v>11</v>
      </c>
      <c r="J1744" s="1" t="s">
        <v>8</v>
      </c>
      <c r="K1744" s="89">
        <v>26200</v>
      </c>
      <c r="L1744" s="3" t="s">
        <v>8</v>
      </c>
      <c r="M1744" s="3">
        <v>24.13</v>
      </c>
      <c r="N1744" s="3" t="s">
        <v>8</v>
      </c>
      <c r="O1744" s="3">
        <v>51.74</v>
      </c>
    </row>
    <row r="1745" spans="1:15" x14ac:dyDescent="0.35">
      <c r="A1745" s="5" t="str">
        <f>Loads[[#This Row],[Date]]&amp;Loads[[#This Row],[Product]]</f>
        <v>44261Product8</v>
      </c>
      <c r="B1745" s="5">
        <f>COUNTIF($A$1:A1745,Loads[[#This Row],[Load]])</f>
        <v>1</v>
      </c>
      <c r="C1745" s="3" t="str">
        <f>Loads[[#This Row],[Load]]&amp;Loads[[#This Row],[Count]]</f>
        <v>44261Product81</v>
      </c>
      <c r="D1745" s="90">
        <v>44261</v>
      </c>
      <c r="E1745" s="143">
        <v>0.1111111111111111</v>
      </c>
      <c r="F1745" s="1" t="s">
        <v>9</v>
      </c>
      <c r="G1745" s="2" t="s">
        <v>19</v>
      </c>
      <c r="H1745" s="2" t="s">
        <v>42</v>
      </c>
      <c r="I1745" s="1" t="s">
        <v>11</v>
      </c>
      <c r="J1745" s="1" t="s">
        <v>8</v>
      </c>
      <c r="K1745" s="89">
        <v>23520</v>
      </c>
      <c r="L1745" s="3">
        <v>13.01</v>
      </c>
      <c r="M1745" s="3">
        <v>7.01</v>
      </c>
      <c r="N1745" s="3" t="s">
        <v>8</v>
      </c>
      <c r="O1745" s="3" t="s">
        <v>8</v>
      </c>
    </row>
    <row r="1746" spans="1:15" x14ac:dyDescent="0.35">
      <c r="A1746" s="5" t="str">
        <f>Loads[[#This Row],[Date]]&amp;Loads[[#This Row],[Product]]</f>
        <v>44261Product6</v>
      </c>
      <c r="B1746" s="5">
        <f>COUNTIF($A$1:A1746,Loads[[#This Row],[Load]])</f>
        <v>1</v>
      </c>
      <c r="C1746" s="3" t="str">
        <f>Loads[[#This Row],[Load]]&amp;Loads[[#This Row],[Count]]</f>
        <v>44261Product61</v>
      </c>
      <c r="D1746" s="90">
        <v>44261</v>
      </c>
      <c r="E1746" s="143">
        <v>0.11388888888888889</v>
      </c>
      <c r="F1746" s="1" t="s">
        <v>9</v>
      </c>
      <c r="G1746" s="2" t="s">
        <v>17</v>
      </c>
      <c r="H1746" s="2" t="s">
        <v>42</v>
      </c>
      <c r="I1746" s="1" t="s">
        <v>11</v>
      </c>
      <c r="J1746" s="1" t="s">
        <v>8</v>
      </c>
      <c r="K1746" s="89">
        <v>38340</v>
      </c>
      <c r="L1746" s="3">
        <v>1.94</v>
      </c>
      <c r="M1746" s="3" t="s">
        <v>8</v>
      </c>
      <c r="N1746" s="3">
        <v>0.09</v>
      </c>
      <c r="O1746" s="3" t="s">
        <v>8</v>
      </c>
    </row>
    <row r="1747" spans="1:15" x14ac:dyDescent="0.35">
      <c r="A1747" s="5" t="str">
        <f>Loads[[#This Row],[Date]]&amp;Loads[[#This Row],[Product]]</f>
        <v>44261Product1</v>
      </c>
      <c r="B1747" s="5">
        <f>COUNTIF($A$1:A1747,Loads[[#This Row],[Load]])</f>
        <v>1</v>
      </c>
      <c r="C1747" s="3" t="str">
        <f>Loads[[#This Row],[Load]]&amp;Loads[[#This Row],[Count]]</f>
        <v>44261Product11</v>
      </c>
      <c r="D1747" s="90">
        <v>44261</v>
      </c>
      <c r="E1747" s="143">
        <v>0.10208333333333335</v>
      </c>
      <c r="F1747" s="1" t="s">
        <v>9</v>
      </c>
      <c r="G1747" s="2" t="s">
        <v>12</v>
      </c>
      <c r="H1747" s="2" t="s">
        <v>42</v>
      </c>
      <c r="I1747" s="1" t="s">
        <v>11</v>
      </c>
      <c r="J1747" s="1" t="s">
        <v>8</v>
      </c>
      <c r="K1747" s="89">
        <v>17660</v>
      </c>
      <c r="L1747" s="3">
        <v>8.6300000000000008</v>
      </c>
      <c r="M1747" s="3">
        <v>21.08</v>
      </c>
      <c r="N1747" s="3" t="s">
        <v>8</v>
      </c>
      <c r="O1747" s="3" t="s">
        <v>8</v>
      </c>
    </row>
    <row r="1748" spans="1:15" x14ac:dyDescent="0.35">
      <c r="A1748" s="5" t="str">
        <f>Loads[[#This Row],[Date]]&amp;Loads[[#This Row],[Product]]</f>
        <v>44261Product1</v>
      </c>
      <c r="B1748" s="5">
        <f>COUNTIF($A$1:A1748,Loads[[#This Row],[Load]])</f>
        <v>2</v>
      </c>
      <c r="C1748" s="3" t="str">
        <f>Loads[[#This Row],[Load]]&amp;Loads[[#This Row],[Count]]</f>
        <v>44261Product12</v>
      </c>
      <c r="D1748" s="90">
        <v>44261</v>
      </c>
      <c r="E1748" s="143">
        <v>0.10277777777777779</v>
      </c>
      <c r="F1748" s="1" t="s">
        <v>9</v>
      </c>
      <c r="G1748" s="2" t="s">
        <v>12</v>
      </c>
      <c r="H1748" s="2" t="s">
        <v>42</v>
      </c>
      <c r="I1748" s="1" t="s">
        <v>11</v>
      </c>
      <c r="J1748" s="1" t="s">
        <v>8</v>
      </c>
      <c r="K1748" s="89">
        <v>24400</v>
      </c>
      <c r="L1748" s="3">
        <v>8.57</v>
      </c>
      <c r="M1748" s="3">
        <v>21.06</v>
      </c>
      <c r="N1748" s="3" t="s">
        <v>8</v>
      </c>
      <c r="O1748" s="3" t="s">
        <v>8</v>
      </c>
    </row>
    <row r="1749" spans="1:15" x14ac:dyDescent="0.35">
      <c r="A1749" s="5" t="str">
        <f>Loads[[#This Row],[Date]]&amp;Loads[[#This Row],[Product]]</f>
        <v>44261Product1</v>
      </c>
      <c r="B1749" s="5">
        <f>COUNTIF($A$1:A1749,Loads[[#This Row],[Load]])</f>
        <v>3</v>
      </c>
      <c r="C1749" s="3" t="str">
        <f>Loads[[#This Row],[Load]]&amp;Loads[[#This Row],[Count]]</f>
        <v>44261Product13</v>
      </c>
      <c r="D1749" s="90">
        <v>44261</v>
      </c>
      <c r="E1749" s="143">
        <v>0.10347222222222223</v>
      </c>
      <c r="F1749" s="1" t="s">
        <v>9</v>
      </c>
      <c r="G1749" s="2" t="s">
        <v>12</v>
      </c>
      <c r="H1749" s="2" t="s">
        <v>42</v>
      </c>
      <c r="I1749" s="1" t="s">
        <v>11</v>
      </c>
      <c r="J1749" s="1" t="s">
        <v>8</v>
      </c>
      <c r="K1749" s="89">
        <v>26800</v>
      </c>
      <c r="L1749" s="3">
        <v>8.6199999999999992</v>
      </c>
      <c r="M1749" s="3">
        <v>21.3</v>
      </c>
      <c r="N1749" s="3" t="s">
        <v>8</v>
      </c>
      <c r="O1749" s="3" t="s">
        <v>8</v>
      </c>
    </row>
    <row r="1750" spans="1:15" x14ac:dyDescent="0.35">
      <c r="A1750" s="5" t="str">
        <f>Loads[[#This Row],[Date]]&amp;Loads[[#This Row],[Product]]</f>
        <v>44261Product1</v>
      </c>
      <c r="B1750" s="5">
        <f>COUNTIF($A$1:A1750,Loads[[#This Row],[Load]])</f>
        <v>4</v>
      </c>
      <c r="C1750" s="3" t="str">
        <f>Loads[[#This Row],[Load]]&amp;Loads[[#This Row],[Count]]</f>
        <v>44261Product14</v>
      </c>
      <c r="D1750" s="90">
        <v>44261</v>
      </c>
      <c r="E1750" s="143">
        <v>0.10486111111111111</v>
      </c>
      <c r="F1750" s="1" t="s">
        <v>9</v>
      </c>
      <c r="G1750" s="2" t="s">
        <v>12</v>
      </c>
      <c r="H1750" s="2" t="s">
        <v>42</v>
      </c>
      <c r="I1750" s="1" t="s">
        <v>11</v>
      </c>
      <c r="J1750" s="1" t="s">
        <v>8</v>
      </c>
      <c r="K1750" s="89">
        <v>32020</v>
      </c>
      <c r="L1750" s="3">
        <v>8.61</v>
      </c>
      <c r="M1750" s="3">
        <v>20.25</v>
      </c>
      <c r="N1750" s="3" t="s">
        <v>8</v>
      </c>
      <c r="O1750" s="3" t="s">
        <v>8</v>
      </c>
    </row>
    <row r="1751" spans="1:15" x14ac:dyDescent="0.35">
      <c r="A1751" s="5" t="str">
        <f>Loads[[#This Row],[Date]]&amp;Loads[[#This Row],[Product]]</f>
        <v>44261Product1</v>
      </c>
      <c r="B1751" s="5">
        <f>COUNTIF($A$1:A1751,Loads[[#This Row],[Load]])</f>
        <v>5</v>
      </c>
      <c r="C1751" s="3" t="str">
        <f>Loads[[#This Row],[Load]]&amp;Loads[[#This Row],[Count]]</f>
        <v>44261Product15</v>
      </c>
      <c r="D1751" s="90">
        <v>44261</v>
      </c>
      <c r="E1751" s="143">
        <v>0.10555555555555556</v>
      </c>
      <c r="F1751" s="1" t="s">
        <v>9</v>
      </c>
      <c r="G1751" s="2" t="s">
        <v>12</v>
      </c>
      <c r="H1751" s="2" t="s">
        <v>42</v>
      </c>
      <c r="I1751" s="1" t="s">
        <v>11</v>
      </c>
      <c r="J1751" s="1" t="s">
        <v>8</v>
      </c>
      <c r="K1751" s="89">
        <v>29960</v>
      </c>
      <c r="L1751" s="3">
        <v>8.14</v>
      </c>
      <c r="M1751" s="3">
        <v>19.7</v>
      </c>
      <c r="N1751" s="3" t="s">
        <v>8</v>
      </c>
      <c r="O1751" s="3" t="s">
        <v>8</v>
      </c>
    </row>
    <row r="1752" spans="1:15" x14ac:dyDescent="0.35">
      <c r="A1752" s="5" t="str">
        <f>Loads[[#This Row],[Date]]&amp;Loads[[#This Row],[Product]]</f>
        <v>44261Product1</v>
      </c>
      <c r="B1752" s="5">
        <f>COUNTIF($A$1:A1752,Loads[[#This Row],[Load]])</f>
        <v>6</v>
      </c>
      <c r="C1752" s="3" t="str">
        <f>Loads[[#This Row],[Load]]&amp;Loads[[#This Row],[Count]]</f>
        <v>44261Product16</v>
      </c>
      <c r="D1752" s="90">
        <v>44261</v>
      </c>
      <c r="E1752" s="143">
        <v>0.10625</v>
      </c>
      <c r="F1752" s="1" t="s">
        <v>9</v>
      </c>
      <c r="G1752" s="2" t="s">
        <v>12</v>
      </c>
      <c r="H1752" s="2" t="s">
        <v>42</v>
      </c>
      <c r="I1752" s="1" t="s">
        <v>11</v>
      </c>
      <c r="J1752" s="1" t="s">
        <v>8</v>
      </c>
      <c r="K1752" s="89">
        <v>25040</v>
      </c>
      <c r="L1752" s="3">
        <v>9.23</v>
      </c>
      <c r="M1752" s="3">
        <v>21.54</v>
      </c>
      <c r="N1752" s="3" t="s">
        <v>8</v>
      </c>
      <c r="O1752" s="3" t="s">
        <v>8</v>
      </c>
    </row>
    <row r="1753" spans="1:15" x14ac:dyDescent="0.35">
      <c r="A1753" s="5" t="str">
        <f>Loads[[#This Row],[Date]]&amp;Loads[[#This Row],[Product]]</f>
        <v>44261Product1</v>
      </c>
      <c r="B1753" s="5">
        <f>COUNTIF($A$1:A1753,Loads[[#This Row],[Load]])</f>
        <v>7</v>
      </c>
      <c r="C1753" s="3" t="str">
        <f>Loads[[#This Row],[Load]]&amp;Loads[[#This Row],[Count]]</f>
        <v>44261Product17</v>
      </c>
      <c r="D1753" s="90">
        <v>44261</v>
      </c>
      <c r="E1753" s="143">
        <v>0.10694444444444444</v>
      </c>
      <c r="F1753" s="1" t="s">
        <v>9</v>
      </c>
      <c r="G1753" s="2" t="s">
        <v>12</v>
      </c>
      <c r="H1753" s="2" t="s">
        <v>42</v>
      </c>
      <c r="I1753" s="1" t="s">
        <v>11</v>
      </c>
      <c r="J1753" s="1" t="s">
        <v>8</v>
      </c>
      <c r="K1753" s="89">
        <v>27280</v>
      </c>
      <c r="L1753" s="3">
        <v>5.3</v>
      </c>
      <c r="M1753" s="3">
        <v>20</v>
      </c>
      <c r="N1753" s="3" t="s">
        <v>8</v>
      </c>
      <c r="O1753" s="3" t="s">
        <v>8</v>
      </c>
    </row>
    <row r="1754" spans="1:15" x14ac:dyDescent="0.35">
      <c r="A1754" s="5" t="str">
        <f>Loads[[#This Row],[Date]]&amp;Loads[[#This Row],[Product]]</f>
        <v>44261Product1</v>
      </c>
      <c r="B1754" s="5">
        <f>COUNTIF($A$1:A1754,Loads[[#This Row],[Load]])</f>
        <v>8</v>
      </c>
      <c r="C1754" s="3" t="str">
        <f>Loads[[#This Row],[Load]]&amp;Loads[[#This Row],[Count]]</f>
        <v>44261Product18</v>
      </c>
      <c r="D1754" s="90">
        <v>44261</v>
      </c>
      <c r="E1754" s="143">
        <v>0.1076388888888889</v>
      </c>
      <c r="F1754" s="1" t="s">
        <v>9</v>
      </c>
      <c r="G1754" s="2" t="s">
        <v>12</v>
      </c>
      <c r="H1754" s="2" t="s">
        <v>42</v>
      </c>
      <c r="I1754" s="1" t="s">
        <v>11</v>
      </c>
      <c r="J1754" s="1" t="s">
        <v>8</v>
      </c>
      <c r="K1754" s="89">
        <v>20780</v>
      </c>
      <c r="L1754" s="3">
        <v>7.68</v>
      </c>
      <c r="M1754" s="3">
        <v>20.38</v>
      </c>
      <c r="N1754" s="3" t="s">
        <v>8</v>
      </c>
      <c r="O1754" s="3" t="s">
        <v>8</v>
      </c>
    </row>
    <row r="1755" spans="1:15" x14ac:dyDescent="0.35">
      <c r="A1755" s="5" t="str">
        <f>Loads[[#This Row],[Date]]&amp;Loads[[#This Row],[Product]]</f>
        <v>44261Product1</v>
      </c>
      <c r="B1755" s="5">
        <f>COUNTIF($A$1:A1755,Loads[[#This Row],[Load]])</f>
        <v>9</v>
      </c>
      <c r="C1755" s="3" t="str">
        <f>Loads[[#This Row],[Load]]&amp;Loads[[#This Row],[Count]]</f>
        <v>44261Product19</v>
      </c>
      <c r="D1755" s="90">
        <v>44261</v>
      </c>
      <c r="E1755" s="143">
        <v>0.10902777777777778</v>
      </c>
      <c r="F1755" s="1" t="s">
        <v>9</v>
      </c>
      <c r="G1755" s="2" t="s">
        <v>12</v>
      </c>
      <c r="H1755" s="2" t="s">
        <v>42</v>
      </c>
      <c r="I1755" s="1" t="s">
        <v>11</v>
      </c>
      <c r="J1755" s="1" t="s">
        <v>8</v>
      </c>
      <c r="K1755" s="89">
        <v>23740</v>
      </c>
      <c r="L1755" s="3">
        <v>5.78</v>
      </c>
      <c r="M1755" s="3">
        <v>20.65</v>
      </c>
      <c r="N1755" s="3" t="s">
        <v>8</v>
      </c>
      <c r="O1755" s="3" t="s">
        <v>8</v>
      </c>
    </row>
    <row r="1756" spans="1:15" x14ac:dyDescent="0.35">
      <c r="A1756" s="5" t="str">
        <f>Loads[[#This Row],[Date]]&amp;Loads[[#This Row],[Product]]</f>
        <v>44261Product1</v>
      </c>
      <c r="B1756" s="5">
        <f>COUNTIF($A$1:A1756,Loads[[#This Row],[Load]])</f>
        <v>10</v>
      </c>
      <c r="C1756" s="3" t="str">
        <f>Loads[[#This Row],[Load]]&amp;Loads[[#This Row],[Count]]</f>
        <v>44261Product110</v>
      </c>
      <c r="D1756" s="90">
        <v>44261</v>
      </c>
      <c r="E1756" s="143">
        <v>0.10972222222222222</v>
      </c>
      <c r="F1756" s="1" t="s">
        <v>9</v>
      </c>
      <c r="G1756" s="2" t="s">
        <v>12</v>
      </c>
      <c r="H1756" s="2" t="s">
        <v>42</v>
      </c>
      <c r="I1756" s="1" t="s">
        <v>10</v>
      </c>
      <c r="J1756" s="1">
        <v>750</v>
      </c>
      <c r="K1756" s="89">
        <v>36800</v>
      </c>
      <c r="L1756" s="3">
        <v>9.2100000000000009</v>
      </c>
      <c r="M1756" s="3">
        <v>22.51</v>
      </c>
      <c r="N1756" s="3" t="s">
        <v>8</v>
      </c>
      <c r="O1756" s="3" t="s">
        <v>8</v>
      </c>
    </row>
    <row r="1757" spans="1:15" x14ac:dyDescent="0.35">
      <c r="A1757" s="5" t="str">
        <f>Loads[[#This Row],[Date]]&amp;Loads[[#This Row],[Product]]</f>
        <v>44261Product1</v>
      </c>
      <c r="B1757" s="5">
        <f>COUNTIF($A$1:A1757,Loads[[#This Row],[Load]])</f>
        <v>11</v>
      </c>
      <c r="C1757" s="3" t="str">
        <f>Loads[[#This Row],[Load]]&amp;Loads[[#This Row],[Count]]</f>
        <v>44261Product111</v>
      </c>
      <c r="D1757" s="90">
        <v>44261</v>
      </c>
      <c r="E1757" s="143">
        <v>0.11041666666666666</v>
      </c>
      <c r="F1757" s="1" t="s">
        <v>9</v>
      </c>
      <c r="G1757" s="2" t="s">
        <v>12</v>
      </c>
      <c r="H1757" s="2" t="s">
        <v>42</v>
      </c>
      <c r="I1757" s="1" t="s">
        <v>10</v>
      </c>
      <c r="J1757" s="1">
        <v>320</v>
      </c>
      <c r="K1757" s="89">
        <v>12720</v>
      </c>
      <c r="L1757" s="3">
        <v>9.1999999999999993</v>
      </c>
      <c r="M1757" s="3">
        <v>21.49</v>
      </c>
      <c r="N1757" s="3" t="s">
        <v>8</v>
      </c>
      <c r="O1757" s="3" t="s">
        <v>8</v>
      </c>
    </row>
    <row r="1758" spans="1:15" x14ac:dyDescent="0.35">
      <c r="A1758" s="5" t="str">
        <f>Loads[[#This Row],[Date]]&amp;Loads[[#This Row],[Product]]</f>
        <v>44261Product1</v>
      </c>
      <c r="B1758" s="5">
        <f>COUNTIF($A$1:A1758,Loads[[#This Row],[Load]])</f>
        <v>12</v>
      </c>
      <c r="C1758" s="3" t="str">
        <f>Loads[[#This Row],[Load]]&amp;Loads[[#This Row],[Count]]</f>
        <v>44261Product112</v>
      </c>
      <c r="D1758" s="90">
        <v>44261</v>
      </c>
      <c r="E1758" s="143">
        <v>0.1111111111111111</v>
      </c>
      <c r="F1758" s="1" t="s">
        <v>9</v>
      </c>
      <c r="G1758" s="2" t="s">
        <v>12</v>
      </c>
      <c r="H1758" s="2" t="s">
        <v>42</v>
      </c>
      <c r="I1758" s="1" t="s">
        <v>10</v>
      </c>
      <c r="J1758" s="1">
        <v>650</v>
      </c>
      <c r="K1758" s="89">
        <v>26000</v>
      </c>
      <c r="L1758" s="3">
        <v>6.65</v>
      </c>
      <c r="M1758" s="3">
        <v>19.54</v>
      </c>
      <c r="N1758" s="3" t="s">
        <v>8</v>
      </c>
      <c r="O1758" s="3" t="s">
        <v>8</v>
      </c>
    </row>
    <row r="1759" spans="1:15" x14ac:dyDescent="0.35">
      <c r="A1759" s="5" t="str">
        <f>Loads[[#This Row],[Date]]&amp;Loads[[#This Row],[Product]]</f>
        <v>44262Product4</v>
      </c>
      <c r="B1759" s="5">
        <f>COUNTIF($A$1:A1759,Loads[[#This Row],[Load]])</f>
        <v>1</v>
      </c>
      <c r="C1759" s="3" t="str">
        <f>Loads[[#This Row],[Load]]&amp;Loads[[#This Row],[Count]]</f>
        <v>44262Product41</v>
      </c>
      <c r="D1759" s="90">
        <v>44262</v>
      </c>
      <c r="E1759" s="143">
        <v>6.8749999999999992E-2</v>
      </c>
      <c r="F1759" s="1" t="s">
        <v>9</v>
      </c>
      <c r="G1759" s="2" t="s">
        <v>15</v>
      </c>
      <c r="H1759" s="2" t="s">
        <v>42</v>
      </c>
      <c r="I1759" s="1" t="s">
        <v>11</v>
      </c>
      <c r="J1759" s="1" t="s">
        <v>8</v>
      </c>
      <c r="K1759" s="89">
        <v>30620</v>
      </c>
      <c r="L1759" s="3">
        <v>9.36</v>
      </c>
      <c r="M1759" s="3">
        <v>62.45</v>
      </c>
      <c r="N1759" s="3" t="s">
        <v>8</v>
      </c>
      <c r="O1759" s="3" t="s">
        <v>8</v>
      </c>
    </row>
    <row r="1760" spans="1:15" x14ac:dyDescent="0.35">
      <c r="A1760" s="5" t="str">
        <f>Loads[[#This Row],[Date]]&amp;Loads[[#This Row],[Product]]</f>
        <v>44262Product4</v>
      </c>
      <c r="B1760" s="5">
        <f>COUNTIF($A$1:A1760,Loads[[#This Row],[Load]])</f>
        <v>2</v>
      </c>
      <c r="C1760" s="3" t="str">
        <f>Loads[[#This Row],[Load]]&amp;Loads[[#This Row],[Count]]</f>
        <v>44262Product42</v>
      </c>
      <c r="D1760" s="90">
        <v>44262</v>
      </c>
      <c r="E1760" s="143">
        <v>6.9444444444444434E-2</v>
      </c>
      <c r="F1760" s="1" t="s">
        <v>9</v>
      </c>
      <c r="G1760" s="2" t="s">
        <v>15</v>
      </c>
      <c r="H1760" s="2" t="s">
        <v>42</v>
      </c>
      <c r="I1760" s="1" t="s">
        <v>11</v>
      </c>
      <c r="J1760" s="1" t="s">
        <v>8</v>
      </c>
      <c r="K1760" s="89">
        <v>30540</v>
      </c>
      <c r="L1760" s="3">
        <v>8.73</v>
      </c>
      <c r="M1760" s="3">
        <v>63.72</v>
      </c>
      <c r="N1760" s="3" t="s">
        <v>8</v>
      </c>
      <c r="O1760" s="3" t="s">
        <v>8</v>
      </c>
    </row>
    <row r="1761" spans="1:15" x14ac:dyDescent="0.35">
      <c r="A1761" s="5" t="str">
        <f>Loads[[#This Row],[Date]]&amp;Loads[[#This Row],[Product]]</f>
        <v>44262Product4</v>
      </c>
      <c r="B1761" s="5">
        <f>COUNTIF($A$1:A1761,Loads[[#This Row],[Load]])</f>
        <v>3</v>
      </c>
      <c r="C1761" s="3" t="str">
        <f>Loads[[#This Row],[Load]]&amp;Loads[[#This Row],[Count]]</f>
        <v>44262Product43</v>
      </c>
      <c r="D1761" s="90">
        <v>44262</v>
      </c>
      <c r="E1761" s="143">
        <v>7.3611111111111113E-2</v>
      </c>
      <c r="F1761" s="1" t="s">
        <v>9</v>
      </c>
      <c r="G1761" s="2" t="s">
        <v>15</v>
      </c>
      <c r="H1761" s="2" t="s">
        <v>42</v>
      </c>
      <c r="I1761" s="1" t="s">
        <v>11</v>
      </c>
      <c r="J1761" s="1" t="s">
        <v>8</v>
      </c>
      <c r="K1761" s="89">
        <v>27720</v>
      </c>
      <c r="L1761" s="3">
        <v>10.5</v>
      </c>
      <c r="M1761" s="3">
        <v>62.58</v>
      </c>
      <c r="N1761" s="3" t="s">
        <v>8</v>
      </c>
      <c r="O1761" s="3" t="s">
        <v>8</v>
      </c>
    </row>
    <row r="1762" spans="1:15" x14ac:dyDescent="0.35">
      <c r="A1762" s="5" t="str">
        <f>Loads[[#This Row],[Date]]&amp;Loads[[#This Row],[Product]]</f>
        <v>44262Product2</v>
      </c>
      <c r="B1762" s="5">
        <f>COUNTIF($A$1:A1762,Loads[[#This Row],[Load]])</f>
        <v>1</v>
      </c>
      <c r="C1762" s="3" t="str">
        <f>Loads[[#This Row],[Load]]&amp;Loads[[#This Row],[Count]]</f>
        <v>44262Product21</v>
      </c>
      <c r="D1762" s="90">
        <v>44262</v>
      </c>
      <c r="E1762" s="143">
        <v>0.13958333333333334</v>
      </c>
      <c r="F1762" s="1" t="s">
        <v>9</v>
      </c>
      <c r="G1762" s="2" t="s">
        <v>13</v>
      </c>
      <c r="H1762" s="2" t="s">
        <v>42</v>
      </c>
      <c r="I1762" s="1" t="s">
        <v>11</v>
      </c>
      <c r="J1762" s="1" t="s">
        <v>8</v>
      </c>
      <c r="K1762" s="89">
        <v>17540</v>
      </c>
      <c r="L1762" s="3">
        <v>59.31</v>
      </c>
      <c r="M1762" s="3">
        <v>10.47</v>
      </c>
      <c r="N1762" s="3" t="s">
        <v>8</v>
      </c>
      <c r="O1762" s="3" t="s">
        <v>8</v>
      </c>
    </row>
    <row r="1763" spans="1:15" x14ac:dyDescent="0.35">
      <c r="A1763" s="5" t="str">
        <f>Loads[[#This Row],[Date]]&amp;Loads[[#This Row],[Product]]</f>
        <v>44262Product2</v>
      </c>
      <c r="B1763" s="5">
        <f>COUNTIF($A$1:A1763,Loads[[#This Row],[Load]])</f>
        <v>2</v>
      </c>
      <c r="C1763" s="3" t="str">
        <f>Loads[[#This Row],[Load]]&amp;Loads[[#This Row],[Count]]</f>
        <v>44262Product22</v>
      </c>
      <c r="D1763" s="90">
        <v>44262</v>
      </c>
      <c r="E1763" s="143">
        <v>0.14027777777777778</v>
      </c>
      <c r="F1763" s="1" t="s">
        <v>9</v>
      </c>
      <c r="G1763" s="2" t="s">
        <v>13</v>
      </c>
      <c r="H1763" s="2" t="s">
        <v>42</v>
      </c>
      <c r="I1763" s="1" t="s">
        <v>11</v>
      </c>
      <c r="J1763" s="1" t="s">
        <v>8</v>
      </c>
      <c r="K1763" s="89">
        <v>11780</v>
      </c>
      <c r="L1763" s="3">
        <v>59.88</v>
      </c>
      <c r="M1763" s="3">
        <v>10.06</v>
      </c>
      <c r="N1763" s="3" t="s">
        <v>8</v>
      </c>
      <c r="O1763" s="3" t="s">
        <v>8</v>
      </c>
    </row>
    <row r="1764" spans="1:15" x14ac:dyDescent="0.35">
      <c r="A1764" s="5" t="str">
        <f>Loads[[#This Row],[Date]]&amp;Loads[[#This Row],[Product]]</f>
        <v>44262Product2</v>
      </c>
      <c r="B1764" s="5">
        <f>COUNTIF($A$1:A1764,Loads[[#This Row],[Load]])</f>
        <v>3</v>
      </c>
      <c r="C1764" s="3" t="str">
        <f>Loads[[#This Row],[Load]]&amp;Loads[[#This Row],[Count]]</f>
        <v>44262Product23</v>
      </c>
      <c r="D1764" s="90">
        <v>44262</v>
      </c>
      <c r="E1764" s="143">
        <v>0.14027777777777778</v>
      </c>
      <c r="F1764" s="1" t="s">
        <v>9</v>
      </c>
      <c r="G1764" s="2" t="s">
        <v>13</v>
      </c>
      <c r="H1764" s="2" t="s">
        <v>42</v>
      </c>
      <c r="I1764" s="1" t="s">
        <v>11</v>
      </c>
      <c r="J1764" s="1" t="s">
        <v>8</v>
      </c>
      <c r="K1764" s="89">
        <v>17540</v>
      </c>
      <c r="L1764" s="3">
        <v>60.4</v>
      </c>
      <c r="M1764" s="3">
        <v>9.82</v>
      </c>
      <c r="N1764" s="3" t="s">
        <v>8</v>
      </c>
      <c r="O1764" s="3" t="s">
        <v>8</v>
      </c>
    </row>
    <row r="1765" spans="1:15" x14ac:dyDescent="0.35">
      <c r="A1765" s="5" t="str">
        <f>Loads[[#This Row],[Date]]&amp;Loads[[#This Row],[Product]]</f>
        <v>44262Product2</v>
      </c>
      <c r="B1765" s="5">
        <f>COUNTIF($A$1:A1765,Loads[[#This Row],[Load]])</f>
        <v>4</v>
      </c>
      <c r="C1765" s="3" t="str">
        <f>Loads[[#This Row],[Load]]&amp;Loads[[#This Row],[Count]]</f>
        <v>44262Product24</v>
      </c>
      <c r="D1765" s="90">
        <v>44262</v>
      </c>
      <c r="E1765" s="143">
        <v>0.14097222222222222</v>
      </c>
      <c r="F1765" s="1" t="s">
        <v>9</v>
      </c>
      <c r="G1765" s="2" t="s">
        <v>13</v>
      </c>
      <c r="H1765" s="2" t="s">
        <v>42</v>
      </c>
      <c r="I1765" s="1" t="s">
        <v>11</v>
      </c>
      <c r="J1765" s="1" t="s">
        <v>8</v>
      </c>
      <c r="K1765" s="89">
        <v>11280</v>
      </c>
      <c r="L1765" s="3">
        <v>64.97</v>
      </c>
      <c r="M1765" s="3">
        <v>9.42</v>
      </c>
      <c r="N1765" s="3" t="s">
        <v>8</v>
      </c>
      <c r="O1765" s="3" t="s">
        <v>8</v>
      </c>
    </row>
    <row r="1766" spans="1:15" x14ac:dyDescent="0.35">
      <c r="A1766" s="5" t="str">
        <f>Loads[[#This Row],[Date]]&amp;Loads[[#This Row],[Product]]</f>
        <v>44262Product2</v>
      </c>
      <c r="B1766" s="5">
        <f>COUNTIF($A$1:A1766,Loads[[#This Row],[Load]])</f>
        <v>5</v>
      </c>
      <c r="C1766" s="3" t="str">
        <f>Loads[[#This Row],[Load]]&amp;Loads[[#This Row],[Count]]</f>
        <v>44262Product25</v>
      </c>
      <c r="D1766" s="90">
        <v>44262</v>
      </c>
      <c r="E1766" s="143">
        <v>0.14166666666666666</v>
      </c>
      <c r="F1766" s="1" t="s">
        <v>9</v>
      </c>
      <c r="G1766" s="2" t="s">
        <v>13</v>
      </c>
      <c r="H1766" s="2" t="s">
        <v>42</v>
      </c>
      <c r="I1766" s="1" t="s">
        <v>11</v>
      </c>
      <c r="J1766" s="1" t="s">
        <v>8</v>
      </c>
      <c r="K1766" s="89">
        <v>12720</v>
      </c>
      <c r="L1766" s="3">
        <v>60.93</v>
      </c>
      <c r="M1766" s="3">
        <v>9.82</v>
      </c>
      <c r="N1766" s="3" t="s">
        <v>8</v>
      </c>
      <c r="O1766" s="3" t="s">
        <v>8</v>
      </c>
    </row>
    <row r="1767" spans="1:15" x14ac:dyDescent="0.35">
      <c r="A1767" s="5" t="str">
        <f>Loads[[#This Row],[Date]]&amp;Loads[[#This Row],[Product]]</f>
        <v>44262Product2</v>
      </c>
      <c r="B1767" s="5">
        <f>COUNTIF($A$1:A1767,Loads[[#This Row],[Load]])</f>
        <v>6</v>
      </c>
      <c r="C1767" s="3" t="str">
        <f>Loads[[#This Row],[Load]]&amp;Loads[[#This Row],[Count]]</f>
        <v>44262Product26</v>
      </c>
      <c r="D1767" s="90">
        <v>44262</v>
      </c>
      <c r="E1767" s="143">
        <v>0.1423611111111111</v>
      </c>
      <c r="F1767" s="1" t="s">
        <v>9</v>
      </c>
      <c r="G1767" s="2" t="s">
        <v>13</v>
      </c>
      <c r="H1767" s="2" t="s">
        <v>42</v>
      </c>
      <c r="I1767" s="1" t="s">
        <v>11</v>
      </c>
      <c r="J1767" s="1" t="s">
        <v>8</v>
      </c>
      <c r="K1767" s="89">
        <v>12600</v>
      </c>
      <c r="L1767" s="3">
        <v>59.54</v>
      </c>
      <c r="M1767" s="3">
        <v>10.220000000000001</v>
      </c>
      <c r="N1767" s="3" t="s">
        <v>8</v>
      </c>
      <c r="O1767" s="3" t="s">
        <v>8</v>
      </c>
    </row>
    <row r="1768" spans="1:15" x14ac:dyDescent="0.35">
      <c r="A1768" s="5" t="str">
        <f>Loads[[#This Row],[Date]]&amp;Loads[[#This Row],[Product]]</f>
        <v>44262Product2</v>
      </c>
      <c r="B1768" s="5">
        <f>COUNTIF($A$1:A1768,Loads[[#This Row],[Load]])</f>
        <v>7</v>
      </c>
      <c r="C1768" s="3" t="str">
        <f>Loads[[#This Row],[Load]]&amp;Loads[[#This Row],[Count]]</f>
        <v>44262Product27</v>
      </c>
      <c r="D1768" s="90">
        <v>44262</v>
      </c>
      <c r="E1768" s="143">
        <v>0.14305555555555557</v>
      </c>
      <c r="F1768" s="1" t="s">
        <v>9</v>
      </c>
      <c r="G1768" s="2" t="s">
        <v>13</v>
      </c>
      <c r="H1768" s="2" t="s">
        <v>42</v>
      </c>
      <c r="I1768" s="1" t="s">
        <v>11</v>
      </c>
      <c r="J1768" s="1" t="s">
        <v>8</v>
      </c>
      <c r="K1768" s="89">
        <v>11340</v>
      </c>
      <c r="L1768" s="3">
        <v>64.22</v>
      </c>
      <c r="M1768" s="3">
        <v>7.94</v>
      </c>
      <c r="N1768" s="3" t="s">
        <v>8</v>
      </c>
      <c r="O1768" s="3" t="s">
        <v>8</v>
      </c>
    </row>
    <row r="1769" spans="1:15" x14ac:dyDescent="0.35">
      <c r="A1769" s="5" t="str">
        <f>Loads[[#This Row],[Date]]&amp;Loads[[#This Row],[Product]]</f>
        <v>44262Product7</v>
      </c>
      <c r="B1769" s="5">
        <f>COUNTIF($A$1:A1769,Loads[[#This Row],[Load]])</f>
        <v>1</v>
      </c>
      <c r="C1769" s="3" t="str">
        <f>Loads[[#This Row],[Load]]&amp;Loads[[#This Row],[Count]]</f>
        <v>44262Product71</v>
      </c>
      <c r="D1769" s="90">
        <v>44262</v>
      </c>
      <c r="E1769" s="143">
        <v>7.8472222222222221E-2</v>
      </c>
      <c r="F1769" s="1" t="s">
        <v>9</v>
      </c>
      <c r="G1769" s="2" t="s">
        <v>18</v>
      </c>
      <c r="H1769" s="2" t="s">
        <v>42</v>
      </c>
      <c r="I1769" s="1" t="s">
        <v>11</v>
      </c>
      <c r="J1769" s="1" t="s">
        <v>8</v>
      </c>
      <c r="K1769" s="89">
        <v>26200</v>
      </c>
      <c r="L1769" s="3" t="s">
        <v>8</v>
      </c>
      <c r="M1769" s="3">
        <v>24.13</v>
      </c>
      <c r="N1769" s="3" t="s">
        <v>8</v>
      </c>
      <c r="O1769" s="3">
        <v>51.74</v>
      </c>
    </row>
    <row r="1770" spans="1:15" x14ac:dyDescent="0.35">
      <c r="A1770" s="5" t="str">
        <f>Loads[[#This Row],[Date]]&amp;Loads[[#This Row],[Product]]</f>
        <v>44262Product8</v>
      </c>
      <c r="B1770" s="5">
        <f>COUNTIF($A$1:A1770,Loads[[#This Row],[Load]])</f>
        <v>1</v>
      </c>
      <c r="C1770" s="3" t="str">
        <f>Loads[[#This Row],[Load]]&amp;Loads[[#This Row],[Count]]</f>
        <v>44262Product81</v>
      </c>
      <c r="D1770" s="90">
        <v>44262</v>
      </c>
      <c r="E1770" s="143">
        <v>7.4999999999999997E-2</v>
      </c>
      <c r="F1770" s="1" t="s">
        <v>9</v>
      </c>
      <c r="G1770" s="2" t="s">
        <v>19</v>
      </c>
      <c r="H1770" s="2" t="s">
        <v>42</v>
      </c>
      <c r="I1770" s="1" t="s">
        <v>11</v>
      </c>
      <c r="J1770" s="1" t="s">
        <v>8</v>
      </c>
      <c r="K1770" s="89">
        <v>12640</v>
      </c>
      <c r="L1770" s="3">
        <v>11.6</v>
      </c>
      <c r="M1770" s="3">
        <v>7.2</v>
      </c>
      <c r="N1770" s="3" t="s">
        <v>8</v>
      </c>
      <c r="O1770" s="3" t="s">
        <v>8</v>
      </c>
    </row>
    <row r="1771" spans="1:15" x14ac:dyDescent="0.35">
      <c r="A1771" s="5" t="str">
        <f>Loads[[#This Row],[Date]]&amp;Loads[[#This Row],[Product]]</f>
        <v>44262Product6</v>
      </c>
      <c r="B1771" s="5">
        <f>COUNTIF($A$1:A1771,Loads[[#This Row],[Load]])</f>
        <v>1</v>
      </c>
      <c r="C1771" s="3" t="str">
        <f>Loads[[#This Row],[Load]]&amp;Loads[[#This Row],[Count]]</f>
        <v>44262Product61</v>
      </c>
      <c r="D1771" s="90">
        <v>44262</v>
      </c>
      <c r="E1771" s="143">
        <v>7.6388888888888895E-2</v>
      </c>
      <c r="F1771" s="1" t="s">
        <v>9</v>
      </c>
      <c r="G1771" s="2" t="s">
        <v>17</v>
      </c>
      <c r="H1771" s="2" t="s">
        <v>42</v>
      </c>
      <c r="I1771" s="1" t="s">
        <v>11</v>
      </c>
      <c r="J1771" s="1" t="s">
        <v>8</v>
      </c>
      <c r="K1771" s="89">
        <v>34880</v>
      </c>
      <c r="L1771" s="3">
        <v>1.94</v>
      </c>
      <c r="M1771" s="3" t="s">
        <v>8</v>
      </c>
      <c r="N1771" s="3">
        <v>0.09</v>
      </c>
      <c r="O1771" s="3" t="s">
        <v>8</v>
      </c>
    </row>
    <row r="1772" spans="1:15" x14ac:dyDescent="0.35">
      <c r="A1772" s="5" t="str">
        <f>Loads[[#This Row],[Date]]&amp;Loads[[#This Row],[Product]]</f>
        <v>44262Product1</v>
      </c>
      <c r="B1772" s="5">
        <f>COUNTIF($A$1:A1772,Loads[[#This Row],[Load]])</f>
        <v>1</v>
      </c>
      <c r="C1772" s="3" t="str">
        <f>Loads[[#This Row],[Load]]&amp;Loads[[#This Row],[Count]]</f>
        <v>44262Product11</v>
      </c>
      <c r="D1772" s="90">
        <v>44262</v>
      </c>
      <c r="E1772" s="143">
        <v>6.0416666666666667E-2</v>
      </c>
      <c r="F1772" s="1" t="s">
        <v>9</v>
      </c>
      <c r="G1772" s="2" t="s">
        <v>12</v>
      </c>
      <c r="H1772" s="2" t="s">
        <v>42</v>
      </c>
      <c r="I1772" s="1" t="s">
        <v>11</v>
      </c>
      <c r="J1772" s="1" t="s">
        <v>8</v>
      </c>
      <c r="K1772" s="89">
        <v>18120</v>
      </c>
      <c r="L1772" s="3">
        <v>7.54</v>
      </c>
      <c r="M1772" s="3">
        <v>20.11</v>
      </c>
      <c r="N1772" s="3" t="s">
        <v>8</v>
      </c>
      <c r="O1772" s="3" t="s">
        <v>8</v>
      </c>
    </row>
    <row r="1773" spans="1:15" x14ac:dyDescent="0.35">
      <c r="A1773" s="5" t="str">
        <f>Loads[[#This Row],[Date]]&amp;Loads[[#This Row],[Product]]</f>
        <v>44262Product1</v>
      </c>
      <c r="B1773" s="5">
        <f>COUNTIF($A$1:A1773,Loads[[#This Row],[Load]])</f>
        <v>2</v>
      </c>
      <c r="C1773" s="3" t="str">
        <f>Loads[[#This Row],[Load]]&amp;Loads[[#This Row],[Count]]</f>
        <v>44262Product12</v>
      </c>
      <c r="D1773" s="90">
        <v>44262</v>
      </c>
      <c r="E1773" s="143">
        <v>6.1111111111111116E-2</v>
      </c>
      <c r="F1773" s="1" t="s">
        <v>9</v>
      </c>
      <c r="G1773" s="2" t="s">
        <v>12</v>
      </c>
      <c r="H1773" s="2" t="s">
        <v>42</v>
      </c>
      <c r="I1773" s="1" t="s">
        <v>11</v>
      </c>
      <c r="J1773" s="1" t="s">
        <v>8</v>
      </c>
      <c r="K1773" s="89">
        <v>28280</v>
      </c>
      <c r="L1773" s="3">
        <v>8.08</v>
      </c>
      <c r="M1773" s="3">
        <v>20.91</v>
      </c>
      <c r="N1773" s="3" t="s">
        <v>8</v>
      </c>
      <c r="O1773" s="3" t="s">
        <v>8</v>
      </c>
    </row>
    <row r="1774" spans="1:15" x14ac:dyDescent="0.35">
      <c r="A1774" s="5" t="str">
        <f>Loads[[#This Row],[Date]]&amp;Loads[[#This Row],[Product]]</f>
        <v>44262Product1</v>
      </c>
      <c r="B1774" s="5">
        <f>COUNTIF($A$1:A1774,Loads[[#This Row],[Load]])</f>
        <v>3</v>
      </c>
      <c r="C1774" s="3" t="str">
        <f>Loads[[#This Row],[Load]]&amp;Loads[[#This Row],[Count]]</f>
        <v>44262Product13</v>
      </c>
      <c r="D1774" s="90">
        <v>44262</v>
      </c>
      <c r="E1774" s="143">
        <v>6.1805555555555558E-2</v>
      </c>
      <c r="F1774" s="1" t="s">
        <v>9</v>
      </c>
      <c r="G1774" s="2" t="s">
        <v>12</v>
      </c>
      <c r="H1774" s="2" t="s">
        <v>42</v>
      </c>
      <c r="I1774" s="1" t="s">
        <v>11</v>
      </c>
      <c r="J1774" s="1" t="s">
        <v>8</v>
      </c>
      <c r="K1774" s="89">
        <v>28580</v>
      </c>
      <c r="L1774" s="3">
        <v>8.43</v>
      </c>
      <c r="M1774" s="3">
        <v>22.18</v>
      </c>
      <c r="N1774" s="3" t="s">
        <v>8</v>
      </c>
      <c r="O1774" s="3" t="s">
        <v>8</v>
      </c>
    </row>
    <row r="1775" spans="1:15" x14ac:dyDescent="0.35">
      <c r="A1775" s="5" t="str">
        <f>Loads[[#This Row],[Date]]&amp;Loads[[#This Row],[Product]]</f>
        <v>44262Product1</v>
      </c>
      <c r="B1775" s="5">
        <f>COUNTIF($A$1:A1775,Loads[[#This Row],[Load]])</f>
        <v>4</v>
      </c>
      <c r="C1775" s="3" t="str">
        <f>Loads[[#This Row],[Load]]&amp;Loads[[#This Row],[Count]]</f>
        <v>44262Product14</v>
      </c>
      <c r="D1775" s="90">
        <v>44262</v>
      </c>
      <c r="E1775" s="143">
        <v>6.25E-2</v>
      </c>
      <c r="F1775" s="1" t="s">
        <v>9</v>
      </c>
      <c r="G1775" s="2" t="s">
        <v>12</v>
      </c>
      <c r="H1775" s="2" t="s">
        <v>42</v>
      </c>
      <c r="I1775" s="1" t="s">
        <v>11</v>
      </c>
      <c r="J1775" s="1" t="s">
        <v>8</v>
      </c>
      <c r="K1775" s="89">
        <v>26180</v>
      </c>
      <c r="L1775" s="3">
        <v>7.56</v>
      </c>
      <c r="M1775" s="3">
        <v>19.72</v>
      </c>
      <c r="N1775" s="3" t="s">
        <v>8</v>
      </c>
      <c r="O1775" s="3" t="s">
        <v>8</v>
      </c>
    </row>
    <row r="1776" spans="1:15" x14ac:dyDescent="0.35">
      <c r="A1776" s="5" t="str">
        <f>Loads[[#This Row],[Date]]&amp;Loads[[#This Row],[Product]]</f>
        <v>44262Product1</v>
      </c>
      <c r="B1776" s="5">
        <f>COUNTIF($A$1:A1776,Loads[[#This Row],[Load]])</f>
        <v>5</v>
      </c>
      <c r="C1776" s="3" t="str">
        <f>Loads[[#This Row],[Load]]&amp;Loads[[#This Row],[Count]]</f>
        <v>44262Product15</v>
      </c>
      <c r="D1776" s="90">
        <v>44262</v>
      </c>
      <c r="E1776" s="143">
        <v>6.3194444444444442E-2</v>
      </c>
      <c r="F1776" s="1" t="s">
        <v>9</v>
      </c>
      <c r="G1776" s="2" t="s">
        <v>12</v>
      </c>
      <c r="H1776" s="2" t="s">
        <v>42</v>
      </c>
      <c r="I1776" s="1" t="s">
        <v>11</v>
      </c>
      <c r="J1776" s="1" t="s">
        <v>8</v>
      </c>
      <c r="K1776" s="89">
        <v>20420</v>
      </c>
      <c r="L1776" s="3">
        <v>7.27</v>
      </c>
      <c r="M1776" s="3">
        <v>18.13</v>
      </c>
      <c r="N1776" s="3" t="s">
        <v>8</v>
      </c>
      <c r="O1776" s="3" t="s">
        <v>8</v>
      </c>
    </row>
    <row r="1777" spans="1:15" x14ac:dyDescent="0.35">
      <c r="A1777" s="5" t="str">
        <f>Loads[[#This Row],[Date]]&amp;Loads[[#This Row],[Product]]</f>
        <v>44262Product1</v>
      </c>
      <c r="B1777" s="5">
        <f>COUNTIF($A$1:A1777,Loads[[#This Row],[Load]])</f>
        <v>6</v>
      </c>
      <c r="C1777" s="3" t="str">
        <f>Loads[[#This Row],[Load]]&amp;Loads[[#This Row],[Count]]</f>
        <v>44262Product16</v>
      </c>
      <c r="D1777" s="90">
        <v>44262</v>
      </c>
      <c r="E1777" s="143">
        <v>6.3888888888888884E-2</v>
      </c>
      <c r="F1777" s="1" t="s">
        <v>9</v>
      </c>
      <c r="G1777" s="2" t="s">
        <v>12</v>
      </c>
      <c r="H1777" s="2" t="s">
        <v>42</v>
      </c>
      <c r="I1777" s="1" t="s">
        <v>11</v>
      </c>
      <c r="J1777" s="1" t="s">
        <v>8</v>
      </c>
      <c r="K1777" s="89">
        <v>16300</v>
      </c>
      <c r="L1777" s="3">
        <v>8.2100000000000009</v>
      </c>
      <c r="M1777" s="3">
        <v>19.04</v>
      </c>
      <c r="N1777" s="3" t="s">
        <v>8</v>
      </c>
      <c r="O1777" s="3" t="s">
        <v>8</v>
      </c>
    </row>
    <row r="1778" spans="1:15" x14ac:dyDescent="0.35">
      <c r="A1778" s="5" t="str">
        <f>Loads[[#This Row],[Date]]&amp;Loads[[#This Row],[Product]]</f>
        <v>44262Product1</v>
      </c>
      <c r="B1778" s="5">
        <f>COUNTIF($A$1:A1778,Loads[[#This Row],[Load]])</f>
        <v>7</v>
      </c>
      <c r="C1778" s="3" t="str">
        <f>Loads[[#This Row],[Load]]&amp;Loads[[#This Row],[Count]]</f>
        <v>44262Product17</v>
      </c>
      <c r="D1778" s="90">
        <v>44262</v>
      </c>
      <c r="E1778" s="143">
        <v>6.3888888888888884E-2</v>
      </c>
      <c r="F1778" s="1" t="s">
        <v>9</v>
      </c>
      <c r="G1778" s="2" t="s">
        <v>12</v>
      </c>
      <c r="H1778" s="2" t="s">
        <v>42</v>
      </c>
      <c r="I1778" s="1" t="s">
        <v>11</v>
      </c>
      <c r="J1778" s="1" t="s">
        <v>8</v>
      </c>
      <c r="K1778" s="89">
        <v>19500</v>
      </c>
      <c r="L1778" s="3">
        <v>7.6</v>
      </c>
      <c r="M1778" s="3">
        <v>19.09</v>
      </c>
      <c r="N1778" s="3" t="s">
        <v>8</v>
      </c>
      <c r="O1778" s="3" t="s">
        <v>8</v>
      </c>
    </row>
    <row r="1779" spans="1:15" x14ac:dyDescent="0.35">
      <c r="A1779" s="5" t="str">
        <f>Loads[[#This Row],[Date]]&amp;Loads[[#This Row],[Product]]</f>
        <v>44262Product1</v>
      </c>
      <c r="B1779" s="5">
        <f>COUNTIF($A$1:A1779,Loads[[#This Row],[Load]])</f>
        <v>8</v>
      </c>
      <c r="C1779" s="3" t="str">
        <f>Loads[[#This Row],[Load]]&amp;Loads[[#This Row],[Count]]</f>
        <v>44262Product18</v>
      </c>
      <c r="D1779" s="90">
        <v>44262</v>
      </c>
      <c r="E1779" s="143">
        <v>6.5277777777777782E-2</v>
      </c>
      <c r="F1779" s="1" t="s">
        <v>9</v>
      </c>
      <c r="G1779" s="2" t="s">
        <v>12</v>
      </c>
      <c r="H1779" s="2" t="s">
        <v>42</v>
      </c>
      <c r="I1779" s="1" t="s">
        <v>11</v>
      </c>
      <c r="J1779" s="1" t="s">
        <v>8</v>
      </c>
      <c r="K1779" s="89">
        <v>18560</v>
      </c>
      <c r="L1779" s="3">
        <v>6.71</v>
      </c>
      <c r="M1779" s="3">
        <v>20.96</v>
      </c>
      <c r="N1779" s="3" t="s">
        <v>8</v>
      </c>
      <c r="O1779" s="3" t="s">
        <v>8</v>
      </c>
    </row>
    <row r="1780" spans="1:15" x14ac:dyDescent="0.35">
      <c r="A1780" s="5" t="str">
        <f>Loads[[#This Row],[Date]]&amp;Loads[[#This Row],[Product]]</f>
        <v>44262Product1</v>
      </c>
      <c r="B1780" s="5">
        <f>COUNTIF($A$1:A1780,Loads[[#This Row],[Load]])</f>
        <v>9</v>
      </c>
      <c r="C1780" s="3" t="str">
        <f>Loads[[#This Row],[Load]]&amp;Loads[[#This Row],[Count]]</f>
        <v>44262Product19</v>
      </c>
      <c r="D1780" s="90">
        <v>44262</v>
      </c>
      <c r="E1780" s="143">
        <v>6.6666666666666666E-2</v>
      </c>
      <c r="F1780" s="1" t="s">
        <v>9</v>
      </c>
      <c r="G1780" s="2" t="s">
        <v>12</v>
      </c>
      <c r="H1780" s="2" t="s">
        <v>42</v>
      </c>
      <c r="I1780" s="1" t="s">
        <v>11</v>
      </c>
      <c r="J1780" s="1" t="s">
        <v>8</v>
      </c>
      <c r="K1780" s="89">
        <v>18940</v>
      </c>
      <c r="L1780" s="3">
        <v>6.91</v>
      </c>
      <c r="M1780" s="3">
        <v>21.72</v>
      </c>
      <c r="N1780" s="3" t="s">
        <v>8</v>
      </c>
      <c r="O1780" s="3" t="s">
        <v>8</v>
      </c>
    </row>
    <row r="1781" spans="1:15" x14ac:dyDescent="0.35">
      <c r="A1781" s="5" t="str">
        <f>Loads[[#This Row],[Date]]&amp;Loads[[#This Row],[Product]]</f>
        <v>44262Product1</v>
      </c>
      <c r="B1781" s="5">
        <f>COUNTIF($A$1:A1781,Loads[[#This Row],[Load]])</f>
        <v>10</v>
      </c>
      <c r="C1781" s="3" t="str">
        <f>Loads[[#This Row],[Load]]&amp;Loads[[#This Row],[Count]]</f>
        <v>44262Product110</v>
      </c>
      <c r="D1781" s="90">
        <v>44262</v>
      </c>
      <c r="E1781" s="143">
        <v>6.7361111111111108E-2</v>
      </c>
      <c r="F1781" s="1" t="s">
        <v>9</v>
      </c>
      <c r="G1781" s="2" t="s">
        <v>12</v>
      </c>
      <c r="H1781" s="2" t="s">
        <v>42</v>
      </c>
      <c r="I1781" s="1" t="s">
        <v>10</v>
      </c>
      <c r="J1781" s="1">
        <v>925</v>
      </c>
      <c r="K1781" s="89">
        <v>36880</v>
      </c>
      <c r="L1781" s="3">
        <v>8.09</v>
      </c>
      <c r="M1781" s="3">
        <v>21.02</v>
      </c>
      <c r="N1781" s="3" t="s">
        <v>8</v>
      </c>
      <c r="O1781" s="3" t="s">
        <v>8</v>
      </c>
    </row>
    <row r="1782" spans="1:15" x14ac:dyDescent="0.35">
      <c r="A1782" s="5" t="str">
        <f>Loads[[#This Row],[Date]]&amp;Loads[[#This Row],[Product]]</f>
        <v>44263Product4</v>
      </c>
      <c r="B1782" s="5">
        <f>COUNTIF($A$1:A1782,Loads[[#This Row],[Load]])</f>
        <v>1</v>
      </c>
      <c r="C1782" s="3" t="str">
        <f>Loads[[#This Row],[Load]]&amp;Loads[[#This Row],[Count]]</f>
        <v>44263Product41</v>
      </c>
      <c r="D1782" s="90">
        <v>44263</v>
      </c>
      <c r="E1782" s="143">
        <v>0.10347222222222223</v>
      </c>
      <c r="F1782" s="1" t="s">
        <v>9</v>
      </c>
      <c r="G1782" s="2" t="s">
        <v>15</v>
      </c>
      <c r="H1782" s="2" t="s">
        <v>42</v>
      </c>
      <c r="I1782" s="1" t="s">
        <v>0</v>
      </c>
      <c r="J1782" s="1">
        <v>22</v>
      </c>
      <c r="K1782" s="89">
        <v>27020</v>
      </c>
      <c r="L1782" s="3">
        <v>10.81</v>
      </c>
      <c r="M1782" s="3">
        <v>60.3</v>
      </c>
      <c r="N1782" s="3" t="s">
        <v>8</v>
      </c>
      <c r="O1782" s="3" t="s">
        <v>8</v>
      </c>
    </row>
    <row r="1783" spans="1:15" x14ac:dyDescent="0.35">
      <c r="A1783" s="5" t="str">
        <f>Loads[[#This Row],[Date]]&amp;Loads[[#This Row],[Product]]</f>
        <v>44263Product4</v>
      </c>
      <c r="B1783" s="5">
        <f>COUNTIF($A$1:A1783,Loads[[#This Row],[Load]])</f>
        <v>2</v>
      </c>
      <c r="C1783" s="3" t="str">
        <f>Loads[[#This Row],[Load]]&amp;Loads[[#This Row],[Count]]</f>
        <v>44263Product42</v>
      </c>
      <c r="D1783" s="90">
        <v>44263</v>
      </c>
      <c r="E1783" s="143">
        <v>0.10208333333333335</v>
      </c>
      <c r="F1783" s="1" t="s">
        <v>9</v>
      </c>
      <c r="G1783" s="2" t="s">
        <v>15</v>
      </c>
      <c r="H1783" s="2" t="s">
        <v>42</v>
      </c>
      <c r="I1783" s="1" t="s">
        <v>11</v>
      </c>
      <c r="J1783" s="1" t="s">
        <v>8</v>
      </c>
      <c r="K1783" s="89">
        <v>18840</v>
      </c>
      <c r="L1783" s="3">
        <v>9.58</v>
      </c>
      <c r="M1783" s="3">
        <v>62.68</v>
      </c>
      <c r="N1783" s="3" t="s">
        <v>8</v>
      </c>
      <c r="O1783" s="3" t="s">
        <v>8</v>
      </c>
    </row>
    <row r="1784" spans="1:15" x14ac:dyDescent="0.35">
      <c r="A1784" s="5" t="str">
        <f>Loads[[#This Row],[Date]]&amp;Loads[[#This Row],[Product]]</f>
        <v>44263Product4</v>
      </c>
      <c r="B1784" s="5">
        <f>COUNTIF($A$1:A1784,Loads[[#This Row],[Load]])</f>
        <v>3</v>
      </c>
      <c r="C1784" s="3" t="str">
        <f>Loads[[#This Row],[Load]]&amp;Loads[[#This Row],[Count]]</f>
        <v>44263Product43</v>
      </c>
      <c r="D1784" s="90">
        <v>44263</v>
      </c>
      <c r="E1784" s="143">
        <v>0.10208333333333335</v>
      </c>
      <c r="F1784" s="1" t="s">
        <v>9</v>
      </c>
      <c r="G1784" s="2" t="s">
        <v>15</v>
      </c>
      <c r="H1784" s="2" t="s">
        <v>42</v>
      </c>
      <c r="I1784" s="1" t="s">
        <v>11</v>
      </c>
      <c r="J1784" s="1" t="s">
        <v>8</v>
      </c>
      <c r="K1784" s="89">
        <v>37560</v>
      </c>
      <c r="L1784" s="3">
        <v>9.23</v>
      </c>
      <c r="M1784" s="3">
        <v>62.89</v>
      </c>
      <c r="N1784" s="3" t="s">
        <v>8</v>
      </c>
      <c r="O1784" s="3" t="s">
        <v>8</v>
      </c>
    </row>
    <row r="1785" spans="1:15" x14ac:dyDescent="0.35">
      <c r="A1785" s="5" t="str">
        <f>Loads[[#This Row],[Date]]&amp;Loads[[#This Row],[Product]]</f>
        <v>44263Product7</v>
      </c>
      <c r="B1785" s="5">
        <f>COUNTIF($A$1:A1785,Loads[[#This Row],[Load]])</f>
        <v>1</v>
      </c>
      <c r="C1785" s="3" t="str">
        <f>Loads[[#This Row],[Load]]&amp;Loads[[#This Row],[Count]]</f>
        <v>44263Product71</v>
      </c>
      <c r="D1785" s="90">
        <v>44263</v>
      </c>
      <c r="E1785" s="143">
        <v>0.10416666666666667</v>
      </c>
      <c r="F1785" s="1" t="s">
        <v>9</v>
      </c>
      <c r="G1785" s="2" t="s">
        <v>18</v>
      </c>
      <c r="H1785" s="2" t="s">
        <v>42</v>
      </c>
      <c r="I1785" s="1" t="s">
        <v>11</v>
      </c>
      <c r="J1785" s="1" t="s">
        <v>8</v>
      </c>
      <c r="K1785" s="89">
        <v>22780</v>
      </c>
      <c r="L1785" s="3" t="s">
        <v>8</v>
      </c>
      <c r="M1785" s="3">
        <v>21.15</v>
      </c>
      <c r="N1785" s="3" t="s">
        <v>8</v>
      </c>
      <c r="O1785" s="3">
        <v>41.96</v>
      </c>
    </row>
    <row r="1786" spans="1:15" x14ac:dyDescent="0.35">
      <c r="A1786" s="5" t="str">
        <f>Loads[[#This Row],[Date]]&amp;Loads[[#This Row],[Product]]</f>
        <v>44263Product8</v>
      </c>
      <c r="B1786" s="5">
        <f>COUNTIF($A$1:A1786,Loads[[#This Row],[Load]])</f>
        <v>1</v>
      </c>
      <c r="C1786" s="3" t="str">
        <f>Loads[[#This Row],[Load]]&amp;Loads[[#This Row],[Count]]</f>
        <v>44263Product81</v>
      </c>
      <c r="D1786" s="90">
        <v>44263</v>
      </c>
      <c r="E1786" s="143">
        <v>0.10416666666666667</v>
      </c>
      <c r="F1786" s="1" t="s">
        <v>9</v>
      </c>
      <c r="G1786" s="2" t="s">
        <v>19</v>
      </c>
      <c r="H1786" s="2" t="s">
        <v>42</v>
      </c>
      <c r="I1786" s="1" t="s">
        <v>11</v>
      </c>
      <c r="J1786" s="1" t="s">
        <v>8</v>
      </c>
      <c r="K1786" s="89">
        <v>11520</v>
      </c>
      <c r="L1786" s="3">
        <v>10.6</v>
      </c>
      <c r="M1786" s="3">
        <v>7.2</v>
      </c>
      <c r="N1786" s="3" t="s">
        <v>8</v>
      </c>
      <c r="O1786" s="3" t="s">
        <v>8</v>
      </c>
    </row>
    <row r="1787" spans="1:15" x14ac:dyDescent="0.35">
      <c r="A1787" s="5" t="str">
        <f>Loads[[#This Row],[Date]]&amp;Loads[[#This Row],[Product]]</f>
        <v>44263Product6</v>
      </c>
      <c r="B1787" s="5">
        <f>COUNTIF($A$1:A1787,Loads[[#This Row],[Load]])</f>
        <v>1</v>
      </c>
      <c r="C1787" s="3" t="str">
        <f>Loads[[#This Row],[Load]]&amp;Loads[[#This Row],[Count]]</f>
        <v>44263Product61</v>
      </c>
      <c r="D1787" s="90">
        <v>44263</v>
      </c>
      <c r="E1787" s="143">
        <v>0.10486111111111111</v>
      </c>
      <c r="F1787" s="1" t="s">
        <v>9</v>
      </c>
      <c r="G1787" s="2" t="s">
        <v>17</v>
      </c>
      <c r="H1787" s="2" t="s">
        <v>42</v>
      </c>
      <c r="I1787" s="1" t="s">
        <v>11</v>
      </c>
      <c r="J1787" s="1" t="s">
        <v>8</v>
      </c>
      <c r="K1787" s="89">
        <v>35920</v>
      </c>
      <c r="L1787" s="3">
        <v>2.19</v>
      </c>
      <c r="M1787" s="3" t="s">
        <v>8</v>
      </c>
      <c r="N1787" s="3">
        <v>0.09</v>
      </c>
      <c r="O1787" s="3" t="s">
        <v>8</v>
      </c>
    </row>
    <row r="1788" spans="1:15" x14ac:dyDescent="0.35">
      <c r="A1788" s="5" t="str">
        <f>Loads[[#This Row],[Date]]&amp;Loads[[#This Row],[Product]]</f>
        <v>44263Product1</v>
      </c>
      <c r="B1788" s="5">
        <f>COUNTIF($A$1:A1788,Loads[[#This Row],[Load]])</f>
        <v>1</v>
      </c>
      <c r="C1788" s="3" t="str">
        <f>Loads[[#This Row],[Load]]&amp;Loads[[#This Row],[Count]]</f>
        <v>44263Product11</v>
      </c>
      <c r="D1788" s="90">
        <v>44263</v>
      </c>
      <c r="E1788" s="143">
        <v>9.5833333333333326E-2</v>
      </c>
      <c r="F1788" s="1" t="s">
        <v>9</v>
      </c>
      <c r="G1788" s="2" t="s">
        <v>12</v>
      </c>
      <c r="H1788" s="2" t="s">
        <v>42</v>
      </c>
      <c r="I1788" s="1" t="s">
        <v>11</v>
      </c>
      <c r="J1788" s="1" t="s">
        <v>8</v>
      </c>
      <c r="K1788" s="89">
        <v>22040</v>
      </c>
      <c r="L1788" s="3">
        <v>9.14</v>
      </c>
      <c r="M1788" s="3">
        <v>21.93</v>
      </c>
      <c r="N1788" s="3" t="s">
        <v>8</v>
      </c>
      <c r="O1788" s="3" t="s">
        <v>8</v>
      </c>
    </row>
    <row r="1789" spans="1:15" x14ac:dyDescent="0.35">
      <c r="A1789" s="5" t="str">
        <f>Loads[[#This Row],[Date]]&amp;Loads[[#This Row],[Product]]</f>
        <v>44263Product1</v>
      </c>
      <c r="B1789" s="5">
        <f>COUNTIF($A$1:A1789,Loads[[#This Row],[Load]])</f>
        <v>2</v>
      </c>
      <c r="C1789" s="3" t="str">
        <f>Loads[[#This Row],[Load]]&amp;Loads[[#This Row],[Count]]</f>
        <v>44263Product12</v>
      </c>
      <c r="D1789" s="90">
        <v>44263</v>
      </c>
      <c r="E1789" s="143">
        <v>9.6527777777777768E-2</v>
      </c>
      <c r="F1789" s="1" t="s">
        <v>9</v>
      </c>
      <c r="G1789" s="2" t="s">
        <v>12</v>
      </c>
      <c r="H1789" s="2" t="s">
        <v>42</v>
      </c>
      <c r="I1789" s="1" t="s">
        <v>11</v>
      </c>
      <c r="J1789" s="1" t="s">
        <v>8</v>
      </c>
      <c r="K1789" s="89">
        <v>19800</v>
      </c>
      <c r="L1789" s="3">
        <v>8.27</v>
      </c>
      <c r="M1789" s="3">
        <v>20.93</v>
      </c>
      <c r="N1789" s="3" t="s">
        <v>8</v>
      </c>
      <c r="O1789" s="3" t="s">
        <v>8</v>
      </c>
    </row>
    <row r="1790" spans="1:15" x14ac:dyDescent="0.35">
      <c r="A1790" s="5" t="str">
        <f>Loads[[#This Row],[Date]]&amp;Loads[[#This Row],[Product]]</f>
        <v>44263Product1</v>
      </c>
      <c r="B1790" s="5">
        <f>COUNTIF($A$1:A1790,Loads[[#This Row],[Load]])</f>
        <v>3</v>
      </c>
      <c r="C1790" s="3" t="str">
        <f>Loads[[#This Row],[Load]]&amp;Loads[[#This Row],[Count]]</f>
        <v>44263Product13</v>
      </c>
      <c r="D1790" s="90">
        <v>44263</v>
      </c>
      <c r="E1790" s="143">
        <v>9.7222222222222224E-2</v>
      </c>
      <c r="F1790" s="1" t="s">
        <v>9</v>
      </c>
      <c r="G1790" s="2" t="s">
        <v>12</v>
      </c>
      <c r="H1790" s="2" t="s">
        <v>42</v>
      </c>
      <c r="I1790" s="1" t="s">
        <v>11</v>
      </c>
      <c r="J1790" s="1" t="s">
        <v>8</v>
      </c>
      <c r="K1790" s="89">
        <v>32800</v>
      </c>
      <c r="L1790" s="3">
        <v>8.33</v>
      </c>
      <c r="M1790" s="3">
        <v>21.27</v>
      </c>
      <c r="N1790" s="3" t="s">
        <v>8</v>
      </c>
      <c r="O1790" s="3" t="s">
        <v>8</v>
      </c>
    </row>
    <row r="1791" spans="1:15" x14ac:dyDescent="0.35">
      <c r="A1791" s="5" t="str">
        <f>Loads[[#This Row],[Date]]&amp;Loads[[#This Row],[Product]]</f>
        <v>44263Product1</v>
      </c>
      <c r="B1791" s="5">
        <f>COUNTIF($A$1:A1791,Loads[[#This Row],[Load]])</f>
        <v>4</v>
      </c>
      <c r="C1791" s="3" t="str">
        <f>Loads[[#This Row],[Load]]&amp;Loads[[#This Row],[Count]]</f>
        <v>44263Product14</v>
      </c>
      <c r="D1791" s="90">
        <v>44263</v>
      </c>
      <c r="E1791" s="143">
        <v>9.7222222222222224E-2</v>
      </c>
      <c r="F1791" s="1" t="s">
        <v>9</v>
      </c>
      <c r="G1791" s="2" t="s">
        <v>12</v>
      </c>
      <c r="H1791" s="2" t="s">
        <v>42</v>
      </c>
      <c r="I1791" s="1" t="s">
        <v>11</v>
      </c>
      <c r="J1791" s="1" t="s">
        <v>8</v>
      </c>
      <c r="K1791" s="89">
        <v>31260</v>
      </c>
      <c r="L1791" s="3">
        <v>10.37</v>
      </c>
      <c r="M1791" s="3">
        <v>21.6</v>
      </c>
      <c r="N1791" s="3" t="s">
        <v>8</v>
      </c>
      <c r="O1791" s="3" t="s">
        <v>8</v>
      </c>
    </row>
    <row r="1792" spans="1:15" x14ac:dyDescent="0.35">
      <c r="A1792" s="5" t="str">
        <f>Loads[[#This Row],[Date]]&amp;Loads[[#This Row],[Product]]</f>
        <v>44263Product1</v>
      </c>
      <c r="B1792" s="5">
        <f>COUNTIF($A$1:A1792,Loads[[#This Row],[Load]])</f>
        <v>5</v>
      </c>
      <c r="C1792" s="3" t="str">
        <f>Loads[[#This Row],[Load]]&amp;Loads[[#This Row],[Count]]</f>
        <v>44263Product15</v>
      </c>
      <c r="D1792" s="90">
        <v>44263</v>
      </c>
      <c r="E1792" s="143">
        <v>9.930555555555555E-2</v>
      </c>
      <c r="F1792" s="1" t="s">
        <v>9</v>
      </c>
      <c r="G1792" s="2" t="s">
        <v>12</v>
      </c>
      <c r="H1792" s="2" t="s">
        <v>42</v>
      </c>
      <c r="I1792" s="1" t="s">
        <v>11</v>
      </c>
      <c r="J1792" s="1" t="s">
        <v>8</v>
      </c>
      <c r="K1792" s="89">
        <v>28700</v>
      </c>
      <c r="L1792" s="3">
        <v>8.68</v>
      </c>
      <c r="M1792" s="3">
        <v>21.02</v>
      </c>
      <c r="N1792" s="3" t="s">
        <v>8</v>
      </c>
      <c r="O1792" s="3" t="s">
        <v>8</v>
      </c>
    </row>
    <row r="1793" spans="1:15" x14ac:dyDescent="0.35">
      <c r="A1793" s="5" t="str">
        <f>Loads[[#This Row],[Date]]&amp;Loads[[#This Row],[Product]]</f>
        <v>44263Product1</v>
      </c>
      <c r="B1793" s="5">
        <f>COUNTIF($A$1:A1793,Loads[[#This Row],[Load]])</f>
        <v>6</v>
      </c>
      <c r="C1793" s="3" t="str">
        <f>Loads[[#This Row],[Load]]&amp;Loads[[#This Row],[Count]]</f>
        <v>44263Product16</v>
      </c>
      <c r="D1793" s="90">
        <v>44263</v>
      </c>
      <c r="E1793" s="143">
        <v>0.1013888888888889</v>
      </c>
      <c r="F1793" s="1" t="s">
        <v>9</v>
      </c>
      <c r="G1793" s="2" t="s">
        <v>12</v>
      </c>
      <c r="H1793" s="2" t="s">
        <v>42</v>
      </c>
      <c r="I1793" s="1" t="s">
        <v>11</v>
      </c>
      <c r="J1793" s="1" t="s">
        <v>8</v>
      </c>
      <c r="K1793" s="89">
        <v>23780</v>
      </c>
      <c r="L1793" s="3">
        <v>9.93</v>
      </c>
      <c r="M1793" s="3">
        <v>21.33</v>
      </c>
      <c r="N1793" s="3" t="s">
        <v>8</v>
      </c>
      <c r="O1793" s="3" t="s">
        <v>8</v>
      </c>
    </row>
    <row r="1794" spans="1:15" x14ac:dyDescent="0.35">
      <c r="A1794" s="5" t="str">
        <f>Loads[[#This Row],[Date]]&amp;Loads[[#This Row],[Product]]</f>
        <v>44263Product4</v>
      </c>
      <c r="B1794" s="5">
        <f>COUNTIF($A$1:A1794,Loads[[#This Row],[Load]])</f>
        <v>4</v>
      </c>
      <c r="C1794" s="3" t="str">
        <f>Loads[[#This Row],[Load]]&amp;Loads[[#This Row],[Count]]</f>
        <v>44263Product44</v>
      </c>
      <c r="D1794" s="90">
        <v>44263</v>
      </c>
      <c r="E1794" s="143">
        <v>0.10277777777777779</v>
      </c>
      <c r="F1794" s="1" t="s">
        <v>9</v>
      </c>
      <c r="G1794" s="2" t="s">
        <v>15</v>
      </c>
      <c r="H1794" s="2" t="s">
        <v>42</v>
      </c>
      <c r="I1794" s="1" t="s">
        <v>10</v>
      </c>
      <c r="J1794" s="1">
        <v>6</v>
      </c>
      <c r="K1794" s="89">
        <v>300</v>
      </c>
      <c r="L1794" s="3">
        <v>10.210000000000001</v>
      </c>
      <c r="M1794" s="3">
        <v>61.34</v>
      </c>
      <c r="N1794" s="3" t="s">
        <v>8</v>
      </c>
      <c r="O1794" s="3" t="s">
        <v>8</v>
      </c>
    </row>
    <row r="1795" spans="1:15" x14ac:dyDescent="0.35">
      <c r="A1795" s="5" t="str">
        <f>Loads[[#This Row],[Date]]&amp;Loads[[#This Row],[Product]]</f>
        <v>44263Product1</v>
      </c>
      <c r="B1795" s="5">
        <f>COUNTIF($A$1:A1795,Loads[[#This Row],[Load]])</f>
        <v>7</v>
      </c>
      <c r="C1795" s="3" t="str">
        <f>Loads[[#This Row],[Load]]&amp;Loads[[#This Row],[Count]]</f>
        <v>44263Product17</v>
      </c>
      <c r="D1795" s="90">
        <v>44263</v>
      </c>
      <c r="E1795" s="143">
        <v>9.0972222222222218E-2</v>
      </c>
      <c r="F1795" s="1" t="s">
        <v>9</v>
      </c>
      <c r="G1795" s="2" t="s">
        <v>12</v>
      </c>
      <c r="H1795" s="2" t="s">
        <v>42</v>
      </c>
      <c r="I1795" s="1" t="s">
        <v>10</v>
      </c>
      <c r="J1795" s="1">
        <v>335</v>
      </c>
      <c r="K1795" s="89">
        <v>13140</v>
      </c>
      <c r="L1795" s="3">
        <v>9.16</v>
      </c>
      <c r="M1795" s="3">
        <v>21.6</v>
      </c>
      <c r="N1795" s="3" t="s">
        <v>8</v>
      </c>
      <c r="O1795" s="3" t="s">
        <v>8</v>
      </c>
    </row>
    <row r="1796" spans="1:15" x14ac:dyDescent="0.35">
      <c r="A1796" s="5" t="str">
        <f>Loads[[#This Row],[Date]]&amp;Loads[[#This Row],[Product]]</f>
        <v>44263Product1</v>
      </c>
      <c r="B1796" s="5">
        <f>COUNTIF($A$1:A1796,Loads[[#This Row],[Load]])</f>
        <v>8</v>
      </c>
      <c r="C1796" s="3" t="str">
        <f>Loads[[#This Row],[Load]]&amp;Loads[[#This Row],[Count]]</f>
        <v>44263Product18</v>
      </c>
      <c r="D1796" s="90">
        <v>44263</v>
      </c>
      <c r="E1796" s="143">
        <v>9.7916666666666666E-2</v>
      </c>
      <c r="F1796" s="1" t="s">
        <v>9</v>
      </c>
      <c r="G1796" s="2" t="s">
        <v>12</v>
      </c>
      <c r="H1796" s="2" t="s">
        <v>42</v>
      </c>
      <c r="I1796" s="1" t="s">
        <v>10</v>
      </c>
      <c r="J1796" s="1">
        <v>760</v>
      </c>
      <c r="K1796" s="89">
        <v>30260</v>
      </c>
      <c r="L1796" s="3">
        <v>8.9499999999999993</v>
      </c>
      <c r="M1796" s="3">
        <v>20.29</v>
      </c>
      <c r="N1796" s="3" t="s">
        <v>8</v>
      </c>
      <c r="O1796" s="3" t="s">
        <v>8</v>
      </c>
    </row>
    <row r="1797" spans="1:15" x14ac:dyDescent="0.35">
      <c r="A1797" s="5" t="str">
        <f>Loads[[#This Row],[Date]]&amp;Loads[[#This Row],[Product]]</f>
        <v>44263Product1</v>
      </c>
      <c r="B1797" s="5">
        <f>COUNTIF($A$1:A1797,Loads[[#This Row],[Load]])</f>
        <v>9</v>
      </c>
      <c r="C1797" s="3" t="str">
        <f>Loads[[#This Row],[Load]]&amp;Loads[[#This Row],[Count]]</f>
        <v>44263Product19</v>
      </c>
      <c r="D1797" s="90">
        <v>44263</v>
      </c>
      <c r="E1797" s="143">
        <v>9.8611111111111108E-2</v>
      </c>
      <c r="F1797" s="1" t="s">
        <v>9</v>
      </c>
      <c r="G1797" s="2" t="s">
        <v>12</v>
      </c>
      <c r="H1797" s="2" t="s">
        <v>42</v>
      </c>
      <c r="I1797" s="1" t="s">
        <v>10</v>
      </c>
      <c r="J1797" s="1">
        <v>800</v>
      </c>
      <c r="K1797" s="89">
        <v>29900</v>
      </c>
      <c r="L1797" s="3">
        <v>8.68</v>
      </c>
      <c r="M1797" s="3">
        <v>20.54</v>
      </c>
      <c r="N1797" s="3" t="s">
        <v>8</v>
      </c>
      <c r="O1797" s="3" t="s">
        <v>8</v>
      </c>
    </row>
    <row r="1798" spans="1:15" x14ac:dyDescent="0.35">
      <c r="A1798" s="5" t="str">
        <f>Loads[[#This Row],[Date]]&amp;Loads[[#This Row],[Product]]</f>
        <v>44263Product1</v>
      </c>
      <c r="B1798" s="5">
        <f>COUNTIF($A$1:A1798,Loads[[#This Row],[Load]])</f>
        <v>10</v>
      </c>
      <c r="C1798" s="3" t="str">
        <f>Loads[[#This Row],[Load]]&amp;Loads[[#This Row],[Count]]</f>
        <v>44263Product110</v>
      </c>
      <c r="D1798" s="90">
        <v>44263</v>
      </c>
      <c r="E1798" s="143">
        <v>9.930555555555555E-2</v>
      </c>
      <c r="F1798" s="1" t="s">
        <v>9</v>
      </c>
      <c r="G1798" s="2" t="s">
        <v>12</v>
      </c>
      <c r="H1798" s="2" t="s">
        <v>42</v>
      </c>
      <c r="I1798" s="1" t="s">
        <v>10</v>
      </c>
      <c r="J1798" s="1">
        <v>88</v>
      </c>
      <c r="K1798" s="89">
        <v>3420</v>
      </c>
      <c r="L1798" s="3">
        <v>9.11</v>
      </c>
      <c r="M1798" s="3">
        <v>21.07</v>
      </c>
      <c r="N1798" s="3" t="s">
        <v>8</v>
      </c>
      <c r="O1798" s="3" t="s">
        <v>8</v>
      </c>
    </row>
    <row r="1799" spans="1:15" x14ac:dyDescent="0.35">
      <c r="A1799" s="5" t="str">
        <f>Loads[[#This Row],[Date]]&amp;Loads[[#This Row],[Product]]</f>
        <v>44263Product1</v>
      </c>
      <c r="B1799" s="5">
        <f>COUNTIF($A$1:A1799,Loads[[#This Row],[Load]])</f>
        <v>11</v>
      </c>
      <c r="C1799" s="3" t="str">
        <f>Loads[[#This Row],[Load]]&amp;Loads[[#This Row],[Count]]</f>
        <v>44263Product111</v>
      </c>
      <c r="D1799" s="90">
        <v>44263</v>
      </c>
      <c r="E1799" s="143">
        <v>9.9999999999999992E-2</v>
      </c>
      <c r="F1799" s="1" t="s">
        <v>9</v>
      </c>
      <c r="G1799" s="2" t="s">
        <v>12</v>
      </c>
      <c r="H1799" s="2" t="s">
        <v>42</v>
      </c>
      <c r="I1799" s="1" t="s">
        <v>10</v>
      </c>
      <c r="J1799" s="1">
        <v>776</v>
      </c>
      <c r="K1799" s="89">
        <v>30820</v>
      </c>
      <c r="L1799" s="3">
        <v>9.48</v>
      </c>
      <c r="M1799" s="3">
        <v>21.71</v>
      </c>
      <c r="N1799" s="3" t="s">
        <v>8</v>
      </c>
      <c r="O1799" s="3" t="s">
        <v>8</v>
      </c>
    </row>
    <row r="1800" spans="1:15" x14ac:dyDescent="0.35">
      <c r="A1800" s="5" t="str">
        <f>Loads[[#This Row],[Date]]&amp;Loads[[#This Row],[Product]]</f>
        <v>44263Product1</v>
      </c>
      <c r="B1800" s="5">
        <f>COUNTIF($A$1:A1800,Loads[[#This Row],[Load]])</f>
        <v>12</v>
      </c>
      <c r="C1800" s="3" t="str">
        <f>Loads[[#This Row],[Load]]&amp;Loads[[#This Row],[Count]]</f>
        <v>44263Product112</v>
      </c>
      <c r="D1800" s="90">
        <v>44263</v>
      </c>
      <c r="E1800" s="143">
        <v>0.10069444444444443</v>
      </c>
      <c r="F1800" s="1" t="s">
        <v>9</v>
      </c>
      <c r="G1800" s="2" t="s">
        <v>12</v>
      </c>
      <c r="H1800" s="2" t="s">
        <v>42</v>
      </c>
      <c r="I1800" s="1" t="s">
        <v>10</v>
      </c>
      <c r="J1800" s="1">
        <v>335</v>
      </c>
      <c r="K1800" s="89">
        <v>13140</v>
      </c>
      <c r="L1800" s="3">
        <v>9.59</v>
      </c>
      <c r="M1800" s="3">
        <v>21.21</v>
      </c>
      <c r="N1800" s="3" t="s">
        <v>8</v>
      </c>
      <c r="O1800" s="3" t="s">
        <v>8</v>
      </c>
    </row>
    <row r="1801" spans="1:15" x14ac:dyDescent="0.35">
      <c r="A1801" s="5" t="str">
        <f>Loads[[#This Row],[Date]]&amp;Loads[[#This Row],[Product]]</f>
        <v>44263Product2</v>
      </c>
      <c r="B1801" s="5">
        <f>COUNTIF($A$1:A1801,Loads[[#This Row],[Load]])</f>
        <v>1</v>
      </c>
      <c r="C1801" s="3" t="str">
        <f>Loads[[#This Row],[Load]]&amp;Loads[[#This Row],[Count]]</f>
        <v>44263Product21</v>
      </c>
      <c r="D1801" s="90">
        <v>44263</v>
      </c>
      <c r="E1801" s="143">
        <v>0.17222222222222225</v>
      </c>
      <c r="F1801" s="1" t="s">
        <v>9</v>
      </c>
      <c r="G1801" s="2" t="s">
        <v>13</v>
      </c>
      <c r="H1801" s="2" t="s">
        <v>42</v>
      </c>
      <c r="I1801" s="1" t="s">
        <v>11</v>
      </c>
      <c r="J1801" s="1" t="s">
        <v>8</v>
      </c>
      <c r="K1801" s="89">
        <v>8020</v>
      </c>
      <c r="L1801" s="3">
        <v>62.16</v>
      </c>
      <c r="M1801" s="3">
        <v>9.52</v>
      </c>
      <c r="N1801" s="3" t="s">
        <v>8</v>
      </c>
      <c r="O1801" s="3" t="s">
        <v>8</v>
      </c>
    </row>
    <row r="1802" spans="1:15" x14ac:dyDescent="0.35">
      <c r="A1802" s="5" t="str">
        <f>Loads[[#This Row],[Date]]&amp;Loads[[#This Row],[Product]]</f>
        <v>44263Product2</v>
      </c>
      <c r="B1802" s="5">
        <f>COUNTIF($A$1:A1802,Loads[[#This Row],[Load]])</f>
        <v>2</v>
      </c>
      <c r="C1802" s="3" t="str">
        <f>Loads[[#This Row],[Load]]&amp;Loads[[#This Row],[Count]]</f>
        <v>44263Product22</v>
      </c>
      <c r="D1802" s="90">
        <v>44263</v>
      </c>
      <c r="E1802" s="143">
        <v>0.17291666666666669</v>
      </c>
      <c r="F1802" s="1" t="s">
        <v>9</v>
      </c>
      <c r="G1802" s="2" t="s">
        <v>13</v>
      </c>
      <c r="H1802" s="2" t="s">
        <v>42</v>
      </c>
      <c r="I1802" s="1" t="s">
        <v>11</v>
      </c>
      <c r="J1802" s="1" t="s">
        <v>8</v>
      </c>
      <c r="K1802" s="89">
        <v>11700</v>
      </c>
      <c r="L1802" s="3">
        <v>63.12</v>
      </c>
      <c r="M1802" s="3">
        <v>8.3000000000000007</v>
      </c>
      <c r="N1802" s="3" t="s">
        <v>8</v>
      </c>
      <c r="O1802" s="3" t="s">
        <v>8</v>
      </c>
    </row>
    <row r="1803" spans="1:15" x14ac:dyDescent="0.35">
      <c r="A1803" s="5" t="str">
        <f>Loads[[#This Row],[Date]]&amp;Loads[[#This Row],[Product]]</f>
        <v>44263Product2</v>
      </c>
      <c r="B1803" s="5">
        <f>COUNTIF($A$1:A1803,Loads[[#This Row],[Load]])</f>
        <v>3</v>
      </c>
      <c r="C1803" s="3" t="str">
        <f>Loads[[#This Row],[Load]]&amp;Loads[[#This Row],[Count]]</f>
        <v>44263Product23</v>
      </c>
      <c r="D1803" s="90">
        <v>44263</v>
      </c>
      <c r="E1803" s="143">
        <v>0.17430555555555557</v>
      </c>
      <c r="F1803" s="1" t="s">
        <v>9</v>
      </c>
      <c r="G1803" s="2" t="s">
        <v>13</v>
      </c>
      <c r="H1803" s="2" t="s">
        <v>42</v>
      </c>
      <c r="I1803" s="1" t="s">
        <v>11</v>
      </c>
      <c r="J1803" s="1" t="s">
        <v>8</v>
      </c>
      <c r="K1803" s="89">
        <v>13020</v>
      </c>
      <c r="L1803" s="3">
        <v>62.24</v>
      </c>
      <c r="M1803" s="3">
        <v>9.5399999999999991</v>
      </c>
      <c r="N1803" s="3" t="s">
        <v>8</v>
      </c>
      <c r="O1803" s="3" t="s">
        <v>8</v>
      </c>
    </row>
    <row r="1804" spans="1:15" x14ac:dyDescent="0.35">
      <c r="A1804" s="5" t="str">
        <f>Loads[[#This Row],[Date]]&amp;Loads[[#This Row],[Product]]</f>
        <v>44263Product3</v>
      </c>
      <c r="B1804" s="5">
        <f>COUNTIF($A$1:A1804,Loads[[#This Row],[Load]])</f>
        <v>1</v>
      </c>
      <c r="C1804" s="3" t="str">
        <f>Loads[[#This Row],[Load]]&amp;Loads[[#This Row],[Count]]</f>
        <v>44263Product31</v>
      </c>
      <c r="D1804" s="90">
        <v>44263</v>
      </c>
      <c r="E1804" s="143">
        <v>0.17430555555555557</v>
      </c>
      <c r="F1804" s="1" t="s">
        <v>9</v>
      </c>
      <c r="G1804" s="2" t="s">
        <v>14</v>
      </c>
      <c r="H1804" s="2" t="s">
        <v>42</v>
      </c>
      <c r="I1804" s="1" t="s">
        <v>11</v>
      </c>
      <c r="J1804" s="1" t="s">
        <v>8</v>
      </c>
      <c r="K1804" s="89">
        <v>13240</v>
      </c>
      <c r="L1804" s="3">
        <v>58.72</v>
      </c>
      <c r="M1804" s="3">
        <v>11.53</v>
      </c>
      <c r="N1804" s="3" t="s">
        <v>8</v>
      </c>
      <c r="O1804" s="3" t="s">
        <v>8</v>
      </c>
    </row>
    <row r="1805" spans="1:15" x14ac:dyDescent="0.35">
      <c r="A1805" s="5" t="str">
        <f>Loads[[#This Row],[Date]]&amp;Loads[[#This Row],[Product]]</f>
        <v>44263Product2</v>
      </c>
      <c r="B1805" s="5">
        <f>COUNTIF($A$1:A1805,Loads[[#This Row],[Load]])</f>
        <v>4</v>
      </c>
      <c r="C1805" s="3" t="str">
        <f>Loads[[#This Row],[Load]]&amp;Loads[[#This Row],[Count]]</f>
        <v>44263Product24</v>
      </c>
      <c r="D1805" s="90">
        <v>44263</v>
      </c>
      <c r="E1805" s="143">
        <v>0.17500000000000002</v>
      </c>
      <c r="F1805" s="1" t="s">
        <v>9</v>
      </c>
      <c r="G1805" s="2" t="s">
        <v>13</v>
      </c>
      <c r="H1805" s="2" t="s">
        <v>42</v>
      </c>
      <c r="I1805" s="1" t="s">
        <v>11</v>
      </c>
      <c r="J1805" s="1" t="s">
        <v>8</v>
      </c>
      <c r="K1805" s="89">
        <v>12360</v>
      </c>
      <c r="L1805" s="3">
        <v>64.17</v>
      </c>
      <c r="M1805" s="3">
        <v>8.24</v>
      </c>
      <c r="N1805" s="3" t="s">
        <v>8</v>
      </c>
      <c r="O1805" s="3" t="s">
        <v>8</v>
      </c>
    </row>
    <row r="1806" spans="1:15" x14ac:dyDescent="0.35">
      <c r="A1806" s="5" t="str">
        <f>Loads[[#This Row],[Date]]&amp;Loads[[#This Row],[Product]]</f>
        <v>44263Product3</v>
      </c>
      <c r="B1806" s="5">
        <f>COUNTIF($A$1:A1806,Loads[[#This Row],[Load]])</f>
        <v>2</v>
      </c>
      <c r="C1806" s="3" t="str">
        <f>Loads[[#This Row],[Load]]&amp;Loads[[#This Row],[Count]]</f>
        <v>44263Product32</v>
      </c>
      <c r="D1806" s="90">
        <v>44263</v>
      </c>
      <c r="E1806" s="143">
        <v>0.17569444444444446</v>
      </c>
      <c r="F1806" s="1" t="s">
        <v>9</v>
      </c>
      <c r="G1806" s="2" t="s">
        <v>14</v>
      </c>
      <c r="H1806" s="2" t="s">
        <v>42</v>
      </c>
      <c r="I1806" s="1" t="s">
        <v>11</v>
      </c>
      <c r="J1806" s="1" t="s">
        <v>8</v>
      </c>
      <c r="K1806" s="89">
        <v>12980</v>
      </c>
      <c r="L1806" s="3">
        <v>57.97</v>
      </c>
      <c r="M1806" s="3">
        <v>11.64</v>
      </c>
      <c r="N1806" s="3" t="s">
        <v>8</v>
      </c>
      <c r="O1806" s="3" t="s">
        <v>8</v>
      </c>
    </row>
    <row r="1807" spans="1:15" x14ac:dyDescent="0.35">
      <c r="A1807" s="5" t="str">
        <f>Loads[[#This Row],[Date]]&amp;Loads[[#This Row],[Product]]</f>
        <v>44263Product2</v>
      </c>
      <c r="B1807" s="5">
        <f>COUNTIF($A$1:A1807,Loads[[#This Row],[Load]])</f>
        <v>5</v>
      </c>
      <c r="C1807" s="3" t="str">
        <f>Loads[[#This Row],[Load]]&amp;Loads[[#This Row],[Count]]</f>
        <v>44263Product25</v>
      </c>
      <c r="D1807" s="90">
        <v>44263</v>
      </c>
      <c r="E1807" s="143">
        <v>0.1763888888888889</v>
      </c>
      <c r="F1807" s="1" t="s">
        <v>9</v>
      </c>
      <c r="G1807" s="2" t="s">
        <v>13</v>
      </c>
      <c r="H1807" s="2" t="s">
        <v>42</v>
      </c>
      <c r="I1807" s="1" t="s">
        <v>11</v>
      </c>
      <c r="J1807" s="1" t="s">
        <v>8</v>
      </c>
      <c r="K1807" s="89">
        <v>13140</v>
      </c>
      <c r="L1807" s="3">
        <v>63.3</v>
      </c>
      <c r="M1807" s="3">
        <v>9.42</v>
      </c>
      <c r="N1807" s="3" t="s">
        <v>8</v>
      </c>
      <c r="O1807" s="3" t="s">
        <v>8</v>
      </c>
    </row>
    <row r="1808" spans="1:15" x14ac:dyDescent="0.35">
      <c r="A1808" s="5" t="str">
        <f>Loads[[#This Row],[Date]]&amp;Loads[[#This Row],[Product]]</f>
        <v>44263Product2</v>
      </c>
      <c r="B1808" s="5">
        <f>COUNTIF($A$1:A1808,Loads[[#This Row],[Load]])</f>
        <v>6</v>
      </c>
      <c r="C1808" s="3" t="str">
        <f>Loads[[#This Row],[Load]]&amp;Loads[[#This Row],[Count]]</f>
        <v>44263Product26</v>
      </c>
      <c r="D1808" s="90">
        <v>44263</v>
      </c>
      <c r="E1808" s="143">
        <v>0.1763888888888889</v>
      </c>
      <c r="F1808" s="1" t="s">
        <v>9</v>
      </c>
      <c r="G1808" s="2" t="s">
        <v>13</v>
      </c>
      <c r="H1808" s="2" t="s">
        <v>42</v>
      </c>
      <c r="I1808" s="1" t="s">
        <v>11</v>
      </c>
      <c r="J1808" s="1" t="s">
        <v>8</v>
      </c>
      <c r="K1808" s="89">
        <v>15760</v>
      </c>
      <c r="L1808" s="3">
        <v>64.569999999999993</v>
      </c>
      <c r="M1808" s="3">
        <v>9.58</v>
      </c>
      <c r="N1808" s="3" t="s">
        <v>8</v>
      </c>
      <c r="O1808" s="3" t="s">
        <v>8</v>
      </c>
    </row>
    <row r="1809" spans="1:15" x14ac:dyDescent="0.35">
      <c r="A1809" s="5" t="str">
        <f>Loads[[#This Row],[Date]]&amp;Loads[[#This Row],[Product]]</f>
        <v>44263Product3</v>
      </c>
      <c r="B1809" s="5">
        <f>COUNTIF($A$1:A1809,Loads[[#This Row],[Load]])</f>
        <v>3</v>
      </c>
      <c r="C1809" s="3" t="str">
        <f>Loads[[#This Row],[Load]]&amp;Loads[[#This Row],[Count]]</f>
        <v>44263Product33</v>
      </c>
      <c r="D1809" s="90">
        <v>44263</v>
      </c>
      <c r="E1809" s="143">
        <v>0.17708333333333334</v>
      </c>
      <c r="F1809" s="1" t="s">
        <v>9</v>
      </c>
      <c r="G1809" s="2" t="s">
        <v>14</v>
      </c>
      <c r="H1809" s="2" t="s">
        <v>42</v>
      </c>
      <c r="I1809" s="1" t="s">
        <v>11</v>
      </c>
      <c r="J1809" s="1" t="s">
        <v>8</v>
      </c>
      <c r="K1809" s="89">
        <v>12000</v>
      </c>
      <c r="L1809" s="3">
        <v>59.9</v>
      </c>
      <c r="M1809" s="3">
        <v>11.47</v>
      </c>
      <c r="N1809" s="3" t="s">
        <v>8</v>
      </c>
      <c r="O1809" s="3" t="s">
        <v>8</v>
      </c>
    </row>
    <row r="1810" spans="1:15" x14ac:dyDescent="0.35">
      <c r="A1810" s="5" t="str">
        <f>Loads[[#This Row],[Date]]&amp;Loads[[#This Row],[Product]]</f>
        <v>44263Product2</v>
      </c>
      <c r="B1810" s="5">
        <f>COUNTIF($A$1:A1810,Loads[[#This Row],[Load]])</f>
        <v>7</v>
      </c>
      <c r="C1810" s="3" t="str">
        <f>Loads[[#This Row],[Load]]&amp;Loads[[#This Row],[Count]]</f>
        <v>44263Product27</v>
      </c>
      <c r="D1810" s="90">
        <v>44263</v>
      </c>
      <c r="E1810" s="143">
        <v>0.17777777777777778</v>
      </c>
      <c r="F1810" s="1" t="s">
        <v>9</v>
      </c>
      <c r="G1810" s="2" t="s">
        <v>13</v>
      </c>
      <c r="H1810" s="2" t="s">
        <v>42</v>
      </c>
      <c r="I1810" s="1" t="s">
        <v>11</v>
      </c>
      <c r="J1810" s="1" t="s">
        <v>8</v>
      </c>
      <c r="K1810" s="89">
        <v>17200</v>
      </c>
      <c r="L1810" s="3">
        <v>62.45</v>
      </c>
      <c r="M1810" s="3">
        <v>9.6999999999999993</v>
      </c>
      <c r="N1810" s="3" t="s">
        <v>8</v>
      </c>
      <c r="O1810" s="3" t="s">
        <v>8</v>
      </c>
    </row>
    <row r="1811" spans="1:15" x14ac:dyDescent="0.35">
      <c r="A1811" s="5" t="str">
        <f>Loads[[#This Row],[Date]]&amp;Loads[[#This Row],[Product]]</f>
        <v>44263Product2</v>
      </c>
      <c r="B1811" s="5">
        <f>COUNTIF($A$1:A1811,Loads[[#This Row],[Load]])</f>
        <v>8</v>
      </c>
      <c r="C1811" s="3" t="str">
        <f>Loads[[#This Row],[Load]]&amp;Loads[[#This Row],[Count]]</f>
        <v>44263Product28</v>
      </c>
      <c r="D1811" s="90">
        <v>44263</v>
      </c>
      <c r="E1811" s="143">
        <v>0.17847222222222223</v>
      </c>
      <c r="F1811" s="1" t="s">
        <v>9</v>
      </c>
      <c r="G1811" s="2" t="s">
        <v>13</v>
      </c>
      <c r="H1811" s="2" t="s">
        <v>42</v>
      </c>
      <c r="I1811" s="1" t="s">
        <v>11</v>
      </c>
      <c r="J1811" s="1" t="s">
        <v>8</v>
      </c>
      <c r="K1811" s="89">
        <v>12360</v>
      </c>
      <c r="L1811" s="3">
        <v>58.23</v>
      </c>
      <c r="M1811" s="3">
        <v>10.72</v>
      </c>
      <c r="N1811" s="3" t="s">
        <v>8</v>
      </c>
      <c r="O1811" s="3" t="s">
        <v>8</v>
      </c>
    </row>
    <row r="1812" spans="1:15" x14ac:dyDescent="0.35">
      <c r="A1812" s="5" t="str">
        <f>Loads[[#This Row],[Date]]&amp;Loads[[#This Row],[Product]]</f>
        <v>44263Product2</v>
      </c>
      <c r="B1812" s="5">
        <f>COUNTIF($A$1:A1812,Loads[[#This Row],[Load]])</f>
        <v>9</v>
      </c>
      <c r="C1812" s="3" t="str">
        <f>Loads[[#This Row],[Load]]&amp;Loads[[#This Row],[Count]]</f>
        <v>44263Product29</v>
      </c>
      <c r="D1812" s="90">
        <v>44263</v>
      </c>
      <c r="E1812" s="143">
        <v>0.17847222222222223</v>
      </c>
      <c r="F1812" s="1" t="s">
        <v>9</v>
      </c>
      <c r="G1812" s="2" t="s">
        <v>13</v>
      </c>
      <c r="H1812" s="2" t="s">
        <v>42</v>
      </c>
      <c r="I1812" s="1" t="s">
        <v>11</v>
      </c>
      <c r="J1812" s="1" t="s">
        <v>8</v>
      </c>
      <c r="K1812" s="89">
        <v>11140</v>
      </c>
      <c r="L1812" s="3">
        <v>60.06</v>
      </c>
      <c r="M1812" s="3">
        <v>9.01</v>
      </c>
      <c r="N1812" s="3" t="s">
        <v>8</v>
      </c>
      <c r="O1812" s="3" t="s">
        <v>8</v>
      </c>
    </row>
    <row r="1813" spans="1:15" x14ac:dyDescent="0.35">
      <c r="A1813" s="5" t="str">
        <f>Loads[[#This Row],[Date]]&amp;Loads[[#This Row],[Product]]</f>
        <v>44263Product2</v>
      </c>
      <c r="B1813" s="5">
        <f>COUNTIF($A$1:A1813,Loads[[#This Row],[Load]])</f>
        <v>10</v>
      </c>
      <c r="C1813" s="3" t="str">
        <f>Loads[[#This Row],[Load]]&amp;Loads[[#This Row],[Count]]</f>
        <v>44263Product210</v>
      </c>
      <c r="D1813" s="90">
        <v>44263</v>
      </c>
      <c r="E1813" s="143">
        <v>0.17916666666666667</v>
      </c>
      <c r="F1813" s="1" t="s">
        <v>9</v>
      </c>
      <c r="G1813" s="2" t="s">
        <v>13</v>
      </c>
      <c r="H1813" s="2" t="s">
        <v>42</v>
      </c>
      <c r="I1813" s="1" t="s">
        <v>11</v>
      </c>
      <c r="J1813" s="1" t="s">
        <v>8</v>
      </c>
      <c r="K1813" s="89">
        <v>12520</v>
      </c>
      <c r="L1813" s="3">
        <v>59.23</v>
      </c>
      <c r="M1813" s="3">
        <v>10.8</v>
      </c>
      <c r="N1813" s="3" t="s">
        <v>8</v>
      </c>
      <c r="O1813" s="3" t="s">
        <v>8</v>
      </c>
    </row>
    <row r="1814" spans="1:15" x14ac:dyDescent="0.35">
      <c r="A1814" s="5" t="str">
        <f>Loads[[#This Row],[Date]]&amp;Loads[[#This Row],[Product]]</f>
        <v>44264Product4</v>
      </c>
      <c r="B1814" s="5">
        <f>COUNTIF($A$1:A1814,Loads[[#This Row],[Load]])</f>
        <v>1</v>
      </c>
      <c r="C1814" s="3" t="str">
        <f>Loads[[#This Row],[Load]]&amp;Loads[[#This Row],[Count]]</f>
        <v>44264Product41</v>
      </c>
      <c r="D1814" s="90">
        <v>44264</v>
      </c>
      <c r="E1814" s="143">
        <v>0.10833333333333334</v>
      </c>
      <c r="F1814" s="1" t="s">
        <v>9</v>
      </c>
      <c r="G1814" s="2" t="s">
        <v>15</v>
      </c>
      <c r="H1814" s="2" t="s">
        <v>42</v>
      </c>
      <c r="I1814" s="1" t="s">
        <v>0</v>
      </c>
      <c r="J1814" s="1">
        <v>22</v>
      </c>
      <c r="K1814" s="89">
        <v>27460</v>
      </c>
      <c r="L1814" s="3">
        <v>9.31</v>
      </c>
      <c r="M1814" s="3">
        <v>60.17</v>
      </c>
      <c r="N1814" s="3" t="s">
        <v>8</v>
      </c>
      <c r="O1814" s="3" t="s">
        <v>8</v>
      </c>
    </row>
    <row r="1815" spans="1:15" x14ac:dyDescent="0.35">
      <c r="A1815" s="5" t="str">
        <f>Loads[[#This Row],[Date]]&amp;Loads[[#This Row],[Product]]</f>
        <v>44264Product2</v>
      </c>
      <c r="B1815" s="5">
        <f>COUNTIF($A$1:A1815,Loads[[#This Row],[Load]])</f>
        <v>1</v>
      </c>
      <c r="C1815" s="3" t="str">
        <f>Loads[[#This Row],[Load]]&amp;Loads[[#This Row],[Count]]</f>
        <v>44264Product21</v>
      </c>
      <c r="D1815" s="90">
        <v>44264</v>
      </c>
      <c r="E1815" s="143">
        <v>9.0972222222222218E-2</v>
      </c>
      <c r="F1815" s="1" t="s">
        <v>9</v>
      </c>
      <c r="G1815" s="2" t="s">
        <v>13</v>
      </c>
      <c r="H1815" s="2" t="s">
        <v>42</v>
      </c>
      <c r="I1815" s="1" t="s">
        <v>11</v>
      </c>
      <c r="J1815" s="1" t="s">
        <v>8</v>
      </c>
      <c r="K1815" s="89">
        <v>12620</v>
      </c>
      <c r="L1815" s="3">
        <v>59.23</v>
      </c>
      <c r="M1815" s="3">
        <v>10.8</v>
      </c>
      <c r="N1815" s="3" t="s">
        <v>8</v>
      </c>
      <c r="O1815" s="3" t="s">
        <v>8</v>
      </c>
    </row>
    <row r="1816" spans="1:15" x14ac:dyDescent="0.35">
      <c r="A1816" s="5" t="str">
        <f>Loads[[#This Row],[Date]]&amp;Loads[[#This Row],[Product]]</f>
        <v>44264Product7</v>
      </c>
      <c r="B1816" s="5">
        <f>COUNTIF($A$1:A1816,Loads[[#This Row],[Load]])</f>
        <v>1</v>
      </c>
      <c r="C1816" s="3" t="str">
        <f>Loads[[#This Row],[Load]]&amp;Loads[[#This Row],[Count]]</f>
        <v>44264Product71</v>
      </c>
      <c r="D1816" s="90">
        <v>44264</v>
      </c>
      <c r="E1816" s="143">
        <v>0.10902777777777778</v>
      </c>
      <c r="F1816" s="1" t="s">
        <v>9</v>
      </c>
      <c r="G1816" s="2" t="s">
        <v>18</v>
      </c>
      <c r="H1816" s="2" t="s">
        <v>42</v>
      </c>
      <c r="I1816" s="1" t="s">
        <v>11</v>
      </c>
      <c r="J1816" s="1" t="s">
        <v>8</v>
      </c>
      <c r="K1816" s="89">
        <v>21600</v>
      </c>
      <c r="L1816" s="3" t="s">
        <v>8</v>
      </c>
      <c r="M1816" s="3">
        <v>23.3</v>
      </c>
      <c r="N1816" s="3" t="s">
        <v>8</v>
      </c>
      <c r="O1816" s="3">
        <v>50.23</v>
      </c>
    </row>
    <row r="1817" spans="1:15" x14ac:dyDescent="0.35">
      <c r="A1817" s="5" t="str">
        <f>Loads[[#This Row],[Date]]&amp;Loads[[#This Row],[Product]]</f>
        <v>44264Product8</v>
      </c>
      <c r="B1817" s="5">
        <f>COUNTIF($A$1:A1817,Loads[[#This Row],[Load]])</f>
        <v>1</v>
      </c>
      <c r="C1817" s="3" t="str">
        <f>Loads[[#This Row],[Load]]&amp;Loads[[#This Row],[Count]]</f>
        <v>44264Product81</v>
      </c>
      <c r="D1817" s="90">
        <v>44264</v>
      </c>
      <c r="E1817" s="143">
        <v>0.11180555555555556</v>
      </c>
      <c r="F1817" s="1" t="s">
        <v>9</v>
      </c>
      <c r="G1817" s="2" t="s">
        <v>19</v>
      </c>
      <c r="H1817" s="2" t="s">
        <v>42</v>
      </c>
      <c r="I1817" s="1" t="s">
        <v>11</v>
      </c>
      <c r="J1817" s="1" t="s">
        <v>8</v>
      </c>
      <c r="K1817" s="89">
        <v>12620</v>
      </c>
      <c r="L1817" s="3">
        <v>11.88</v>
      </c>
      <c r="M1817" s="3">
        <v>7.2</v>
      </c>
      <c r="N1817" s="3" t="s">
        <v>8</v>
      </c>
      <c r="O1817" s="3" t="s">
        <v>8</v>
      </c>
    </row>
    <row r="1818" spans="1:15" x14ac:dyDescent="0.35">
      <c r="A1818" s="5" t="str">
        <f>Loads[[#This Row],[Date]]&amp;Loads[[#This Row],[Product]]</f>
        <v>44264Product6</v>
      </c>
      <c r="B1818" s="5">
        <f>COUNTIF($A$1:A1818,Loads[[#This Row],[Load]])</f>
        <v>1</v>
      </c>
      <c r="C1818" s="3" t="str">
        <f>Loads[[#This Row],[Load]]&amp;Loads[[#This Row],[Count]]</f>
        <v>44264Product61</v>
      </c>
      <c r="D1818" s="90">
        <v>44264</v>
      </c>
      <c r="E1818" s="143">
        <v>0.1111111111111111</v>
      </c>
      <c r="F1818" s="1" t="s">
        <v>9</v>
      </c>
      <c r="G1818" s="2" t="s">
        <v>17</v>
      </c>
      <c r="H1818" s="2" t="s">
        <v>42</v>
      </c>
      <c r="I1818" s="1" t="s">
        <v>11</v>
      </c>
      <c r="J1818" s="1" t="s">
        <v>8</v>
      </c>
      <c r="K1818" s="89">
        <v>31640</v>
      </c>
      <c r="L1818" s="3">
        <v>1.9</v>
      </c>
      <c r="M1818" s="3" t="s">
        <v>8</v>
      </c>
      <c r="N1818" s="3">
        <v>0.09</v>
      </c>
      <c r="O1818" s="3" t="s">
        <v>8</v>
      </c>
    </row>
    <row r="1819" spans="1:15" x14ac:dyDescent="0.35">
      <c r="A1819" s="5" t="str">
        <f>Loads[[#This Row],[Date]]&amp;Loads[[#This Row],[Product]]</f>
        <v>44264Product1</v>
      </c>
      <c r="B1819" s="5">
        <f>COUNTIF($A$1:A1819,Loads[[#This Row],[Load]])</f>
        <v>1</v>
      </c>
      <c r="C1819" s="3" t="str">
        <f>Loads[[#This Row],[Load]]&amp;Loads[[#This Row],[Count]]</f>
        <v>44264Product11</v>
      </c>
      <c r="D1819" s="90">
        <v>44264</v>
      </c>
      <c r="E1819" s="143">
        <v>9.2361111111111116E-2</v>
      </c>
      <c r="F1819" s="1" t="s">
        <v>9</v>
      </c>
      <c r="G1819" s="2" t="s">
        <v>12</v>
      </c>
      <c r="H1819" s="2" t="s">
        <v>42</v>
      </c>
      <c r="I1819" s="1" t="s">
        <v>10</v>
      </c>
      <c r="J1819" s="1">
        <v>150</v>
      </c>
      <c r="K1819" s="89">
        <v>8060</v>
      </c>
      <c r="L1819" s="3">
        <v>6.62</v>
      </c>
      <c r="M1819" s="3">
        <v>20.91</v>
      </c>
      <c r="N1819" s="3" t="s">
        <v>8</v>
      </c>
      <c r="O1819" s="3" t="s">
        <v>8</v>
      </c>
    </row>
    <row r="1820" spans="1:15" x14ac:dyDescent="0.35">
      <c r="A1820" s="5" t="str">
        <f>Loads[[#This Row],[Date]]&amp;Loads[[#This Row],[Product]]</f>
        <v>44264Product1</v>
      </c>
      <c r="B1820" s="5">
        <f>COUNTIF($A$1:A1820,Loads[[#This Row],[Load]])</f>
        <v>2</v>
      </c>
      <c r="C1820" s="3" t="str">
        <f>Loads[[#This Row],[Load]]&amp;Loads[[#This Row],[Count]]</f>
        <v>44264Product12</v>
      </c>
      <c r="D1820" s="90">
        <v>44264</v>
      </c>
      <c r="E1820" s="143">
        <v>9.6527777777777768E-2</v>
      </c>
      <c r="F1820" s="1" t="s">
        <v>9</v>
      </c>
      <c r="G1820" s="2" t="s">
        <v>12</v>
      </c>
      <c r="H1820" s="2" t="s">
        <v>42</v>
      </c>
      <c r="I1820" s="1" t="s">
        <v>10</v>
      </c>
      <c r="J1820" s="1">
        <v>175</v>
      </c>
      <c r="K1820" s="89">
        <v>6860</v>
      </c>
      <c r="L1820" s="3">
        <v>4.83</v>
      </c>
      <c r="M1820" s="3">
        <v>20.420000000000002</v>
      </c>
      <c r="N1820" s="3" t="s">
        <v>8</v>
      </c>
      <c r="O1820" s="3" t="s">
        <v>8</v>
      </c>
    </row>
    <row r="1821" spans="1:15" x14ac:dyDescent="0.35">
      <c r="A1821" s="5" t="str">
        <f>Loads[[#This Row],[Date]]&amp;Loads[[#This Row],[Product]]</f>
        <v>44264Product1</v>
      </c>
      <c r="B1821" s="5">
        <f>COUNTIF($A$1:A1821,Loads[[#This Row],[Load]])</f>
        <v>3</v>
      </c>
      <c r="C1821" s="3" t="str">
        <f>Loads[[#This Row],[Load]]&amp;Loads[[#This Row],[Count]]</f>
        <v>44264Product13</v>
      </c>
      <c r="D1821" s="90">
        <v>44264</v>
      </c>
      <c r="E1821" s="143">
        <v>0.10277777777777779</v>
      </c>
      <c r="F1821" s="1" t="s">
        <v>9</v>
      </c>
      <c r="G1821" s="2" t="s">
        <v>12</v>
      </c>
      <c r="H1821" s="2" t="s">
        <v>42</v>
      </c>
      <c r="I1821" s="1" t="s">
        <v>11</v>
      </c>
      <c r="J1821" s="1" t="s">
        <v>8</v>
      </c>
      <c r="K1821" s="89">
        <v>16160</v>
      </c>
      <c r="L1821" s="3">
        <v>9.0399999999999991</v>
      </c>
      <c r="M1821" s="3">
        <v>21.79</v>
      </c>
      <c r="N1821" s="3" t="s">
        <v>8</v>
      </c>
      <c r="O1821" s="3" t="s">
        <v>8</v>
      </c>
    </row>
    <row r="1822" spans="1:15" x14ac:dyDescent="0.35">
      <c r="A1822" s="5" t="str">
        <f>Loads[[#This Row],[Date]]&amp;Loads[[#This Row],[Product]]</f>
        <v>44264Product1</v>
      </c>
      <c r="B1822" s="5">
        <f>COUNTIF($A$1:A1822,Loads[[#This Row],[Load]])</f>
        <v>4</v>
      </c>
      <c r="C1822" s="3" t="str">
        <f>Loads[[#This Row],[Load]]&amp;Loads[[#This Row],[Count]]</f>
        <v>44264Product14</v>
      </c>
      <c r="D1822" s="90">
        <v>44264</v>
      </c>
      <c r="E1822" s="143">
        <v>0.10416666666666667</v>
      </c>
      <c r="F1822" s="1" t="s">
        <v>9</v>
      </c>
      <c r="G1822" s="2" t="s">
        <v>12</v>
      </c>
      <c r="H1822" s="2" t="s">
        <v>42</v>
      </c>
      <c r="I1822" s="1" t="s">
        <v>10</v>
      </c>
      <c r="J1822" s="1">
        <v>600</v>
      </c>
      <c r="K1822" s="89">
        <v>23740</v>
      </c>
      <c r="L1822" s="3">
        <v>8.75</v>
      </c>
      <c r="M1822" s="3">
        <v>22.63</v>
      </c>
      <c r="N1822" s="3" t="s">
        <v>8</v>
      </c>
      <c r="O1822" s="3" t="s">
        <v>8</v>
      </c>
    </row>
    <row r="1823" spans="1:15" x14ac:dyDescent="0.35">
      <c r="A1823" s="5" t="str">
        <f>Loads[[#This Row],[Date]]&amp;Loads[[#This Row],[Product]]</f>
        <v>44264Product1</v>
      </c>
      <c r="B1823" s="5">
        <f>COUNTIF($A$1:A1823,Loads[[#This Row],[Load]])</f>
        <v>5</v>
      </c>
      <c r="C1823" s="3" t="str">
        <f>Loads[[#This Row],[Load]]&amp;Loads[[#This Row],[Count]]</f>
        <v>44264Product15</v>
      </c>
      <c r="D1823" s="90">
        <v>44264</v>
      </c>
      <c r="E1823" s="143">
        <v>0.10625</v>
      </c>
      <c r="F1823" s="1" t="s">
        <v>9</v>
      </c>
      <c r="G1823" s="2" t="s">
        <v>12</v>
      </c>
      <c r="H1823" s="2" t="s">
        <v>42</v>
      </c>
      <c r="I1823" s="1" t="s">
        <v>11</v>
      </c>
      <c r="J1823" s="1" t="s">
        <v>8</v>
      </c>
      <c r="K1823" s="89">
        <v>33020</v>
      </c>
      <c r="L1823" s="3">
        <v>7.7</v>
      </c>
      <c r="M1823" s="3">
        <v>20.82</v>
      </c>
      <c r="N1823" s="3" t="s">
        <v>8</v>
      </c>
      <c r="O1823" s="3" t="s">
        <v>8</v>
      </c>
    </row>
    <row r="1824" spans="1:15" x14ac:dyDescent="0.35">
      <c r="A1824" s="5" t="str">
        <f>Loads[[#This Row],[Date]]&amp;Loads[[#This Row],[Product]]</f>
        <v>44264Product1</v>
      </c>
      <c r="B1824" s="5">
        <f>COUNTIF($A$1:A1824,Loads[[#This Row],[Load]])</f>
        <v>6</v>
      </c>
      <c r="C1824" s="3" t="str">
        <f>Loads[[#This Row],[Load]]&amp;Loads[[#This Row],[Count]]</f>
        <v>44264Product16</v>
      </c>
      <c r="D1824" s="90">
        <v>44264</v>
      </c>
      <c r="E1824" s="143">
        <v>0.10694444444444444</v>
      </c>
      <c r="F1824" s="1" t="s">
        <v>9</v>
      </c>
      <c r="G1824" s="2" t="s">
        <v>12</v>
      </c>
      <c r="H1824" s="2" t="s">
        <v>42</v>
      </c>
      <c r="I1824" s="1" t="s">
        <v>11</v>
      </c>
      <c r="J1824" s="1" t="s">
        <v>8</v>
      </c>
      <c r="K1824" s="89">
        <v>26880</v>
      </c>
      <c r="L1824" s="3">
        <v>4.84</v>
      </c>
      <c r="M1824" s="3">
        <v>20.81</v>
      </c>
      <c r="N1824" s="3" t="s">
        <v>8</v>
      </c>
      <c r="O1824" s="3" t="s">
        <v>8</v>
      </c>
    </row>
    <row r="1825" spans="1:15" x14ac:dyDescent="0.35">
      <c r="A1825" s="5" t="str">
        <f>Loads[[#This Row],[Date]]&amp;Loads[[#This Row],[Product]]</f>
        <v>44264Product1</v>
      </c>
      <c r="B1825" s="5">
        <f>COUNTIF($A$1:A1825,Loads[[#This Row],[Load]])</f>
        <v>7</v>
      </c>
      <c r="C1825" s="3" t="str">
        <f>Loads[[#This Row],[Load]]&amp;Loads[[#This Row],[Count]]</f>
        <v>44264Product17</v>
      </c>
      <c r="D1825" s="90">
        <v>44264</v>
      </c>
      <c r="E1825" s="143">
        <v>0.10833333333333334</v>
      </c>
      <c r="F1825" s="1" t="s">
        <v>9</v>
      </c>
      <c r="G1825" s="2" t="s">
        <v>12</v>
      </c>
      <c r="H1825" s="2" t="s">
        <v>42</v>
      </c>
      <c r="I1825" s="1" t="s">
        <v>11</v>
      </c>
      <c r="J1825" s="1" t="s">
        <v>8</v>
      </c>
      <c r="K1825" s="89">
        <v>16160</v>
      </c>
      <c r="L1825" s="3">
        <v>6.27</v>
      </c>
      <c r="M1825" s="3">
        <v>21.08</v>
      </c>
      <c r="N1825" s="3" t="s">
        <v>8</v>
      </c>
      <c r="O1825" s="3" t="s">
        <v>8</v>
      </c>
    </row>
    <row r="1826" spans="1:15" x14ac:dyDescent="0.35">
      <c r="A1826" s="5" t="str">
        <f>Loads[[#This Row],[Date]]&amp;Loads[[#This Row],[Product]]</f>
        <v>44265Product4</v>
      </c>
      <c r="B1826" s="5">
        <f>COUNTIF($A$1:A1826,Loads[[#This Row],[Load]])</f>
        <v>1</v>
      </c>
      <c r="C1826" s="3" t="str">
        <f>Loads[[#This Row],[Load]]&amp;Loads[[#This Row],[Count]]</f>
        <v>44265Product41</v>
      </c>
      <c r="D1826" s="90">
        <v>44265</v>
      </c>
      <c r="E1826" s="143">
        <v>9.375E-2</v>
      </c>
      <c r="F1826" s="1" t="s">
        <v>9</v>
      </c>
      <c r="G1826" s="2" t="s">
        <v>15</v>
      </c>
      <c r="H1826" s="2" t="s">
        <v>42</v>
      </c>
      <c r="I1826" s="1" t="s">
        <v>11</v>
      </c>
      <c r="J1826" s="1" t="s">
        <v>8</v>
      </c>
      <c r="K1826" s="89">
        <v>30440</v>
      </c>
      <c r="L1826" s="3">
        <v>9.7899999999999991</v>
      </c>
      <c r="M1826" s="3">
        <v>60.7</v>
      </c>
      <c r="N1826" s="3" t="s">
        <v>8</v>
      </c>
      <c r="O1826" s="3" t="s">
        <v>8</v>
      </c>
    </row>
    <row r="1827" spans="1:15" x14ac:dyDescent="0.35">
      <c r="A1827" s="5" t="str">
        <f>Loads[[#This Row],[Date]]&amp;Loads[[#This Row],[Product]]</f>
        <v>44265Product4</v>
      </c>
      <c r="B1827" s="5">
        <f>COUNTIF($A$1:A1827,Loads[[#This Row],[Load]])</f>
        <v>2</v>
      </c>
      <c r="C1827" s="3" t="str">
        <f>Loads[[#This Row],[Load]]&amp;Loads[[#This Row],[Count]]</f>
        <v>44265Product42</v>
      </c>
      <c r="D1827" s="90">
        <v>44265</v>
      </c>
      <c r="E1827" s="143">
        <v>9.4444444444444442E-2</v>
      </c>
      <c r="F1827" s="1" t="s">
        <v>9</v>
      </c>
      <c r="G1827" s="2" t="s">
        <v>15</v>
      </c>
      <c r="H1827" s="2" t="s">
        <v>42</v>
      </c>
      <c r="I1827" s="1" t="s">
        <v>0</v>
      </c>
      <c r="J1827" s="1">
        <v>22</v>
      </c>
      <c r="K1827" s="89">
        <v>27700</v>
      </c>
      <c r="L1827" s="3">
        <v>9.07</v>
      </c>
      <c r="M1827" s="3">
        <v>60.97</v>
      </c>
      <c r="N1827" s="3" t="s">
        <v>8</v>
      </c>
      <c r="O1827" s="3" t="s">
        <v>8</v>
      </c>
    </row>
    <row r="1828" spans="1:15" x14ac:dyDescent="0.35">
      <c r="A1828" s="5" t="str">
        <f>Loads[[#This Row],[Date]]&amp;Loads[[#This Row],[Product]]</f>
        <v>44265Product4</v>
      </c>
      <c r="B1828" s="5">
        <f>COUNTIF($A$1:A1828,Loads[[#This Row],[Load]])</f>
        <v>3</v>
      </c>
      <c r="C1828" s="3" t="str">
        <f>Loads[[#This Row],[Load]]&amp;Loads[[#This Row],[Count]]</f>
        <v>44265Product43</v>
      </c>
      <c r="D1828" s="90">
        <v>44265</v>
      </c>
      <c r="E1828" s="143">
        <v>9.5138888888888884E-2</v>
      </c>
      <c r="F1828" s="1" t="s">
        <v>9</v>
      </c>
      <c r="G1828" s="2" t="s">
        <v>15</v>
      </c>
      <c r="H1828" s="2" t="s">
        <v>42</v>
      </c>
      <c r="I1828" s="1" t="s">
        <v>0</v>
      </c>
      <c r="J1828" s="1">
        <v>24</v>
      </c>
      <c r="K1828" s="89">
        <v>29040</v>
      </c>
      <c r="L1828" s="3">
        <v>8.1999999999999993</v>
      </c>
      <c r="M1828" s="3">
        <v>60.13</v>
      </c>
      <c r="N1828" s="3" t="s">
        <v>8</v>
      </c>
      <c r="O1828" s="3" t="s">
        <v>8</v>
      </c>
    </row>
    <row r="1829" spans="1:15" x14ac:dyDescent="0.35">
      <c r="A1829" s="5" t="str">
        <f>Loads[[#This Row],[Date]]&amp;Loads[[#This Row],[Product]]</f>
        <v>44265Product3</v>
      </c>
      <c r="B1829" s="5">
        <f>COUNTIF($A$1:A1829,Loads[[#This Row],[Load]])</f>
        <v>1</v>
      </c>
      <c r="C1829" s="3" t="str">
        <f>Loads[[#This Row],[Load]]&amp;Loads[[#This Row],[Count]]</f>
        <v>44265Product31</v>
      </c>
      <c r="D1829" s="90">
        <v>44265</v>
      </c>
      <c r="E1829" s="143">
        <v>7.9166666666666663E-2</v>
      </c>
      <c r="F1829" s="1" t="s">
        <v>9</v>
      </c>
      <c r="G1829" s="2" t="s">
        <v>14</v>
      </c>
      <c r="H1829" s="2" t="s">
        <v>42</v>
      </c>
      <c r="I1829" s="1" t="s">
        <v>11</v>
      </c>
      <c r="J1829" s="1" t="s">
        <v>8</v>
      </c>
      <c r="K1829" s="89">
        <v>11640</v>
      </c>
      <c r="L1829" s="3">
        <v>55.8</v>
      </c>
      <c r="M1829" s="3">
        <v>11.52</v>
      </c>
      <c r="N1829" s="3" t="s">
        <v>8</v>
      </c>
      <c r="O1829" s="3" t="s">
        <v>8</v>
      </c>
    </row>
    <row r="1830" spans="1:15" x14ac:dyDescent="0.35">
      <c r="A1830" s="5" t="str">
        <f>Loads[[#This Row],[Date]]&amp;Loads[[#This Row],[Product]]</f>
        <v>44265Product2</v>
      </c>
      <c r="B1830" s="5">
        <f>COUNTIF($A$1:A1830,Loads[[#This Row],[Load]])</f>
        <v>1</v>
      </c>
      <c r="C1830" s="3" t="str">
        <f>Loads[[#This Row],[Load]]&amp;Loads[[#This Row],[Count]]</f>
        <v>44265Product21</v>
      </c>
      <c r="D1830" s="90">
        <v>44265</v>
      </c>
      <c r="E1830" s="143">
        <v>7.8472222222222221E-2</v>
      </c>
      <c r="F1830" s="1" t="s">
        <v>9</v>
      </c>
      <c r="G1830" s="2" t="s">
        <v>13</v>
      </c>
      <c r="H1830" s="2" t="s">
        <v>42</v>
      </c>
      <c r="I1830" s="1" t="s">
        <v>11</v>
      </c>
      <c r="J1830" s="1" t="s">
        <v>8</v>
      </c>
      <c r="K1830" s="89">
        <v>11760</v>
      </c>
      <c r="L1830" s="3">
        <v>70.2</v>
      </c>
      <c r="M1830" s="3">
        <v>7.22</v>
      </c>
      <c r="N1830" s="3" t="s">
        <v>8</v>
      </c>
      <c r="O1830" s="3" t="s">
        <v>8</v>
      </c>
    </row>
    <row r="1831" spans="1:15" x14ac:dyDescent="0.35">
      <c r="A1831" s="5" t="str">
        <f>Loads[[#This Row],[Date]]&amp;Loads[[#This Row],[Product]]</f>
        <v>44265Product2</v>
      </c>
      <c r="B1831" s="5">
        <f>COUNTIF($A$1:A1831,Loads[[#This Row],[Load]])</f>
        <v>2</v>
      </c>
      <c r="C1831" s="3" t="str">
        <f>Loads[[#This Row],[Load]]&amp;Loads[[#This Row],[Count]]</f>
        <v>44265Product22</v>
      </c>
      <c r="D1831" s="90">
        <v>44265</v>
      </c>
      <c r="E1831" s="143">
        <v>7.9166666666666663E-2</v>
      </c>
      <c r="F1831" s="1" t="s">
        <v>9</v>
      </c>
      <c r="G1831" s="2" t="s">
        <v>13</v>
      </c>
      <c r="H1831" s="2" t="s">
        <v>42</v>
      </c>
      <c r="I1831" s="1" t="s">
        <v>11</v>
      </c>
      <c r="J1831" s="1" t="s">
        <v>8</v>
      </c>
      <c r="K1831" s="89">
        <v>11280</v>
      </c>
      <c r="L1831" s="3">
        <v>58.42</v>
      </c>
      <c r="M1831" s="3">
        <v>10.81</v>
      </c>
      <c r="N1831" s="3" t="s">
        <v>8</v>
      </c>
      <c r="O1831" s="3" t="s">
        <v>8</v>
      </c>
    </row>
    <row r="1832" spans="1:15" x14ac:dyDescent="0.35">
      <c r="A1832" s="5" t="str">
        <f>Loads[[#This Row],[Date]]&amp;Loads[[#This Row],[Product]]</f>
        <v>44265Product2</v>
      </c>
      <c r="B1832" s="5">
        <f>COUNTIF($A$1:A1832,Loads[[#This Row],[Load]])</f>
        <v>3</v>
      </c>
      <c r="C1832" s="3" t="str">
        <f>Loads[[#This Row],[Load]]&amp;Loads[[#This Row],[Count]]</f>
        <v>44265Product23</v>
      </c>
      <c r="D1832" s="90">
        <v>44265</v>
      </c>
      <c r="E1832" s="143">
        <v>8.0555555555555561E-2</v>
      </c>
      <c r="F1832" s="1" t="s">
        <v>9</v>
      </c>
      <c r="G1832" s="2" t="s">
        <v>13</v>
      </c>
      <c r="H1832" s="2" t="s">
        <v>42</v>
      </c>
      <c r="I1832" s="1" t="s">
        <v>11</v>
      </c>
      <c r="J1832" s="1" t="s">
        <v>8</v>
      </c>
      <c r="K1832" s="89">
        <v>16720</v>
      </c>
      <c r="L1832" s="3">
        <v>60.12</v>
      </c>
      <c r="M1832" s="3">
        <v>10.09</v>
      </c>
      <c r="N1832" s="3" t="s">
        <v>8</v>
      </c>
      <c r="O1832" s="3" t="s">
        <v>8</v>
      </c>
    </row>
    <row r="1833" spans="1:15" x14ac:dyDescent="0.35">
      <c r="A1833" s="5" t="str">
        <f>Loads[[#This Row],[Date]]&amp;Loads[[#This Row],[Product]]</f>
        <v>44265Product2</v>
      </c>
      <c r="B1833" s="5">
        <f>COUNTIF($A$1:A1833,Loads[[#This Row],[Load]])</f>
        <v>4</v>
      </c>
      <c r="C1833" s="3" t="str">
        <f>Loads[[#This Row],[Load]]&amp;Loads[[#This Row],[Count]]</f>
        <v>44265Product24</v>
      </c>
      <c r="D1833" s="90">
        <v>44265</v>
      </c>
      <c r="E1833" s="143">
        <v>8.1250000000000003E-2</v>
      </c>
      <c r="F1833" s="1" t="s">
        <v>9</v>
      </c>
      <c r="G1833" s="2" t="s">
        <v>13</v>
      </c>
      <c r="H1833" s="2" t="s">
        <v>42</v>
      </c>
      <c r="I1833" s="1" t="s">
        <v>11</v>
      </c>
      <c r="J1833" s="1" t="s">
        <v>8</v>
      </c>
      <c r="K1833" s="89">
        <v>11440</v>
      </c>
      <c r="L1833" s="3">
        <v>61.79</v>
      </c>
      <c r="M1833" s="3">
        <v>10.09</v>
      </c>
      <c r="N1833" s="3" t="s">
        <v>8</v>
      </c>
      <c r="O1833" s="3" t="s">
        <v>8</v>
      </c>
    </row>
    <row r="1834" spans="1:15" x14ac:dyDescent="0.35">
      <c r="A1834" s="5" t="str">
        <f>Loads[[#This Row],[Date]]&amp;Loads[[#This Row],[Product]]</f>
        <v>44265Product2</v>
      </c>
      <c r="B1834" s="5">
        <f>COUNTIF($A$1:A1834,Loads[[#This Row],[Load]])</f>
        <v>5</v>
      </c>
      <c r="C1834" s="3" t="str">
        <f>Loads[[#This Row],[Load]]&amp;Loads[[#This Row],[Count]]</f>
        <v>44265Product25</v>
      </c>
      <c r="D1834" s="90">
        <v>44265</v>
      </c>
      <c r="E1834" s="143">
        <v>8.1250000000000003E-2</v>
      </c>
      <c r="F1834" s="1" t="s">
        <v>9</v>
      </c>
      <c r="G1834" s="2" t="s">
        <v>13</v>
      </c>
      <c r="H1834" s="2" t="s">
        <v>42</v>
      </c>
      <c r="I1834" s="1" t="s">
        <v>11</v>
      </c>
      <c r="J1834" s="1" t="s">
        <v>8</v>
      </c>
      <c r="K1834" s="89">
        <v>9380</v>
      </c>
      <c r="L1834" s="3">
        <v>59.08</v>
      </c>
      <c r="M1834" s="3">
        <v>10.81</v>
      </c>
      <c r="N1834" s="3" t="s">
        <v>8</v>
      </c>
      <c r="O1834" s="3" t="s">
        <v>8</v>
      </c>
    </row>
    <row r="1835" spans="1:15" x14ac:dyDescent="0.35">
      <c r="A1835" s="5" t="str">
        <f>Loads[[#This Row],[Date]]&amp;Loads[[#This Row],[Product]]</f>
        <v>44265Product2</v>
      </c>
      <c r="B1835" s="5">
        <f>COUNTIF($A$1:A1835,Loads[[#This Row],[Load]])</f>
        <v>6</v>
      </c>
      <c r="C1835" s="3" t="str">
        <f>Loads[[#This Row],[Load]]&amp;Loads[[#This Row],[Count]]</f>
        <v>44265Product26</v>
      </c>
      <c r="D1835" s="90">
        <v>44265</v>
      </c>
      <c r="E1835" s="143">
        <v>8.1944444444444445E-2</v>
      </c>
      <c r="F1835" s="1" t="s">
        <v>9</v>
      </c>
      <c r="G1835" s="2" t="s">
        <v>13</v>
      </c>
      <c r="H1835" s="2" t="s">
        <v>42</v>
      </c>
      <c r="I1835" s="1" t="s">
        <v>11</v>
      </c>
      <c r="J1835" s="1" t="s">
        <v>8</v>
      </c>
      <c r="K1835" s="89">
        <v>17480</v>
      </c>
      <c r="L1835" s="3">
        <v>72.849999999999994</v>
      </c>
      <c r="M1835" s="3">
        <v>8.73</v>
      </c>
      <c r="N1835" s="3" t="s">
        <v>8</v>
      </c>
      <c r="O1835" s="3" t="s">
        <v>8</v>
      </c>
    </row>
    <row r="1836" spans="1:15" x14ac:dyDescent="0.35">
      <c r="A1836" s="5" t="str">
        <f>Loads[[#This Row],[Date]]&amp;Loads[[#This Row],[Product]]</f>
        <v>44265Product7</v>
      </c>
      <c r="B1836" s="5">
        <f>COUNTIF($A$1:A1836,Loads[[#This Row],[Load]])</f>
        <v>1</v>
      </c>
      <c r="C1836" s="3" t="str">
        <f>Loads[[#This Row],[Load]]&amp;Loads[[#This Row],[Count]]</f>
        <v>44265Product71</v>
      </c>
      <c r="D1836" s="90">
        <v>44265</v>
      </c>
      <c r="E1836" s="143">
        <v>9.5833333333333326E-2</v>
      </c>
      <c r="F1836" s="1" t="s">
        <v>9</v>
      </c>
      <c r="G1836" s="2" t="s">
        <v>18</v>
      </c>
      <c r="H1836" s="2" t="s">
        <v>42</v>
      </c>
      <c r="I1836" s="1" t="s">
        <v>11</v>
      </c>
      <c r="J1836" s="1" t="s">
        <v>8</v>
      </c>
      <c r="K1836" s="89">
        <v>26900</v>
      </c>
      <c r="L1836" s="3" t="s">
        <v>8</v>
      </c>
      <c r="M1836" s="3">
        <v>21.55</v>
      </c>
      <c r="N1836" s="3" t="s">
        <v>8</v>
      </c>
      <c r="O1836" s="3">
        <v>42.16</v>
      </c>
    </row>
    <row r="1837" spans="1:15" x14ac:dyDescent="0.35">
      <c r="A1837" s="5" t="str">
        <f>Loads[[#This Row],[Date]]&amp;Loads[[#This Row],[Product]]</f>
        <v>44265Product7</v>
      </c>
      <c r="B1837" s="5">
        <f>COUNTIF($A$1:A1837,Loads[[#This Row],[Load]])</f>
        <v>2</v>
      </c>
      <c r="C1837" s="3" t="str">
        <f>Loads[[#This Row],[Load]]&amp;Loads[[#This Row],[Count]]</f>
        <v>44265Product72</v>
      </c>
      <c r="D1837" s="90">
        <v>44265</v>
      </c>
      <c r="E1837" s="143">
        <v>9.6527777777777768E-2</v>
      </c>
      <c r="F1837" s="1" t="s">
        <v>9</v>
      </c>
      <c r="G1837" s="2" t="s">
        <v>18</v>
      </c>
      <c r="H1837" s="2" t="s">
        <v>42</v>
      </c>
      <c r="I1837" s="1" t="s">
        <v>11</v>
      </c>
      <c r="J1837" s="1" t="s">
        <v>8</v>
      </c>
      <c r="K1837" s="89">
        <v>26600</v>
      </c>
      <c r="L1837" s="3" t="s">
        <v>8</v>
      </c>
      <c r="M1837" s="3">
        <v>21.7</v>
      </c>
      <c r="N1837" s="3" t="s">
        <v>8</v>
      </c>
      <c r="O1837" s="3">
        <v>41.09</v>
      </c>
    </row>
    <row r="1838" spans="1:15" x14ac:dyDescent="0.35">
      <c r="A1838" s="5" t="str">
        <f>Loads[[#This Row],[Date]]&amp;Loads[[#This Row],[Product]]</f>
        <v>44265Product6</v>
      </c>
      <c r="B1838" s="5">
        <f>COUNTIF($A$1:A1838,Loads[[#This Row],[Load]])</f>
        <v>1</v>
      </c>
      <c r="C1838" s="3" t="str">
        <f>Loads[[#This Row],[Load]]&amp;Loads[[#This Row],[Count]]</f>
        <v>44265Product61</v>
      </c>
      <c r="D1838" s="90">
        <v>44265</v>
      </c>
      <c r="E1838" s="143">
        <v>9.6527777777777768E-2</v>
      </c>
      <c r="F1838" s="1" t="s">
        <v>9</v>
      </c>
      <c r="G1838" s="2" t="s">
        <v>17</v>
      </c>
      <c r="H1838" s="2" t="s">
        <v>42</v>
      </c>
      <c r="I1838" s="1" t="s">
        <v>11</v>
      </c>
      <c r="J1838" s="1" t="s">
        <v>8</v>
      </c>
      <c r="K1838" s="89">
        <v>29300</v>
      </c>
      <c r="L1838" s="3">
        <v>2.1</v>
      </c>
      <c r="M1838" s="3" t="s">
        <v>8</v>
      </c>
      <c r="N1838" s="3">
        <v>0.08</v>
      </c>
      <c r="O1838" s="3" t="s">
        <v>8</v>
      </c>
    </row>
    <row r="1839" spans="1:15" x14ac:dyDescent="0.35">
      <c r="A1839" s="5" t="str">
        <f>Loads[[#This Row],[Date]]&amp;Loads[[#This Row],[Product]]</f>
        <v>44265Product6</v>
      </c>
      <c r="B1839" s="5">
        <f>COUNTIF($A$1:A1839,Loads[[#This Row],[Load]])</f>
        <v>2</v>
      </c>
      <c r="C1839" s="3" t="str">
        <f>Loads[[#This Row],[Load]]&amp;Loads[[#This Row],[Count]]</f>
        <v>44265Product62</v>
      </c>
      <c r="D1839" s="90">
        <v>44265</v>
      </c>
      <c r="E1839" s="143">
        <v>9.7222222222222224E-2</v>
      </c>
      <c r="F1839" s="1" t="s">
        <v>9</v>
      </c>
      <c r="G1839" s="2" t="s">
        <v>17</v>
      </c>
      <c r="H1839" s="2" t="s">
        <v>42</v>
      </c>
      <c r="I1839" s="1" t="s">
        <v>11</v>
      </c>
      <c r="J1839" s="1" t="s">
        <v>8</v>
      </c>
      <c r="K1839" s="89">
        <v>35260</v>
      </c>
      <c r="L1839" s="3">
        <v>2.1</v>
      </c>
      <c r="M1839" s="3" t="s">
        <v>8</v>
      </c>
      <c r="N1839" s="3">
        <v>0.08</v>
      </c>
      <c r="O1839" s="3" t="s">
        <v>8</v>
      </c>
    </row>
    <row r="1840" spans="1:15" x14ac:dyDescent="0.35">
      <c r="A1840" s="5" t="str">
        <f>Loads[[#This Row],[Date]]&amp;Loads[[#This Row],[Product]]</f>
        <v>44265Product1</v>
      </c>
      <c r="B1840" s="5">
        <f>COUNTIF($A$1:A1840,Loads[[#This Row],[Load]])</f>
        <v>1</v>
      </c>
      <c r="C1840" s="3" t="str">
        <f>Loads[[#This Row],[Load]]&amp;Loads[[#This Row],[Count]]</f>
        <v>44265Product11</v>
      </c>
      <c r="D1840" s="90">
        <v>44265</v>
      </c>
      <c r="E1840" s="143">
        <v>8.819444444444445E-2</v>
      </c>
      <c r="F1840" s="1" t="s">
        <v>9</v>
      </c>
      <c r="G1840" s="2" t="s">
        <v>12</v>
      </c>
      <c r="H1840" s="2" t="s">
        <v>42</v>
      </c>
      <c r="I1840" s="1" t="s">
        <v>11</v>
      </c>
      <c r="J1840" s="1" t="s">
        <v>8</v>
      </c>
      <c r="K1840" s="89">
        <v>26800</v>
      </c>
      <c r="L1840" s="3">
        <v>7.16</v>
      </c>
      <c r="M1840" s="3">
        <v>19.84</v>
      </c>
      <c r="N1840" s="3" t="s">
        <v>8</v>
      </c>
      <c r="O1840" s="3" t="s">
        <v>8</v>
      </c>
    </row>
    <row r="1841" spans="1:15" x14ac:dyDescent="0.35">
      <c r="A1841" s="5" t="str">
        <f>Loads[[#This Row],[Date]]&amp;Loads[[#This Row],[Product]]</f>
        <v>44265Product1</v>
      </c>
      <c r="B1841" s="5">
        <f>COUNTIF($A$1:A1841,Loads[[#This Row],[Load]])</f>
        <v>2</v>
      </c>
      <c r="C1841" s="3" t="str">
        <f>Loads[[#This Row],[Load]]&amp;Loads[[#This Row],[Count]]</f>
        <v>44265Product12</v>
      </c>
      <c r="D1841" s="90">
        <v>44265</v>
      </c>
      <c r="E1841" s="143">
        <v>8.8888888888888892E-2</v>
      </c>
      <c r="F1841" s="1" t="s">
        <v>9</v>
      </c>
      <c r="G1841" s="2" t="s">
        <v>12</v>
      </c>
      <c r="H1841" s="2" t="s">
        <v>42</v>
      </c>
      <c r="I1841" s="1" t="s">
        <v>10</v>
      </c>
      <c r="J1841" s="1">
        <v>925</v>
      </c>
      <c r="K1841" s="89">
        <v>36860</v>
      </c>
      <c r="L1841" s="3">
        <v>7.31</v>
      </c>
      <c r="M1841" s="3">
        <v>19.84</v>
      </c>
      <c r="N1841" s="3" t="s">
        <v>8</v>
      </c>
      <c r="O1841" s="3" t="s">
        <v>8</v>
      </c>
    </row>
    <row r="1842" spans="1:15" x14ac:dyDescent="0.35">
      <c r="A1842" s="5" t="str">
        <f>Loads[[#This Row],[Date]]&amp;Loads[[#This Row],[Product]]</f>
        <v>44265Product1</v>
      </c>
      <c r="B1842" s="5">
        <f>COUNTIF($A$1:A1842,Loads[[#This Row],[Load]])</f>
        <v>3</v>
      </c>
      <c r="C1842" s="3" t="str">
        <f>Loads[[#This Row],[Load]]&amp;Loads[[#This Row],[Count]]</f>
        <v>44265Product13</v>
      </c>
      <c r="D1842" s="90">
        <v>44265</v>
      </c>
      <c r="E1842" s="143">
        <v>8.9583333333333334E-2</v>
      </c>
      <c r="F1842" s="1" t="s">
        <v>9</v>
      </c>
      <c r="G1842" s="2" t="s">
        <v>12</v>
      </c>
      <c r="H1842" s="2" t="s">
        <v>42</v>
      </c>
      <c r="I1842" s="1" t="s">
        <v>11</v>
      </c>
      <c r="J1842" s="1" t="s">
        <v>8</v>
      </c>
      <c r="K1842" s="89">
        <v>26460</v>
      </c>
      <c r="L1842" s="3">
        <v>6.86</v>
      </c>
      <c r="M1842" s="3">
        <v>19.28</v>
      </c>
      <c r="N1842" s="3" t="s">
        <v>8</v>
      </c>
      <c r="O1842" s="3" t="s">
        <v>8</v>
      </c>
    </row>
    <row r="1843" spans="1:15" x14ac:dyDescent="0.35">
      <c r="A1843" s="5" t="str">
        <f>Loads[[#This Row],[Date]]&amp;Loads[[#This Row],[Product]]</f>
        <v>44265Product1</v>
      </c>
      <c r="B1843" s="5">
        <f>COUNTIF($A$1:A1843,Loads[[#This Row],[Load]])</f>
        <v>4</v>
      </c>
      <c r="C1843" s="3" t="str">
        <f>Loads[[#This Row],[Load]]&amp;Loads[[#This Row],[Count]]</f>
        <v>44265Product14</v>
      </c>
      <c r="D1843" s="90">
        <v>44265</v>
      </c>
      <c r="E1843" s="143">
        <v>9.0277777777777776E-2</v>
      </c>
      <c r="F1843" s="1" t="s">
        <v>9</v>
      </c>
      <c r="G1843" s="2" t="s">
        <v>12</v>
      </c>
      <c r="H1843" s="2" t="s">
        <v>42</v>
      </c>
      <c r="I1843" s="1" t="s">
        <v>11</v>
      </c>
      <c r="J1843" s="1" t="s">
        <v>8</v>
      </c>
      <c r="K1843" s="89">
        <v>11980</v>
      </c>
      <c r="L1843" s="3">
        <v>4.84</v>
      </c>
      <c r="M1843" s="3">
        <v>20.81</v>
      </c>
      <c r="N1843" s="3" t="s">
        <v>8</v>
      </c>
      <c r="O1843" s="3" t="s">
        <v>8</v>
      </c>
    </row>
    <row r="1844" spans="1:15" x14ac:dyDescent="0.35">
      <c r="A1844" s="5" t="str">
        <f>Loads[[#This Row],[Date]]&amp;Loads[[#This Row],[Product]]</f>
        <v>44265Product1</v>
      </c>
      <c r="B1844" s="5">
        <f>COUNTIF($A$1:A1844,Loads[[#This Row],[Load]])</f>
        <v>5</v>
      </c>
      <c r="C1844" s="3" t="str">
        <f>Loads[[#This Row],[Load]]&amp;Loads[[#This Row],[Count]]</f>
        <v>44265Product15</v>
      </c>
      <c r="D1844" s="90">
        <v>44265</v>
      </c>
      <c r="E1844" s="143">
        <v>9.0972222222222218E-2</v>
      </c>
      <c r="F1844" s="1" t="s">
        <v>9</v>
      </c>
      <c r="G1844" s="2" t="s">
        <v>12</v>
      </c>
      <c r="H1844" s="2" t="s">
        <v>42</v>
      </c>
      <c r="I1844" s="1" t="s">
        <v>10</v>
      </c>
      <c r="J1844" s="1">
        <v>650</v>
      </c>
      <c r="K1844" s="89">
        <v>25860</v>
      </c>
      <c r="L1844" s="3">
        <v>8.27</v>
      </c>
      <c r="M1844" s="3">
        <v>20.62</v>
      </c>
      <c r="N1844" s="3" t="s">
        <v>8</v>
      </c>
      <c r="O1844" s="3" t="s">
        <v>8</v>
      </c>
    </row>
    <row r="1845" spans="1:15" x14ac:dyDescent="0.35">
      <c r="A1845" s="5" t="str">
        <f>Loads[[#This Row],[Date]]&amp;Loads[[#This Row],[Product]]</f>
        <v>44265Product1</v>
      </c>
      <c r="B1845" s="5">
        <f>COUNTIF($A$1:A1845,Loads[[#This Row],[Load]])</f>
        <v>6</v>
      </c>
      <c r="C1845" s="3" t="str">
        <f>Loads[[#This Row],[Load]]&amp;Loads[[#This Row],[Count]]</f>
        <v>44265Product16</v>
      </c>
      <c r="D1845" s="90">
        <v>44265</v>
      </c>
      <c r="E1845" s="143">
        <v>9.1666666666666674E-2</v>
      </c>
      <c r="F1845" s="1" t="s">
        <v>9</v>
      </c>
      <c r="G1845" s="2" t="s">
        <v>12</v>
      </c>
      <c r="H1845" s="2" t="s">
        <v>42</v>
      </c>
      <c r="I1845" s="1" t="s">
        <v>11</v>
      </c>
      <c r="J1845" s="1" t="s">
        <v>8</v>
      </c>
      <c r="K1845" s="89">
        <v>29860</v>
      </c>
      <c r="L1845" s="3">
        <v>8.82</v>
      </c>
      <c r="M1845" s="3">
        <v>21.29</v>
      </c>
      <c r="N1845" s="3" t="s">
        <v>8</v>
      </c>
      <c r="O1845" s="3" t="s">
        <v>8</v>
      </c>
    </row>
    <row r="1846" spans="1:15" x14ac:dyDescent="0.35">
      <c r="A1846" s="5" t="str">
        <f>Loads[[#This Row],[Date]]&amp;Loads[[#This Row],[Product]]</f>
        <v>44265Product1</v>
      </c>
      <c r="B1846" s="5">
        <f>COUNTIF($A$1:A1846,Loads[[#This Row],[Load]])</f>
        <v>7</v>
      </c>
      <c r="C1846" s="3" t="str">
        <f>Loads[[#This Row],[Load]]&amp;Loads[[#This Row],[Count]]</f>
        <v>44265Product17</v>
      </c>
      <c r="D1846" s="90">
        <v>44265</v>
      </c>
      <c r="E1846" s="143">
        <v>9.2361111111111116E-2</v>
      </c>
      <c r="F1846" s="1" t="s">
        <v>9</v>
      </c>
      <c r="G1846" s="2" t="s">
        <v>12</v>
      </c>
      <c r="H1846" s="2" t="s">
        <v>42</v>
      </c>
      <c r="I1846" s="1" t="s">
        <v>11</v>
      </c>
      <c r="J1846" s="1" t="s">
        <v>8</v>
      </c>
      <c r="K1846" s="89">
        <v>27180</v>
      </c>
      <c r="L1846" s="3">
        <v>8.74</v>
      </c>
      <c r="M1846" s="3">
        <v>21.23</v>
      </c>
      <c r="N1846" s="3" t="s">
        <v>8</v>
      </c>
      <c r="O1846" s="3" t="s">
        <v>8</v>
      </c>
    </row>
    <row r="1847" spans="1:15" x14ac:dyDescent="0.35">
      <c r="A1847" s="5" t="str">
        <f>Loads[[#This Row],[Date]]&amp;Loads[[#This Row],[Product]]</f>
        <v>44265Product1</v>
      </c>
      <c r="B1847" s="5">
        <f>COUNTIF($A$1:A1847,Loads[[#This Row],[Load]])</f>
        <v>8</v>
      </c>
      <c r="C1847" s="3" t="str">
        <f>Loads[[#This Row],[Load]]&amp;Loads[[#This Row],[Count]]</f>
        <v>44265Product18</v>
      </c>
      <c r="D1847" s="90">
        <v>44265</v>
      </c>
      <c r="E1847" s="143">
        <v>9.2361111111111116E-2</v>
      </c>
      <c r="F1847" s="1" t="s">
        <v>9</v>
      </c>
      <c r="G1847" s="2" t="s">
        <v>12</v>
      </c>
      <c r="H1847" s="2" t="s">
        <v>42</v>
      </c>
      <c r="I1847" s="1" t="s">
        <v>11</v>
      </c>
      <c r="J1847" s="1" t="s">
        <v>8</v>
      </c>
      <c r="K1847" s="89">
        <v>25260</v>
      </c>
      <c r="L1847" s="3">
        <v>9.5</v>
      </c>
      <c r="M1847" s="3">
        <v>22.76</v>
      </c>
      <c r="N1847" s="3" t="s">
        <v>8</v>
      </c>
      <c r="O1847" s="3" t="s">
        <v>8</v>
      </c>
    </row>
    <row r="1848" spans="1:15" x14ac:dyDescent="0.35">
      <c r="A1848" s="5" t="str">
        <f>Loads[[#This Row],[Date]]&amp;Loads[[#This Row],[Product]]</f>
        <v>44265Product1</v>
      </c>
      <c r="B1848" s="5">
        <f>COUNTIF($A$1:A1848,Loads[[#This Row],[Load]])</f>
        <v>9</v>
      </c>
      <c r="C1848" s="3" t="str">
        <f>Loads[[#This Row],[Load]]&amp;Loads[[#This Row],[Count]]</f>
        <v>44265Product19</v>
      </c>
      <c r="D1848" s="90">
        <v>44265</v>
      </c>
      <c r="E1848" s="143">
        <v>9.3055555555555558E-2</v>
      </c>
      <c r="F1848" s="1" t="s">
        <v>9</v>
      </c>
      <c r="G1848" s="2" t="s">
        <v>12</v>
      </c>
      <c r="H1848" s="2" t="s">
        <v>42</v>
      </c>
      <c r="I1848" s="1" t="s">
        <v>11</v>
      </c>
      <c r="J1848" s="1" t="s">
        <v>8</v>
      </c>
      <c r="K1848" s="89">
        <v>13320</v>
      </c>
      <c r="L1848" s="3">
        <v>9.42</v>
      </c>
      <c r="M1848" s="3">
        <v>22.45</v>
      </c>
      <c r="N1848" s="3" t="s">
        <v>8</v>
      </c>
      <c r="O1848" s="3" t="s">
        <v>8</v>
      </c>
    </row>
    <row r="1849" spans="1:15" x14ac:dyDescent="0.35">
      <c r="A1849" s="5" t="str">
        <f>Loads[[#This Row],[Date]]&amp;Loads[[#This Row],[Product]]</f>
        <v>44265Product1</v>
      </c>
      <c r="B1849" s="5">
        <f>COUNTIF($A$1:A1849,Loads[[#This Row],[Load]])</f>
        <v>10</v>
      </c>
      <c r="C1849" s="3" t="str">
        <f>Loads[[#This Row],[Load]]&amp;Loads[[#This Row],[Count]]</f>
        <v>44265Product110</v>
      </c>
      <c r="D1849" s="90">
        <v>44265</v>
      </c>
      <c r="E1849" s="143">
        <v>9.375E-2</v>
      </c>
      <c r="F1849" s="1" t="s">
        <v>9</v>
      </c>
      <c r="G1849" s="2" t="s">
        <v>12</v>
      </c>
      <c r="H1849" s="2" t="s">
        <v>42</v>
      </c>
      <c r="I1849" s="1" t="s">
        <v>11</v>
      </c>
      <c r="J1849" s="1" t="s">
        <v>8</v>
      </c>
      <c r="K1849" s="89">
        <v>29560</v>
      </c>
      <c r="L1849" s="3">
        <v>8.99</v>
      </c>
      <c r="M1849" s="3">
        <v>22.65</v>
      </c>
      <c r="N1849" s="3" t="s">
        <v>8</v>
      </c>
      <c r="O1849" s="3" t="s">
        <v>8</v>
      </c>
    </row>
    <row r="1850" spans="1:15" x14ac:dyDescent="0.35">
      <c r="A1850" s="5" t="str">
        <f>Loads[[#This Row],[Date]]&amp;Loads[[#This Row],[Product]]</f>
        <v>44265Product5</v>
      </c>
      <c r="B1850" s="5">
        <f>COUNTIF($A$1:A1850,Loads[[#This Row],[Load]])</f>
        <v>1</v>
      </c>
      <c r="C1850" s="3" t="str">
        <f>Loads[[#This Row],[Load]]&amp;Loads[[#This Row],[Count]]</f>
        <v>44265Product51</v>
      </c>
      <c r="D1850" s="90">
        <v>44265</v>
      </c>
      <c r="E1850" s="143">
        <v>8.819444444444445E-2</v>
      </c>
      <c r="F1850" s="1" t="s">
        <v>9</v>
      </c>
      <c r="G1850" s="2" t="s">
        <v>16</v>
      </c>
      <c r="H1850" s="2" t="s">
        <v>42</v>
      </c>
      <c r="I1850" s="1" t="s">
        <v>11</v>
      </c>
      <c r="J1850" s="1" t="s">
        <v>8</v>
      </c>
      <c r="K1850" s="89">
        <v>7480</v>
      </c>
      <c r="L1850" s="3">
        <v>13.68</v>
      </c>
      <c r="N1850" s="3"/>
      <c r="O1850" s="3"/>
    </row>
    <row r="1851" spans="1:15" x14ac:dyDescent="0.35">
      <c r="A1851" s="5" t="str">
        <f>Loads[[#This Row],[Date]]&amp;Loads[[#This Row],[Product]]</f>
        <v>44266Product1</v>
      </c>
      <c r="B1851" s="5">
        <f>COUNTIF($A$1:A1851,Loads[[#This Row],[Load]])</f>
        <v>1</v>
      </c>
      <c r="C1851" s="3" t="str">
        <f>Loads[[#This Row],[Load]]&amp;Loads[[#This Row],[Count]]</f>
        <v>44266Product11</v>
      </c>
      <c r="D1851" s="90">
        <v>44266</v>
      </c>
      <c r="E1851" s="143">
        <v>0.1013888888888889</v>
      </c>
      <c r="F1851" s="1" t="s">
        <v>9</v>
      </c>
      <c r="G1851" s="2" t="s">
        <v>12</v>
      </c>
      <c r="H1851" s="2" t="s">
        <v>42</v>
      </c>
      <c r="I1851" s="1" t="s">
        <v>11</v>
      </c>
      <c r="J1851" s="1" t="s">
        <v>8</v>
      </c>
      <c r="K1851" s="89">
        <v>32440</v>
      </c>
      <c r="L1851" s="3">
        <v>8.11</v>
      </c>
      <c r="M1851" s="3">
        <v>23.58</v>
      </c>
      <c r="N1851" s="3" t="s">
        <v>8</v>
      </c>
      <c r="O1851" s="3" t="s">
        <v>8</v>
      </c>
    </row>
    <row r="1852" spans="1:15" x14ac:dyDescent="0.35">
      <c r="A1852" s="5" t="str">
        <f>Loads[[#This Row],[Date]]&amp;Loads[[#This Row],[Product]]</f>
        <v>44266Product1</v>
      </c>
      <c r="B1852" s="5">
        <f>COUNTIF($A$1:A1852,Loads[[#This Row],[Load]])</f>
        <v>2</v>
      </c>
      <c r="C1852" s="3" t="str">
        <f>Loads[[#This Row],[Load]]&amp;Loads[[#This Row],[Count]]</f>
        <v>44266Product12</v>
      </c>
      <c r="D1852" s="90">
        <v>44266</v>
      </c>
      <c r="E1852" s="143">
        <v>0.10208333333333335</v>
      </c>
      <c r="F1852" s="1" t="s">
        <v>9</v>
      </c>
      <c r="G1852" s="2" t="s">
        <v>12</v>
      </c>
      <c r="H1852" s="2" t="s">
        <v>42</v>
      </c>
      <c r="I1852" s="1" t="s">
        <v>11</v>
      </c>
      <c r="J1852" s="1" t="s">
        <v>8</v>
      </c>
      <c r="K1852" s="89">
        <v>21180</v>
      </c>
      <c r="L1852" s="3">
        <v>9.27</v>
      </c>
      <c r="M1852" s="3">
        <v>23.44</v>
      </c>
      <c r="N1852" s="3" t="s">
        <v>8</v>
      </c>
      <c r="O1852" s="3" t="s">
        <v>8</v>
      </c>
    </row>
    <row r="1853" spans="1:15" x14ac:dyDescent="0.35">
      <c r="A1853" s="5" t="str">
        <f>Loads[[#This Row],[Date]]&amp;Loads[[#This Row],[Product]]</f>
        <v>44266Product1</v>
      </c>
      <c r="B1853" s="5">
        <f>COUNTIF($A$1:A1853,Loads[[#This Row],[Load]])</f>
        <v>3</v>
      </c>
      <c r="C1853" s="3" t="str">
        <f>Loads[[#This Row],[Load]]&amp;Loads[[#This Row],[Count]]</f>
        <v>44266Product13</v>
      </c>
      <c r="D1853" s="90">
        <v>44266</v>
      </c>
      <c r="E1853" s="143">
        <v>0.10277777777777779</v>
      </c>
      <c r="F1853" s="1" t="s">
        <v>9</v>
      </c>
      <c r="G1853" s="2" t="s">
        <v>12</v>
      </c>
      <c r="H1853" s="2" t="s">
        <v>42</v>
      </c>
      <c r="I1853" s="1" t="s">
        <v>11</v>
      </c>
      <c r="J1853" s="1" t="s">
        <v>8</v>
      </c>
      <c r="K1853" s="89">
        <v>35000</v>
      </c>
      <c r="L1853" s="3">
        <v>8.9700000000000006</v>
      </c>
      <c r="M1853" s="3">
        <v>22.58</v>
      </c>
      <c r="N1853" s="3" t="s">
        <v>8</v>
      </c>
      <c r="O1853" s="3" t="s">
        <v>8</v>
      </c>
    </row>
    <row r="1854" spans="1:15" x14ac:dyDescent="0.35">
      <c r="A1854" s="5" t="str">
        <f>Loads[[#This Row],[Date]]&amp;Loads[[#This Row],[Product]]</f>
        <v>44266Product1</v>
      </c>
      <c r="B1854" s="5">
        <f>COUNTIF($A$1:A1854,Loads[[#This Row],[Load]])</f>
        <v>4</v>
      </c>
      <c r="C1854" s="3" t="str">
        <f>Loads[[#This Row],[Load]]&amp;Loads[[#This Row],[Count]]</f>
        <v>44266Product14</v>
      </c>
      <c r="D1854" s="90">
        <v>44266</v>
      </c>
      <c r="E1854" s="143">
        <v>0.10347222222222223</v>
      </c>
      <c r="F1854" s="1" t="s">
        <v>9</v>
      </c>
      <c r="G1854" s="2" t="s">
        <v>12</v>
      </c>
      <c r="H1854" s="2" t="s">
        <v>42</v>
      </c>
      <c r="I1854" s="1" t="s">
        <v>11</v>
      </c>
      <c r="J1854" s="1" t="s">
        <v>8</v>
      </c>
      <c r="K1854" s="89">
        <v>19720</v>
      </c>
      <c r="L1854" s="3">
        <v>8.17</v>
      </c>
      <c r="M1854" s="3">
        <v>23.15</v>
      </c>
      <c r="N1854" s="3" t="s">
        <v>8</v>
      </c>
      <c r="O1854" s="3" t="s">
        <v>8</v>
      </c>
    </row>
    <row r="1855" spans="1:15" x14ac:dyDescent="0.35">
      <c r="A1855" s="5" t="str">
        <f>Loads[[#This Row],[Date]]&amp;Loads[[#This Row],[Product]]</f>
        <v>44266Product1</v>
      </c>
      <c r="B1855" s="5">
        <f>COUNTIF($A$1:A1855,Loads[[#This Row],[Load]])</f>
        <v>5</v>
      </c>
      <c r="C1855" s="3" t="str">
        <f>Loads[[#This Row],[Load]]&amp;Loads[[#This Row],[Count]]</f>
        <v>44266Product15</v>
      </c>
      <c r="D1855" s="90">
        <v>44266</v>
      </c>
      <c r="E1855" s="143">
        <v>0.10416666666666667</v>
      </c>
      <c r="F1855" s="1" t="s">
        <v>9</v>
      </c>
      <c r="G1855" s="2" t="s">
        <v>12</v>
      </c>
      <c r="H1855" s="2" t="s">
        <v>42</v>
      </c>
      <c r="I1855" s="1" t="s">
        <v>11</v>
      </c>
      <c r="J1855" s="1" t="s">
        <v>8</v>
      </c>
      <c r="K1855" s="89">
        <v>19200</v>
      </c>
      <c r="L1855" s="3">
        <v>8.61</v>
      </c>
      <c r="M1855" s="3">
        <v>22.39</v>
      </c>
      <c r="N1855" s="3" t="s">
        <v>8</v>
      </c>
      <c r="O1855" s="3" t="s">
        <v>8</v>
      </c>
    </row>
    <row r="1856" spans="1:15" x14ac:dyDescent="0.35">
      <c r="A1856" s="5" t="str">
        <f>Loads[[#This Row],[Date]]&amp;Loads[[#This Row],[Product]]</f>
        <v>44266Product1</v>
      </c>
      <c r="B1856" s="5">
        <f>COUNTIF($A$1:A1856,Loads[[#This Row],[Load]])</f>
        <v>6</v>
      </c>
      <c r="C1856" s="3" t="str">
        <f>Loads[[#This Row],[Load]]&amp;Loads[[#This Row],[Count]]</f>
        <v>44266Product16</v>
      </c>
      <c r="D1856" s="90">
        <v>44266</v>
      </c>
      <c r="E1856" s="143">
        <v>0.10486111111111111</v>
      </c>
      <c r="F1856" s="1" t="s">
        <v>9</v>
      </c>
      <c r="G1856" s="2" t="s">
        <v>12</v>
      </c>
      <c r="H1856" s="2" t="s">
        <v>42</v>
      </c>
      <c r="I1856" s="1" t="s">
        <v>11</v>
      </c>
      <c r="J1856" s="1" t="s">
        <v>8</v>
      </c>
      <c r="K1856" s="89">
        <v>22500</v>
      </c>
      <c r="L1856" s="3">
        <v>8.61</v>
      </c>
      <c r="M1856" s="3">
        <v>21.98</v>
      </c>
      <c r="N1856" s="3" t="s">
        <v>8</v>
      </c>
      <c r="O1856" s="3" t="s">
        <v>8</v>
      </c>
    </row>
    <row r="1857" spans="1:15" x14ac:dyDescent="0.35">
      <c r="A1857" s="5" t="str">
        <f>Loads[[#This Row],[Date]]&amp;Loads[[#This Row],[Product]]</f>
        <v>44266Product1</v>
      </c>
      <c r="B1857" s="5">
        <f>COUNTIF($A$1:A1857,Loads[[#This Row],[Load]])</f>
        <v>7</v>
      </c>
      <c r="C1857" s="3" t="str">
        <f>Loads[[#This Row],[Load]]&amp;Loads[[#This Row],[Count]]</f>
        <v>44266Product17</v>
      </c>
      <c r="D1857" s="90">
        <v>44266</v>
      </c>
      <c r="E1857" s="143">
        <v>0.10486111111111111</v>
      </c>
      <c r="F1857" s="1" t="s">
        <v>9</v>
      </c>
      <c r="G1857" s="2" t="s">
        <v>12</v>
      </c>
      <c r="H1857" s="2" t="s">
        <v>42</v>
      </c>
      <c r="I1857" s="1" t="s">
        <v>11</v>
      </c>
      <c r="J1857" s="1" t="s">
        <v>8</v>
      </c>
      <c r="K1857" s="89">
        <v>27060</v>
      </c>
      <c r="L1857" s="3">
        <v>8.5500000000000007</v>
      </c>
      <c r="M1857" s="3">
        <v>22.32</v>
      </c>
      <c r="N1857" s="3" t="s">
        <v>8</v>
      </c>
      <c r="O1857" s="3" t="s">
        <v>8</v>
      </c>
    </row>
    <row r="1858" spans="1:15" x14ac:dyDescent="0.35">
      <c r="A1858" s="5" t="str">
        <f>Loads[[#This Row],[Date]]&amp;Loads[[#This Row],[Product]]</f>
        <v>44266Product1</v>
      </c>
      <c r="B1858" s="5">
        <f>COUNTIF($A$1:A1858,Loads[[#This Row],[Load]])</f>
        <v>8</v>
      </c>
      <c r="C1858" s="3" t="str">
        <f>Loads[[#This Row],[Load]]&amp;Loads[[#This Row],[Count]]</f>
        <v>44266Product18</v>
      </c>
      <c r="D1858" s="90">
        <v>44266</v>
      </c>
      <c r="E1858" s="143">
        <v>0.10555555555555556</v>
      </c>
      <c r="F1858" s="1" t="s">
        <v>9</v>
      </c>
      <c r="G1858" s="2" t="s">
        <v>12</v>
      </c>
      <c r="H1858" s="2" t="s">
        <v>42</v>
      </c>
      <c r="I1858" s="1" t="s">
        <v>11</v>
      </c>
      <c r="J1858" s="1" t="s">
        <v>8</v>
      </c>
      <c r="K1858" s="89">
        <v>20700</v>
      </c>
      <c r="L1858" s="3">
        <v>8.35</v>
      </c>
      <c r="M1858" s="3">
        <v>21.72</v>
      </c>
      <c r="N1858" s="3" t="s">
        <v>8</v>
      </c>
      <c r="O1858" s="3" t="s">
        <v>8</v>
      </c>
    </row>
    <row r="1859" spans="1:15" x14ac:dyDescent="0.35">
      <c r="A1859" s="5" t="str">
        <f>Loads[[#This Row],[Date]]&amp;Loads[[#This Row],[Product]]</f>
        <v>44266Product1</v>
      </c>
      <c r="B1859" s="5">
        <f>COUNTIF($A$1:A1859,Loads[[#This Row],[Load]])</f>
        <v>9</v>
      </c>
      <c r="C1859" s="3" t="str">
        <f>Loads[[#This Row],[Load]]&amp;Loads[[#This Row],[Count]]</f>
        <v>44266Product19</v>
      </c>
      <c r="D1859" s="90">
        <v>44266</v>
      </c>
      <c r="E1859" s="143">
        <v>0.10625</v>
      </c>
      <c r="F1859" s="1" t="s">
        <v>9</v>
      </c>
      <c r="G1859" s="2" t="s">
        <v>12</v>
      </c>
      <c r="H1859" s="2" t="s">
        <v>42</v>
      </c>
      <c r="I1859" s="1" t="s">
        <v>11</v>
      </c>
      <c r="J1859" s="1" t="s">
        <v>8</v>
      </c>
      <c r="K1859" s="89">
        <v>28520</v>
      </c>
      <c r="L1859" s="3">
        <v>8.6999999999999993</v>
      </c>
      <c r="M1859" s="3">
        <v>21.2</v>
      </c>
      <c r="N1859" s="3" t="s">
        <v>8</v>
      </c>
      <c r="O1859" s="3" t="s">
        <v>8</v>
      </c>
    </row>
    <row r="1860" spans="1:15" x14ac:dyDescent="0.35">
      <c r="A1860" s="5" t="str">
        <f>Loads[[#This Row],[Date]]&amp;Loads[[#This Row],[Product]]</f>
        <v>44266Product1</v>
      </c>
      <c r="B1860" s="5">
        <f>COUNTIF($A$1:A1860,Loads[[#This Row],[Load]])</f>
        <v>10</v>
      </c>
      <c r="C1860" s="3" t="str">
        <f>Loads[[#This Row],[Load]]&amp;Loads[[#This Row],[Count]]</f>
        <v>44266Product110</v>
      </c>
      <c r="D1860" s="90">
        <v>44266</v>
      </c>
      <c r="E1860" s="143">
        <v>0.10694444444444444</v>
      </c>
      <c r="F1860" s="1" t="s">
        <v>9</v>
      </c>
      <c r="G1860" s="2" t="s">
        <v>12</v>
      </c>
      <c r="H1860" s="2" t="s">
        <v>42</v>
      </c>
      <c r="I1860" s="1" t="s">
        <v>11</v>
      </c>
      <c r="J1860" s="1" t="s">
        <v>8</v>
      </c>
      <c r="K1860" s="89">
        <v>26300</v>
      </c>
      <c r="L1860" s="3">
        <v>9.15</v>
      </c>
      <c r="M1860" s="3">
        <v>21.54</v>
      </c>
      <c r="N1860" s="3" t="s">
        <v>8</v>
      </c>
      <c r="O1860" s="3" t="s">
        <v>8</v>
      </c>
    </row>
    <row r="1861" spans="1:15" x14ac:dyDescent="0.35">
      <c r="A1861" s="5" t="str">
        <f>Loads[[#This Row],[Date]]&amp;Loads[[#This Row],[Product]]</f>
        <v>44266Product1</v>
      </c>
      <c r="B1861" s="5">
        <f>COUNTIF($A$1:A1861,Loads[[#This Row],[Load]])</f>
        <v>11</v>
      </c>
      <c r="C1861" s="3" t="str">
        <f>Loads[[#This Row],[Load]]&amp;Loads[[#This Row],[Count]]</f>
        <v>44266Product111</v>
      </c>
      <c r="D1861" s="90">
        <v>44266</v>
      </c>
      <c r="E1861" s="143">
        <v>0.1076388888888889</v>
      </c>
      <c r="F1861" s="1" t="s">
        <v>9</v>
      </c>
      <c r="G1861" s="2" t="s">
        <v>12</v>
      </c>
      <c r="H1861" s="2" t="s">
        <v>42</v>
      </c>
      <c r="I1861" s="1" t="s">
        <v>11</v>
      </c>
      <c r="J1861" s="1" t="s">
        <v>8</v>
      </c>
      <c r="K1861" s="89">
        <v>16660</v>
      </c>
      <c r="L1861" s="3">
        <v>6.41</v>
      </c>
      <c r="M1861" s="3">
        <v>20.309999999999999</v>
      </c>
      <c r="N1861" s="3" t="s">
        <v>8</v>
      </c>
      <c r="O1861" s="3" t="s">
        <v>8</v>
      </c>
    </row>
    <row r="1862" spans="1:15" x14ac:dyDescent="0.35">
      <c r="A1862" s="5" t="str">
        <f>Loads[[#This Row],[Date]]&amp;Loads[[#This Row],[Product]]</f>
        <v>44266Product1</v>
      </c>
      <c r="B1862" s="5">
        <f>COUNTIF($A$1:A1862,Loads[[#This Row],[Load]])</f>
        <v>12</v>
      </c>
      <c r="C1862" s="3" t="str">
        <f>Loads[[#This Row],[Load]]&amp;Loads[[#This Row],[Count]]</f>
        <v>44266Product112</v>
      </c>
      <c r="D1862" s="90">
        <v>44266</v>
      </c>
      <c r="E1862" s="143">
        <v>0.10833333333333334</v>
      </c>
      <c r="F1862" s="1" t="s">
        <v>9</v>
      </c>
      <c r="G1862" s="2" t="s">
        <v>12</v>
      </c>
      <c r="H1862" s="2" t="s">
        <v>42</v>
      </c>
      <c r="I1862" s="1" t="s">
        <v>11</v>
      </c>
      <c r="J1862" s="1" t="s">
        <v>8</v>
      </c>
      <c r="K1862" s="89">
        <v>26120</v>
      </c>
      <c r="L1862" s="3">
        <v>6.82</v>
      </c>
      <c r="M1862" s="3">
        <v>20.85</v>
      </c>
      <c r="N1862" s="3" t="s">
        <v>8</v>
      </c>
      <c r="O1862" s="3" t="s">
        <v>8</v>
      </c>
    </row>
    <row r="1863" spans="1:15" x14ac:dyDescent="0.35">
      <c r="A1863" s="5" t="str">
        <f>Loads[[#This Row],[Date]]&amp;Loads[[#This Row],[Product]]</f>
        <v>44266Product1</v>
      </c>
      <c r="B1863" s="5">
        <f>COUNTIF($A$1:A1863,Loads[[#This Row],[Load]])</f>
        <v>13</v>
      </c>
      <c r="C1863" s="3" t="str">
        <f>Loads[[#This Row],[Load]]&amp;Loads[[#This Row],[Count]]</f>
        <v>44266Product113</v>
      </c>
      <c r="D1863" s="90">
        <v>44266</v>
      </c>
      <c r="E1863" s="143">
        <v>0.10833333333333334</v>
      </c>
      <c r="F1863" s="1" t="s">
        <v>9</v>
      </c>
      <c r="G1863" s="2" t="s">
        <v>12</v>
      </c>
      <c r="H1863" s="2" t="s">
        <v>42</v>
      </c>
      <c r="I1863" s="1" t="s">
        <v>10</v>
      </c>
      <c r="J1863" s="1">
        <v>450</v>
      </c>
      <c r="K1863" s="89">
        <v>18020</v>
      </c>
      <c r="L1863" s="3">
        <v>8.6199999999999992</v>
      </c>
      <c r="M1863" s="3">
        <v>22.7</v>
      </c>
      <c r="N1863" s="3" t="s">
        <v>8</v>
      </c>
      <c r="O1863" s="3" t="s">
        <v>8</v>
      </c>
    </row>
    <row r="1864" spans="1:15" x14ac:dyDescent="0.35">
      <c r="A1864" s="5" t="str">
        <f>Loads[[#This Row],[Date]]&amp;Loads[[#This Row],[Product]]</f>
        <v>44266Product4</v>
      </c>
      <c r="B1864" s="5">
        <f>COUNTIF($A$1:A1864,Loads[[#This Row],[Load]])</f>
        <v>1</v>
      </c>
      <c r="C1864" s="3" t="str">
        <f>Loads[[#This Row],[Load]]&amp;Loads[[#This Row],[Count]]</f>
        <v>44266Product41</v>
      </c>
      <c r="D1864" s="90">
        <v>44266</v>
      </c>
      <c r="E1864" s="143">
        <v>0.10902777777777778</v>
      </c>
      <c r="F1864" s="1" t="s">
        <v>9</v>
      </c>
      <c r="G1864" s="2" t="s">
        <v>15</v>
      </c>
      <c r="H1864" s="2" t="s">
        <v>42</v>
      </c>
      <c r="I1864" s="1" t="s">
        <v>11</v>
      </c>
      <c r="J1864" s="1" t="s">
        <v>8</v>
      </c>
      <c r="K1864" s="89">
        <v>35280</v>
      </c>
      <c r="L1864" s="3">
        <v>8.5299999999999994</v>
      </c>
      <c r="M1864" s="3">
        <v>61.88</v>
      </c>
      <c r="N1864" s="3" t="s">
        <v>8</v>
      </c>
      <c r="O1864" s="3" t="s">
        <v>8</v>
      </c>
    </row>
    <row r="1865" spans="1:15" x14ac:dyDescent="0.35">
      <c r="A1865" s="5" t="str">
        <f>Loads[[#This Row],[Date]]&amp;Loads[[#This Row],[Product]]</f>
        <v>44266Product8</v>
      </c>
      <c r="B1865" s="5">
        <f>COUNTIF($A$1:A1865,Loads[[#This Row],[Load]])</f>
        <v>1</v>
      </c>
      <c r="C1865" s="3" t="str">
        <f>Loads[[#This Row],[Load]]&amp;Loads[[#This Row],[Count]]</f>
        <v>44266Product81</v>
      </c>
      <c r="D1865" s="90">
        <v>44266</v>
      </c>
      <c r="E1865" s="143">
        <v>0.10972222222222222</v>
      </c>
      <c r="F1865" s="1" t="s">
        <v>9</v>
      </c>
      <c r="G1865" s="2" t="s">
        <v>19</v>
      </c>
      <c r="H1865" s="2" t="s">
        <v>42</v>
      </c>
      <c r="I1865" s="1" t="s">
        <v>11</v>
      </c>
      <c r="J1865" s="1" t="s">
        <v>8</v>
      </c>
      <c r="K1865" s="89">
        <v>13120</v>
      </c>
      <c r="L1865" s="3">
        <v>12.2</v>
      </c>
      <c r="M1865" s="3">
        <v>7.01</v>
      </c>
      <c r="N1865" s="3" t="s">
        <v>8</v>
      </c>
      <c r="O1865" s="3" t="s">
        <v>8</v>
      </c>
    </row>
    <row r="1866" spans="1:15" x14ac:dyDescent="0.35">
      <c r="A1866" s="5" t="str">
        <f>Loads[[#This Row],[Date]]&amp;Loads[[#This Row],[Product]]</f>
        <v>44266Product8</v>
      </c>
      <c r="B1866" s="5">
        <f>COUNTIF($A$1:A1866,Loads[[#This Row],[Load]])</f>
        <v>2</v>
      </c>
      <c r="C1866" s="3" t="str">
        <f>Loads[[#This Row],[Load]]&amp;Loads[[#This Row],[Count]]</f>
        <v>44266Product82</v>
      </c>
      <c r="D1866" s="90">
        <v>44266</v>
      </c>
      <c r="E1866" s="143">
        <v>0.10972222222222222</v>
      </c>
      <c r="F1866" s="1" t="s">
        <v>9</v>
      </c>
      <c r="G1866" s="2" t="s">
        <v>19</v>
      </c>
      <c r="H1866" s="2" t="s">
        <v>42</v>
      </c>
      <c r="I1866" s="1" t="s">
        <v>11</v>
      </c>
      <c r="J1866" s="1" t="s">
        <v>8</v>
      </c>
      <c r="K1866" s="89">
        <v>12460</v>
      </c>
      <c r="L1866" s="3">
        <v>11.92</v>
      </c>
      <c r="M1866" s="3">
        <v>7.2</v>
      </c>
      <c r="N1866" s="3" t="s">
        <v>8</v>
      </c>
      <c r="O1866" s="3" t="s">
        <v>8</v>
      </c>
    </row>
    <row r="1867" spans="1:15" x14ac:dyDescent="0.35">
      <c r="A1867" s="5" t="str">
        <f>Loads[[#This Row],[Date]]&amp;Loads[[#This Row],[Product]]</f>
        <v>44266Product8</v>
      </c>
      <c r="B1867" s="5">
        <f>COUNTIF($A$1:A1867,Loads[[#This Row],[Load]])</f>
        <v>3</v>
      </c>
      <c r="C1867" s="3" t="str">
        <f>Loads[[#This Row],[Load]]&amp;Loads[[#This Row],[Count]]</f>
        <v>44266Product83</v>
      </c>
      <c r="D1867" s="90">
        <v>44266</v>
      </c>
      <c r="E1867" s="143">
        <v>0.1111111111111111</v>
      </c>
      <c r="F1867" s="1" t="s">
        <v>9</v>
      </c>
      <c r="G1867" s="2" t="s">
        <v>19</v>
      </c>
      <c r="H1867" s="2" t="s">
        <v>42</v>
      </c>
      <c r="I1867" s="1" t="s">
        <v>11</v>
      </c>
      <c r="J1867" s="1" t="s">
        <v>8</v>
      </c>
      <c r="K1867" s="89">
        <v>9040</v>
      </c>
      <c r="L1867" s="3">
        <v>11.92</v>
      </c>
      <c r="M1867" s="3">
        <v>7.5</v>
      </c>
      <c r="N1867" s="3" t="s">
        <v>8</v>
      </c>
      <c r="O1867" s="3" t="s">
        <v>8</v>
      </c>
    </row>
    <row r="1868" spans="1:15" x14ac:dyDescent="0.35">
      <c r="A1868" s="5" t="str">
        <f>Loads[[#This Row],[Date]]&amp;Loads[[#This Row],[Product]]</f>
        <v>44266Product6</v>
      </c>
      <c r="B1868" s="5">
        <f>COUNTIF($A$1:A1868,Loads[[#This Row],[Load]])</f>
        <v>1</v>
      </c>
      <c r="C1868" s="3" t="str">
        <f>Loads[[#This Row],[Load]]&amp;Loads[[#This Row],[Count]]</f>
        <v>44266Product61</v>
      </c>
      <c r="D1868" s="90">
        <v>44266</v>
      </c>
      <c r="E1868" s="143">
        <v>0.11180555555555556</v>
      </c>
      <c r="F1868" s="1" t="s">
        <v>9</v>
      </c>
      <c r="G1868" s="2" t="s">
        <v>17</v>
      </c>
      <c r="H1868" s="2" t="s">
        <v>42</v>
      </c>
      <c r="I1868" s="1" t="s">
        <v>11</v>
      </c>
      <c r="J1868" s="1" t="s">
        <v>8</v>
      </c>
      <c r="K1868" s="89">
        <v>35440</v>
      </c>
      <c r="L1868" s="3">
        <v>0.08</v>
      </c>
      <c r="M1868" s="3" t="s">
        <v>8</v>
      </c>
      <c r="N1868" s="3">
        <v>2.1</v>
      </c>
      <c r="O1868" s="3" t="s">
        <v>8</v>
      </c>
    </row>
    <row r="1869" spans="1:15" x14ac:dyDescent="0.35">
      <c r="A1869" s="5" t="str">
        <f>Loads[[#This Row],[Date]]&amp;Loads[[#This Row],[Product]]</f>
        <v>44266Product2</v>
      </c>
      <c r="B1869" s="5">
        <f>COUNTIF($A$1:A1869,Loads[[#This Row],[Load]])</f>
        <v>1</v>
      </c>
      <c r="C1869" s="3" t="str">
        <f>Loads[[#This Row],[Load]]&amp;Loads[[#This Row],[Count]]</f>
        <v>44266Product21</v>
      </c>
      <c r="D1869" s="90">
        <v>44266</v>
      </c>
      <c r="E1869" s="143">
        <v>0.27013888888888887</v>
      </c>
      <c r="F1869" s="1" t="s">
        <v>9</v>
      </c>
      <c r="G1869" s="2" t="s">
        <v>13</v>
      </c>
      <c r="H1869" s="2" t="s">
        <v>42</v>
      </c>
      <c r="I1869" s="1" t="s">
        <v>11</v>
      </c>
      <c r="J1869" s="1" t="s">
        <v>8</v>
      </c>
      <c r="K1869" s="89">
        <v>12720</v>
      </c>
      <c r="L1869" s="3">
        <v>58.92</v>
      </c>
      <c r="M1869" s="3">
        <v>11</v>
      </c>
      <c r="N1869" s="3" t="s">
        <v>8</v>
      </c>
      <c r="O1869" s="3" t="s">
        <v>8</v>
      </c>
    </row>
    <row r="1870" spans="1:15" x14ac:dyDescent="0.35">
      <c r="A1870" s="5" t="str">
        <f>Loads[[#This Row],[Date]]&amp;Loads[[#This Row],[Product]]</f>
        <v>44266Product2</v>
      </c>
      <c r="B1870" s="5">
        <f>COUNTIF($A$1:A1870,Loads[[#This Row],[Load]])</f>
        <v>2</v>
      </c>
      <c r="C1870" s="3" t="str">
        <f>Loads[[#This Row],[Load]]&amp;Loads[[#This Row],[Count]]</f>
        <v>44266Product22</v>
      </c>
      <c r="D1870" s="90">
        <v>44266</v>
      </c>
      <c r="E1870" s="143">
        <v>0.27013888888888887</v>
      </c>
      <c r="F1870" s="1" t="s">
        <v>9</v>
      </c>
      <c r="G1870" s="2" t="s">
        <v>13</v>
      </c>
      <c r="H1870" s="2" t="s">
        <v>42</v>
      </c>
      <c r="I1870" s="1" t="s">
        <v>11</v>
      </c>
      <c r="J1870" s="1" t="s">
        <v>8</v>
      </c>
      <c r="K1870" s="89">
        <v>12300</v>
      </c>
      <c r="L1870" s="3">
        <v>59.08</v>
      </c>
      <c r="M1870" s="3">
        <v>10.66</v>
      </c>
      <c r="N1870" s="3" t="s">
        <v>8</v>
      </c>
      <c r="O1870" s="3" t="s">
        <v>8</v>
      </c>
    </row>
    <row r="1871" spans="1:15" x14ac:dyDescent="0.35">
      <c r="A1871" s="5" t="str">
        <f>Loads[[#This Row],[Date]]&amp;Loads[[#This Row],[Product]]</f>
        <v>44266Product2</v>
      </c>
      <c r="B1871" s="5">
        <f>COUNTIF($A$1:A1871,Loads[[#This Row],[Load]])</f>
        <v>3</v>
      </c>
      <c r="C1871" s="3" t="str">
        <f>Loads[[#This Row],[Load]]&amp;Loads[[#This Row],[Count]]</f>
        <v>44266Product23</v>
      </c>
      <c r="D1871" s="90">
        <v>44266</v>
      </c>
      <c r="E1871" s="143">
        <v>0.27083333333333331</v>
      </c>
      <c r="F1871" s="1" t="s">
        <v>9</v>
      </c>
      <c r="G1871" s="2" t="s">
        <v>13</v>
      </c>
      <c r="H1871" s="2" t="s">
        <v>42</v>
      </c>
      <c r="I1871" s="1" t="s">
        <v>11</v>
      </c>
      <c r="J1871" s="1" t="s">
        <v>8</v>
      </c>
      <c r="K1871" s="89">
        <v>13300</v>
      </c>
      <c r="L1871" s="3">
        <v>61.37</v>
      </c>
      <c r="M1871" s="3">
        <v>10.220000000000001</v>
      </c>
      <c r="N1871" s="3" t="s">
        <v>8</v>
      </c>
      <c r="O1871" s="3" t="s">
        <v>8</v>
      </c>
    </row>
    <row r="1872" spans="1:15" x14ac:dyDescent="0.35">
      <c r="A1872" s="5" t="str">
        <f>Loads[[#This Row],[Date]]&amp;Loads[[#This Row],[Product]]</f>
        <v>44266Product2</v>
      </c>
      <c r="B1872" s="5">
        <f>COUNTIF($A$1:A1872,Loads[[#This Row],[Load]])</f>
        <v>4</v>
      </c>
      <c r="C1872" s="3" t="str">
        <f>Loads[[#This Row],[Load]]&amp;Loads[[#This Row],[Count]]</f>
        <v>44266Product24</v>
      </c>
      <c r="D1872" s="90">
        <v>44266</v>
      </c>
      <c r="E1872" s="143">
        <v>0.27083333333333331</v>
      </c>
      <c r="F1872" s="1" t="s">
        <v>9</v>
      </c>
      <c r="G1872" s="2" t="s">
        <v>13</v>
      </c>
      <c r="H1872" s="2" t="s">
        <v>42</v>
      </c>
      <c r="I1872" s="1" t="s">
        <v>11</v>
      </c>
      <c r="J1872" s="1" t="s">
        <v>8</v>
      </c>
      <c r="K1872" s="89">
        <v>11140</v>
      </c>
      <c r="L1872" s="3">
        <v>58.55</v>
      </c>
      <c r="M1872" s="3">
        <v>9.85</v>
      </c>
      <c r="N1872" s="3" t="s">
        <v>8</v>
      </c>
      <c r="O1872" s="3" t="s">
        <v>8</v>
      </c>
    </row>
    <row r="1873" spans="1:15" x14ac:dyDescent="0.35">
      <c r="A1873" s="5" t="str">
        <f>Loads[[#This Row],[Date]]&amp;Loads[[#This Row],[Product]]</f>
        <v>44266Product2</v>
      </c>
      <c r="B1873" s="5">
        <f>COUNTIF($A$1:A1873,Loads[[#This Row],[Load]])</f>
        <v>5</v>
      </c>
      <c r="C1873" s="3" t="str">
        <f>Loads[[#This Row],[Load]]&amp;Loads[[#This Row],[Count]]</f>
        <v>44266Product25</v>
      </c>
      <c r="D1873" s="90">
        <v>44266</v>
      </c>
      <c r="E1873" s="143">
        <v>0.27152777777777776</v>
      </c>
      <c r="F1873" s="1" t="s">
        <v>9</v>
      </c>
      <c r="G1873" s="2" t="s">
        <v>13</v>
      </c>
      <c r="H1873" s="2" t="s">
        <v>42</v>
      </c>
      <c r="I1873" s="1" t="s">
        <v>11</v>
      </c>
      <c r="J1873" s="1" t="s">
        <v>8</v>
      </c>
      <c r="K1873" s="89">
        <v>15880</v>
      </c>
      <c r="L1873" s="3">
        <v>62.28</v>
      </c>
      <c r="M1873" s="3">
        <v>8.91</v>
      </c>
      <c r="N1873" s="3" t="s">
        <v>8</v>
      </c>
      <c r="O1873" s="3" t="s">
        <v>8</v>
      </c>
    </row>
    <row r="1874" spans="1:15" x14ac:dyDescent="0.35">
      <c r="A1874" s="5" t="str">
        <f>Loads[[#This Row],[Date]]&amp;Loads[[#This Row],[Product]]</f>
        <v>44266Product2</v>
      </c>
      <c r="B1874" s="5">
        <f>COUNTIF($A$1:A1874,Loads[[#This Row],[Load]])</f>
        <v>6</v>
      </c>
      <c r="C1874" s="3" t="str">
        <f>Loads[[#This Row],[Load]]&amp;Loads[[#This Row],[Count]]</f>
        <v>44266Product26</v>
      </c>
      <c r="D1874" s="90">
        <v>44266</v>
      </c>
      <c r="E1874" s="143">
        <v>0.2722222222222222</v>
      </c>
      <c r="F1874" s="1" t="s">
        <v>9</v>
      </c>
      <c r="G1874" s="2" t="s">
        <v>13</v>
      </c>
      <c r="H1874" s="2" t="s">
        <v>42</v>
      </c>
      <c r="I1874" s="1" t="s">
        <v>11</v>
      </c>
      <c r="J1874" s="1" t="s">
        <v>8</v>
      </c>
      <c r="K1874" s="89">
        <v>10960</v>
      </c>
      <c r="L1874" s="3">
        <v>68.7</v>
      </c>
      <c r="M1874" s="3">
        <v>7.57</v>
      </c>
      <c r="N1874" s="3" t="s">
        <v>8</v>
      </c>
      <c r="O1874" s="3" t="s">
        <v>8</v>
      </c>
    </row>
    <row r="1875" spans="1:15" x14ac:dyDescent="0.35">
      <c r="A1875" s="5" t="str">
        <f>Loads[[#This Row],[Date]]&amp;Loads[[#This Row],[Product]]</f>
        <v>44266Product2</v>
      </c>
      <c r="B1875" s="5">
        <f>COUNTIF($A$1:A1875,Loads[[#This Row],[Load]])</f>
        <v>7</v>
      </c>
      <c r="C1875" s="3" t="str">
        <f>Loads[[#This Row],[Load]]&amp;Loads[[#This Row],[Count]]</f>
        <v>44266Product27</v>
      </c>
      <c r="D1875" s="90">
        <v>44266</v>
      </c>
      <c r="E1875" s="143">
        <v>0.2722222222222222</v>
      </c>
      <c r="F1875" s="1" t="s">
        <v>9</v>
      </c>
      <c r="G1875" s="2" t="s">
        <v>13</v>
      </c>
      <c r="H1875" s="2" t="s">
        <v>42</v>
      </c>
      <c r="I1875" s="1" t="s">
        <v>11</v>
      </c>
      <c r="J1875" s="1" t="s">
        <v>8</v>
      </c>
      <c r="K1875" s="89">
        <v>11800</v>
      </c>
      <c r="L1875" s="3">
        <v>58.79</v>
      </c>
      <c r="M1875" s="3">
        <v>11.01</v>
      </c>
      <c r="N1875" s="3" t="s">
        <v>8</v>
      </c>
      <c r="O1875" s="3" t="s">
        <v>8</v>
      </c>
    </row>
    <row r="1876" spans="1:15" x14ac:dyDescent="0.35">
      <c r="A1876" s="5" t="str">
        <f>Loads[[#This Row],[Date]]&amp;Loads[[#This Row],[Product]]</f>
        <v>44266Product3</v>
      </c>
      <c r="B1876" s="5">
        <f>COUNTIF($A$1:A1876,Loads[[#This Row],[Load]])</f>
        <v>1</v>
      </c>
      <c r="C1876" s="3" t="str">
        <f>Loads[[#This Row],[Load]]&amp;Loads[[#This Row],[Count]]</f>
        <v>44266Product31</v>
      </c>
      <c r="D1876" s="90">
        <v>44266</v>
      </c>
      <c r="E1876" s="143">
        <v>0.27291666666666664</v>
      </c>
      <c r="F1876" s="1" t="s">
        <v>9</v>
      </c>
      <c r="G1876" s="2" t="s">
        <v>14</v>
      </c>
      <c r="H1876" s="2" t="s">
        <v>42</v>
      </c>
      <c r="I1876" s="1" t="s">
        <v>11</v>
      </c>
      <c r="J1876" s="1" t="s">
        <v>8</v>
      </c>
      <c r="K1876" s="89">
        <v>10380</v>
      </c>
      <c r="L1876" s="3">
        <v>58.84</v>
      </c>
      <c r="M1876" s="3">
        <v>11.56</v>
      </c>
      <c r="N1876" s="3" t="s">
        <v>8</v>
      </c>
      <c r="O1876" s="3" t="s">
        <v>8</v>
      </c>
    </row>
    <row r="1877" spans="1:15" x14ac:dyDescent="0.35">
      <c r="A1877" s="5" t="str">
        <f>Loads[[#This Row],[Date]]&amp;Loads[[#This Row],[Product]]</f>
        <v>44266Product2</v>
      </c>
      <c r="B1877" s="5">
        <f>COUNTIF($A$1:A1877,Loads[[#This Row],[Load]])</f>
        <v>8</v>
      </c>
      <c r="C1877" s="3" t="str">
        <f>Loads[[#This Row],[Load]]&amp;Loads[[#This Row],[Count]]</f>
        <v>44266Product28</v>
      </c>
      <c r="D1877" s="90">
        <v>44266</v>
      </c>
      <c r="E1877" s="143">
        <v>0.27361111111111108</v>
      </c>
      <c r="F1877" s="1" t="s">
        <v>9</v>
      </c>
      <c r="G1877" s="2" t="s">
        <v>13</v>
      </c>
      <c r="H1877" s="2" t="s">
        <v>42</v>
      </c>
      <c r="I1877" s="1" t="s">
        <v>11</v>
      </c>
      <c r="J1877" s="1" t="s">
        <v>8</v>
      </c>
      <c r="K1877" s="89">
        <v>15880</v>
      </c>
      <c r="L1877" s="3">
        <v>59.72</v>
      </c>
      <c r="M1877" s="3">
        <v>10.19</v>
      </c>
      <c r="N1877" s="3" t="s">
        <v>8</v>
      </c>
      <c r="O1877" s="3" t="s">
        <v>8</v>
      </c>
    </row>
    <row r="1878" spans="1:15" x14ac:dyDescent="0.35">
      <c r="A1878" s="5" t="str">
        <f>Loads[[#This Row],[Date]]&amp;Loads[[#This Row],[Product]]</f>
        <v>44267Product1</v>
      </c>
      <c r="B1878" s="5">
        <f>COUNTIF($A$1:A1878,Loads[[#This Row],[Load]])</f>
        <v>1</v>
      </c>
      <c r="C1878" s="3" t="str">
        <f>Loads[[#This Row],[Load]]&amp;Loads[[#This Row],[Count]]</f>
        <v>44267Product11</v>
      </c>
      <c r="D1878" s="90">
        <v>44267</v>
      </c>
      <c r="E1878" s="143">
        <v>0.125</v>
      </c>
      <c r="F1878" s="1" t="s">
        <v>9</v>
      </c>
      <c r="G1878" s="2" t="s">
        <v>12</v>
      </c>
      <c r="H1878" s="2" t="s">
        <v>42</v>
      </c>
      <c r="I1878" s="1" t="s">
        <v>10</v>
      </c>
      <c r="J1878" s="1">
        <v>100</v>
      </c>
      <c r="K1878" s="89">
        <v>3980</v>
      </c>
      <c r="L1878" s="3">
        <v>7.39</v>
      </c>
      <c r="M1878" s="3">
        <v>20.85</v>
      </c>
      <c r="N1878" s="3" t="s">
        <v>8</v>
      </c>
      <c r="O1878" s="3" t="s">
        <v>8</v>
      </c>
    </row>
    <row r="1879" spans="1:15" x14ac:dyDescent="0.35">
      <c r="A1879" s="5" t="str">
        <f>Loads[[#This Row],[Date]]&amp;Loads[[#This Row],[Product]]</f>
        <v>44267Product1</v>
      </c>
      <c r="B1879" s="5">
        <f>COUNTIF($A$1:A1879,Loads[[#This Row],[Load]])</f>
        <v>2</v>
      </c>
      <c r="C1879" s="3" t="str">
        <f>Loads[[#This Row],[Load]]&amp;Loads[[#This Row],[Count]]</f>
        <v>44267Product12</v>
      </c>
      <c r="D1879" s="90">
        <v>44267</v>
      </c>
      <c r="E1879" s="143">
        <v>0.125</v>
      </c>
      <c r="F1879" s="1" t="s">
        <v>9</v>
      </c>
      <c r="G1879" s="2" t="s">
        <v>12</v>
      </c>
      <c r="H1879" s="2" t="s">
        <v>42</v>
      </c>
      <c r="I1879" s="1" t="s">
        <v>10</v>
      </c>
      <c r="J1879" s="1">
        <v>925</v>
      </c>
      <c r="K1879" s="89">
        <v>36960</v>
      </c>
      <c r="L1879" s="3">
        <v>7.82</v>
      </c>
      <c r="M1879" s="3">
        <v>20.32</v>
      </c>
      <c r="N1879" s="3" t="s">
        <v>8</v>
      </c>
      <c r="O1879" s="3" t="s">
        <v>8</v>
      </c>
    </row>
    <row r="1880" spans="1:15" x14ac:dyDescent="0.35">
      <c r="A1880" s="5" t="str">
        <f>Loads[[#This Row],[Date]]&amp;Loads[[#This Row],[Product]]</f>
        <v>44267Product1</v>
      </c>
      <c r="B1880" s="5">
        <f>COUNTIF($A$1:A1880,Loads[[#This Row],[Load]])</f>
        <v>3</v>
      </c>
      <c r="C1880" s="3" t="str">
        <f>Loads[[#This Row],[Load]]&amp;Loads[[#This Row],[Count]]</f>
        <v>44267Product13</v>
      </c>
      <c r="D1880" s="90">
        <v>44267</v>
      </c>
      <c r="E1880" s="143">
        <v>0.12569444444444444</v>
      </c>
      <c r="F1880" s="1" t="s">
        <v>9</v>
      </c>
      <c r="G1880" s="2" t="s">
        <v>12</v>
      </c>
      <c r="H1880" s="2" t="s">
        <v>42</v>
      </c>
      <c r="I1880" s="1" t="s">
        <v>11</v>
      </c>
      <c r="J1880" s="1" t="s">
        <v>8</v>
      </c>
      <c r="K1880" s="89">
        <v>27620</v>
      </c>
      <c r="L1880" s="3">
        <v>8.9499999999999993</v>
      </c>
      <c r="M1880" s="3">
        <v>20.309999999999999</v>
      </c>
      <c r="N1880" s="3" t="s">
        <v>8</v>
      </c>
      <c r="O1880" s="3" t="s">
        <v>8</v>
      </c>
    </row>
    <row r="1881" spans="1:15" x14ac:dyDescent="0.35">
      <c r="A1881" s="5" t="str">
        <f>Loads[[#This Row],[Date]]&amp;Loads[[#This Row],[Product]]</f>
        <v>44267Product1</v>
      </c>
      <c r="B1881" s="5">
        <f>COUNTIF($A$1:A1881,Loads[[#This Row],[Load]])</f>
        <v>4</v>
      </c>
      <c r="C1881" s="3" t="str">
        <f>Loads[[#This Row],[Load]]&amp;Loads[[#This Row],[Count]]</f>
        <v>44267Product14</v>
      </c>
      <c r="D1881" s="90">
        <v>44267</v>
      </c>
      <c r="E1881" s="143">
        <v>0.12638888888888888</v>
      </c>
      <c r="F1881" s="1" t="s">
        <v>9</v>
      </c>
      <c r="G1881" s="2" t="s">
        <v>12</v>
      </c>
      <c r="H1881" s="2" t="s">
        <v>42</v>
      </c>
      <c r="I1881" s="1" t="s">
        <v>11</v>
      </c>
      <c r="J1881" s="1" t="s">
        <v>8</v>
      </c>
      <c r="K1881" s="89">
        <v>28040</v>
      </c>
      <c r="L1881" s="3">
        <v>9.98</v>
      </c>
      <c r="M1881" s="3">
        <v>20.83</v>
      </c>
      <c r="N1881" s="3" t="s">
        <v>8</v>
      </c>
      <c r="O1881" s="3" t="s">
        <v>8</v>
      </c>
    </row>
    <row r="1882" spans="1:15" x14ac:dyDescent="0.35">
      <c r="A1882" s="5" t="str">
        <f>Loads[[#This Row],[Date]]&amp;Loads[[#This Row],[Product]]</f>
        <v>44267Product1</v>
      </c>
      <c r="B1882" s="5">
        <f>COUNTIF($A$1:A1882,Loads[[#This Row],[Load]])</f>
        <v>5</v>
      </c>
      <c r="C1882" s="3" t="str">
        <f>Loads[[#This Row],[Load]]&amp;Loads[[#This Row],[Count]]</f>
        <v>44267Product15</v>
      </c>
      <c r="D1882" s="90">
        <v>44267</v>
      </c>
      <c r="E1882" s="143">
        <v>0.12708333333333333</v>
      </c>
      <c r="F1882" s="1" t="s">
        <v>9</v>
      </c>
      <c r="G1882" s="2" t="s">
        <v>12</v>
      </c>
      <c r="H1882" s="2" t="s">
        <v>42</v>
      </c>
      <c r="I1882" s="1" t="s">
        <v>10</v>
      </c>
      <c r="J1882" s="1">
        <v>30680</v>
      </c>
      <c r="K1882" s="89">
        <v>30687</v>
      </c>
      <c r="L1882" s="3">
        <v>7.89</v>
      </c>
      <c r="M1882" s="3">
        <v>20.85</v>
      </c>
      <c r="N1882" s="3" t="s">
        <v>8</v>
      </c>
      <c r="O1882" s="3" t="s">
        <v>8</v>
      </c>
    </row>
    <row r="1883" spans="1:15" x14ac:dyDescent="0.35">
      <c r="A1883" s="5" t="str">
        <f>Loads[[#This Row],[Date]]&amp;Loads[[#This Row],[Product]]</f>
        <v>44267Product1</v>
      </c>
      <c r="B1883" s="5">
        <f>COUNTIF($A$1:A1883,Loads[[#This Row],[Load]])</f>
        <v>6</v>
      </c>
      <c r="C1883" s="3" t="str">
        <f>Loads[[#This Row],[Load]]&amp;Loads[[#This Row],[Count]]</f>
        <v>44267Product16</v>
      </c>
      <c r="D1883" s="90">
        <v>44267</v>
      </c>
      <c r="E1883" s="143">
        <v>0.12708333333333333</v>
      </c>
      <c r="F1883" s="1" t="s">
        <v>9</v>
      </c>
      <c r="G1883" s="2" t="s">
        <v>12</v>
      </c>
      <c r="H1883" s="2" t="s">
        <v>42</v>
      </c>
      <c r="I1883" s="1" t="s">
        <v>11</v>
      </c>
      <c r="J1883" s="1" t="s">
        <v>8</v>
      </c>
      <c r="K1883" s="89">
        <v>26940</v>
      </c>
      <c r="L1883" s="3">
        <v>9.81</v>
      </c>
      <c r="M1883" s="3">
        <v>21.11</v>
      </c>
      <c r="N1883" s="3" t="s">
        <v>8</v>
      </c>
      <c r="O1883" s="3" t="s">
        <v>8</v>
      </c>
    </row>
    <row r="1884" spans="1:15" x14ac:dyDescent="0.35">
      <c r="A1884" s="5" t="str">
        <f>Loads[[#This Row],[Date]]&amp;Loads[[#This Row],[Product]]</f>
        <v>44267Product1</v>
      </c>
      <c r="B1884" s="5">
        <f>COUNTIF($A$1:A1884,Loads[[#This Row],[Load]])</f>
        <v>7</v>
      </c>
      <c r="C1884" s="3" t="str">
        <f>Loads[[#This Row],[Load]]&amp;Loads[[#This Row],[Count]]</f>
        <v>44267Product17</v>
      </c>
      <c r="D1884" s="90">
        <v>44267</v>
      </c>
      <c r="E1884" s="143">
        <v>0.1277777777777778</v>
      </c>
      <c r="F1884" s="1" t="s">
        <v>9</v>
      </c>
      <c r="G1884" s="2" t="s">
        <v>12</v>
      </c>
      <c r="H1884" s="2" t="s">
        <v>42</v>
      </c>
      <c r="I1884" s="1" t="s">
        <v>10</v>
      </c>
      <c r="J1884" s="1">
        <v>770</v>
      </c>
      <c r="K1884" s="89">
        <v>30560</v>
      </c>
      <c r="L1884" s="3">
        <v>9.49</v>
      </c>
      <c r="M1884" s="3">
        <v>22.99</v>
      </c>
      <c r="N1884" s="3" t="s">
        <v>8</v>
      </c>
      <c r="O1884" s="3" t="s">
        <v>8</v>
      </c>
    </row>
    <row r="1885" spans="1:15" x14ac:dyDescent="0.35">
      <c r="A1885" s="5" t="str">
        <f>Loads[[#This Row],[Date]]&amp;Loads[[#This Row],[Product]]</f>
        <v>44267Product1</v>
      </c>
      <c r="B1885" s="5">
        <f>COUNTIF($A$1:A1885,Loads[[#This Row],[Load]])</f>
        <v>8</v>
      </c>
      <c r="C1885" s="3" t="str">
        <f>Loads[[#This Row],[Load]]&amp;Loads[[#This Row],[Count]]</f>
        <v>44267Product18</v>
      </c>
      <c r="D1885" s="90">
        <v>44267</v>
      </c>
      <c r="E1885" s="143">
        <v>0.12916666666666668</v>
      </c>
      <c r="F1885" s="1" t="s">
        <v>9</v>
      </c>
      <c r="G1885" s="2" t="s">
        <v>12</v>
      </c>
      <c r="H1885" s="2" t="s">
        <v>42</v>
      </c>
      <c r="I1885" s="1" t="s">
        <v>11</v>
      </c>
      <c r="J1885" s="1" t="s">
        <v>8</v>
      </c>
      <c r="K1885" s="89">
        <v>17340</v>
      </c>
      <c r="L1885" s="3">
        <v>9.51</v>
      </c>
      <c r="M1885" s="3">
        <v>22.28</v>
      </c>
      <c r="N1885" s="3" t="s">
        <v>8</v>
      </c>
      <c r="O1885" s="3" t="s">
        <v>8</v>
      </c>
    </row>
    <row r="1886" spans="1:15" x14ac:dyDescent="0.35">
      <c r="A1886" s="5" t="str">
        <f>Loads[[#This Row],[Date]]&amp;Loads[[#This Row],[Product]]</f>
        <v>44267Product1</v>
      </c>
      <c r="B1886" s="5">
        <f>COUNTIF($A$1:A1886,Loads[[#This Row],[Load]])</f>
        <v>9</v>
      </c>
      <c r="C1886" s="3" t="str">
        <f>Loads[[#This Row],[Load]]&amp;Loads[[#This Row],[Count]]</f>
        <v>44267Product19</v>
      </c>
      <c r="D1886" s="90">
        <v>44267</v>
      </c>
      <c r="E1886" s="143">
        <v>0.12986111111111112</v>
      </c>
      <c r="F1886" s="1" t="s">
        <v>9</v>
      </c>
      <c r="G1886" s="2" t="s">
        <v>12</v>
      </c>
      <c r="H1886" s="2" t="s">
        <v>42</v>
      </c>
      <c r="I1886" s="1" t="s">
        <v>11</v>
      </c>
      <c r="J1886" s="1" t="s">
        <v>8</v>
      </c>
      <c r="K1886" s="89">
        <v>25060</v>
      </c>
      <c r="L1886" s="3">
        <v>8.8800000000000008</v>
      </c>
      <c r="M1886" s="3">
        <v>21.18</v>
      </c>
      <c r="N1886" s="3" t="s">
        <v>8</v>
      </c>
      <c r="O1886" s="3" t="s">
        <v>8</v>
      </c>
    </row>
    <row r="1887" spans="1:15" x14ac:dyDescent="0.35">
      <c r="A1887" s="5" t="str">
        <f>Loads[[#This Row],[Date]]&amp;Loads[[#This Row],[Product]]</f>
        <v>44267Product1</v>
      </c>
      <c r="B1887" s="5">
        <f>COUNTIF($A$1:A1887,Loads[[#This Row],[Load]])</f>
        <v>10</v>
      </c>
      <c r="C1887" s="3" t="str">
        <f>Loads[[#This Row],[Load]]&amp;Loads[[#This Row],[Count]]</f>
        <v>44267Product110</v>
      </c>
      <c r="D1887" s="90">
        <v>44267</v>
      </c>
      <c r="E1887" s="143">
        <v>0.12986111111111112</v>
      </c>
      <c r="F1887" s="1" t="s">
        <v>9</v>
      </c>
      <c r="G1887" s="2" t="s">
        <v>12</v>
      </c>
      <c r="H1887" s="2" t="s">
        <v>42</v>
      </c>
      <c r="I1887" s="1" t="s">
        <v>10</v>
      </c>
      <c r="J1887" s="1">
        <v>775</v>
      </c>
      <c r="K1887" s="89">
        <v>30720</v>
      </c>
      <c r="L1887" s="3">
        <v>7.53</v>
      </c>
      <c r="M1887" s="3">
        <v>21.34</v>
      </c>
      <c r="N1887" s="3" t="s">
        <v>8</v>
      </c>
      <c r="O1887" s="3" t="s">
        <v>8</v>
      </c>
    </row>
    <row r="1888" spans="1:15" x14ac:dyDescent="0.35">
      <c r="A1888" s="5" t="str">
        <f>Loads[[#This Row],[Date]]&amp;Loads[[#This Row],[Product]]</f>
        <v>44267Product1</v>
      </c>
      <c r="B1888" s="5">
        <f>COUNTIF($A$1:A1888,Loads[[#This Row],[Load]])</f>
        <v>11</v>
      </c>
      <c r="C1888" s="3" t="str">
        <f>Loads[[#This Row],[Load]]&amp;Loads[[#This Row],[Count]]</f>
        <v>44267Product111</v>
      </c>
      <c r="D1888" s="90">
        <v>44267</v>
      </c>
      <c r="E1888" s="143">
        <v>0.13125000000000001</v>
      </c>
      <c r="F1888" s="1" t="s">
        <v>9</v>
      </c>
      <c r="G1888" s="2" t="s">
        <v>12</v>
      </c>
      <c r="H1888" s="2" t="s">
        <v>42</v>
      </c>
      <c r="I1888" s="1" t="s">
        <v>11</v>
      </c>
      <c r="J1888" s="1" t="s">
        <v>8</v>
      </c>
      <c r="K1888" s="89">
        <v>31300</v>
      </c>
      <c r="L1888" s="3">
        <v>7.64</v>
      </c>
      <c r="M1888" s="3">
        <v>63.04</v>
      </c>
      <c r="N1888" s="3" t="s">
        <v>8</v>
      </c>
      <c r="O1888" s="3" t="s">
        <v>8</v>
      </c>
    </row>
    <row r="1889" spans="1:15" x14ac:dyDescent="0.35">
      <c r="A1889" s="5" t="str">
        <f>Loads[[#This Row],[Date]]&amp;Loads[[#This Row],[Product]]</f>
        <v>44267Product4</v>
      </c>
      <c r="B1889" s="5">
        <f>COUNTIF($A$1:A1889,Loads[[#This Row],[Load]])</f>
        <v>1</v>
      </c>
      <c r="C1889" s="3" t="str">
        <f>Loads[[#This Row],[Load]]&amp;Loads[[#This Row],[Count]]</f>
        <v>44267Product41</v>
      </c>
      <c r="D1889" s="90">
        <v>44267</v>
      </c>
      <c r="E1889" s="143">
        <v>0.13125000000000001</v>
      </c>
      <c r="F1889" s="1" t="s">
        <v>9</v>
      </c>
      <c r="G1889" s="2" t="s">
        <v>15</v>
      </c>
      <c r="H1889" s="2" t="s">
        <v>42</v>
      </c>
      <c r="I1889" s="1" t="s">
        <v>0</v>
      </c>
      <c r="J1889" s="1">
        <v>24</v>
      </c>
      <c r="K1889" s="89">
        <v>29560</v>
      </c>
      <c r="L1889" s="3">
        <v>8.33</v>
      </c>
      <c r="M1889" s="3">
        <v>63.37</v>
      </c>
      <c r="N1889" s="3" t="s">
        <v>8</v>
      </c>
      <c r="O1889" s="3" t="s">
        <v>8</v>
      </c>
    </row>
    <row r="1890" spans="1:15" x14ac:dyDescent="0.35">
      <c r="A1890" s="5" t="str">
        <f>Loads[[#This Row],[Date]]&amp;Loads[[#This Row],[Product]]</f>
        <v>44267Product6</v>
      </c>
      <c r="B1890" s="5">
        <f>COUNTIF($A$1:A1890,Loads[[#This Row],[Load]])</f>
        <v>1</v>
      </c>
      <c r="C1890" s="3" t="str">
        <f>Loads[[#This Row],[Load]]&amp;Loads[[#This Row],[Count]]</f>
        <v>44267Product61</v>
      </c>
      <c r="D1890" s="90">
        <v>44267</v>
      </c>
      <c r="E1890" s="143">
        <v>0.13263888888888889</v>
      </c>
      <c r="F1890" s="1" t="s">
        <v>9</v>
      </c>
      <c r="G1890" s="2" t="s">
        <v>17</v>
      </c>
      <c r="H1890" s="2" t="s">
        <v>42</v>
      </c>
      <c r="I1890" s="1" t="s">
        <v>11</v>
      </c>
      <c r="J1890" s="1" t="s">
        <v>8</v>
      </c>
      <c r="K1890" s="89">
        <v>35440</v>
      </c>
      <c r="L1890" s="3">
        <v>7.0000000000000007E-2</v>
      </c>
      <c r="M1890" s="3" t="s">
        <v>8</v>
      </c>
      <c r="N1890" s="3">
        <v>2.61</v>
      </c>
      <c r="O1890" s="3" t="s">
        <v>8</v>
      </c>
    </row>
    <row r="1891" spans="1:15" x14ac:dyDescent="0.35">
      <c r="A1891" s="5" t="str">
        <f>Loads[[#This Row],[Date]]&amp;Loads[[#This Row],[Product]]</f>
        <v>44267Product8</v>
      </c>
      <c r="B1891" s="5">
        <f>COUNTIF($A$1:A1891,Loads[[#This Row],[Load]])</f>
        <v>1</v>
      </c>
      <c r="C1891" s="3" t="str">
        <f>Loads[[#This Row],[Load]]&amp;Loads[[#This Row],[Count]]</f>
        <v>44267Product81</v>
      </c>
      <c r="D1891" s="90">
        <v>44267</v>
      </c>
      <c r="E1891" s="143">
        <v>0.13333333333333333</v>
      </c>
      <c r="F1891" s="1" t="s">
        <v>9</v>
      </c>
      <c r="G1891" s="2" t="s">
        <v>19</v>
      </c>
      <c r="H1891" s="2" t="s">
        <v>42</v>
      </c>
      <c r="I1891" s="1" t="s">
        <v>11</v>
      </c>
      <c r="J1891" s="1" t="s">
        <v>8</v>
      </c>
      <c r="K1891" s="89">
        <v>11740</v>
      </c>
      <c r="L1891" s="3">
        <v>12.16</v>
      </c>
      <c r="M1891" s="3">
        <v>7.01</v>
      </c>
      <c r="N1891" s="3" t="s">
        <v>8</v>
      </c>
      <c r="O1891" s="3" t="s">
        <v>8</v>
      </c>
    </row>
    <row r="1892" spans="1:15" x14ac:dyDescent="0.35">
      <c r="A1892" s="5" t="str">
        <f>Loads[[#This Row],[Date]]&amp;Loads[[#This Row],[Product]]</f>
        <v>44267Product2</v>
      </c>
      <c r="B1892" s="5">
        <f>COUNTIF($A$1:A1892,Loads[[#This Row],[Load]])</f>
        <v>1</v>
      </c>
      <c r="C1892" s="3" t="str">
        <f>Loads[[#This Row],[Load]]&amp;Loads[[#This Row],[Count]]</f>
        <v>44267Product21</v>
      </c>
      <c r="D1892" s="90">
        <v>44267</v>
      </c>
      <c r="E1892" s="143">
        <v>0.13541666666666666</v>
      </c>
      <c r="F1892" s="1" t="s">
        <v>9</v>
      </c>
      <c r="G1892" s="2" t="s">
        <v>13</v>
      </c>
      <c r="H1892" s="2" t="s">
        <v>42</v>
      </c>
      <c r="I1892" s="1" t="s">
        <v>11</v>
      </c>
      <c r="J1892" s="1" t="s">
        <v>8</v>
      </c>
      <c r="K1892" s="89">
        <v>10740</v>
      </c>
      <c r="L1892" s="3">
        <v>58.14</v>
      </c>
      <c r="M1892" s="3">
        <v>10.66</v>
      </c>
      <c r="N1892" s="3" t="s">
        <v>8</v>
      </c>
      <c r="O1892" s="3" t="s">
        <v>8</v>
      </c>
    </row>
    <row r="1893" spans="1:15" x14ac:dyDescent="0.35">
      <c r="A1893" s="5" t="str">
        <f>Loads[[#This Row],[Date]]&amp;Loads[[#This Row],[Product]]</f>
        <v>44267Product2</v>
      </c>
      <c r="B1893" s="5">
        <f>COUNTIF($A$1:A1893,Loads[[#This Row],[Load]])</f>
        <v>2</v>
      </c>
      <c r="C1893" s="3" t="str">
        <f>Loads[[#This Row],[Load]]&amp;Loads[[#This Row],[Count]]</f>
        <v>44267Product22</v>
      </c>
      <c r="D1893" s="90">
        <v>44267</v>
      </c>
      <c r="E1893" s="143">
        <v>0.1361111111111111</v>
      </c>
      <c r="F1893" s="1" t="s">
        <v>9</v>
      </c>
      <c r="G1893" s="2" t="s">
        <v>13</v>
      </c>
      <c r="H1893" s="2" t="s">
        <v>42</v>
      </c>
      <c r="I1893" s="1" t="s">
        <v>11</v>
      </c>
      <c r="J1893" s="1" t="s">
        <v>8</v>
      </c>
      <c r="K1893" s="89">
        <v>7900</v>
      </c>
      <c r="L1893" s="3">
        <v>58.79</v>
      </c>
      <c r="M1893" s="3">
        <v>11.01</v>
      </c>
      <c r="N1893" s="3" t="s">
        <v>8</v>
      </c>
      <c r="O1893" s="3" t="s">
        <v>8</v>
      </c>
    </row>
    <row r="1894" spans="1:15" x14ac:dyDescent="0.35">
      <c r="A1894" s="5" t="str">
        <f>Loads[[#This Row],[Date]]&amp;Loads[[#This Row],[Product]]</f>
        <v>44267Product2</v>
      </c>
      <c r="B1894" s="5">
        <f>COUNTIF($A$1:A1894,Loads[[#This Row],[Load]])</f>
        <v>3</v>
      </c>
      <c r="C1894" s="3" t="str">
        <f>Loads[[#This Row],[Load]]&amp;Loads[[#This Row],[Count]]</f>
        <v>44267Product23</v>
      </c>
      <c r="D1894" s="90">
        <v>44267</v>
      </c>
      <c r="E1894" s="143">
        <v>0.1361111111111111</v>
      </c>
      <c r="F1894" s="1" t="s">
        <v>9</v>
      </c>
      <c r="G1894" s="2" t="s">
        <v>13</v>
      </c>
      <c r="H1894" s="2" t="s">
        <v>42</v>
      </c>
      <c r="I1894" s="1" t="s">
        <v>11</v>
      </c>
      <c r="J1894" s="1" t="s">
        <v>8</v>
      </c>
      <c r="K1894" s="89">
        <v>11120</v>
      </c>
      <c r="L1894" s="3">
        <v>57.87</v>
      </c>
      <c r="M1894" s="3">
        <v>11.13</v>
      </c>
      <c r="N1894" s="3" t="s">
        <v>8</v>
      </c>
      <c r="O1894" s="3" t="s">
        <v>8</v>
      </c>
    </row>
    <row r="1895" spans="1:15" x14ac:dyDescent="0.35">
      <c r="A1895" s="5" t="str">
        <f>Loads[[#This Row],[Date]]&amp;Loads[[#This Row],[Product]]</f>
        <v>44267Product2</v>
      </c>
      <c r="B1895" s="5">
        <f>COUNTIF($A$1:A1895,Loads[[#This Row],[Load]])</f>
        <v>4</v>
      </c>
      <c r="C1895" s="3" t="str">
        <f>Loads[[#This Row],[Load]]&amp;Loads[[#This Row],[Count]]</f>
        <v>44267Product24</v>
      </c>
      <c r="D1895" s="90">
        <v>44267</v>
      </c>
      <c r="E1895" s="143">
        <v>0.13680555555555554</v>
      </c>
      <c r="F1895" s="1" t="s">
        <v>9</v>
      </c>
      <c r="G1895" s="2" t="s">
        <v>13</v>
      </c>
      <c r="H1895" s="2" t="s">
        <v>42</v>
      </c>
      <c r="I1895" s="1" t="s">
        <v>11</v>
      </c>
      <c r="J1895" s="1" t="s">
        <v>8</v>
      </c>
      <c r="K1895" s="89">
        <v>14540</v>
      </c>
      <c r="L1895" s="3">
        <v>59.07</v>
      </c>
      <c r="M1895" s="3">
        <v>10.63</v>
      </c>
      <c r="N1895" s="3" t="s">
        <v>8</v>
      </c>
      <c r="O1895" s="3" t="s">
        <v>8</v>
      </c>
    </row>
    <row r="1896" spans="1:15" x14ac:dyDescent="0.35">
      <c r="A1896" s="5" t="str">
        <f>Loads[[#This Row],[Date]]&amp;Loads[[#This Row],[Product]]</f>
        <v>44267Product2</v>
      </c>
      <c r="B1896" s="5">
        <f>COUNTIF($A$1:A1896,Loads[[#This Row],[Load]])</f>
        <v>5</v>
      </c>
      <c r="C1896" s="3" t="str">
        <f>Loads[[#This Row],[Load]]&amp;Loads[[#This Row],[Count]]</f>
        <v>44267Product25</v>
      </c>
      <c r="D1896" s="90">
        <v>44267</v>
      </c>
      <c r="E1896" s="143">
        <v>0.13749999999999998</v>
      </c>
      <c r="F1896" s="1" t="s">
        <v>9</v>
      </c>
      <c r="G1896" s="2" t="s">
        <v>13</v>
      </c>
      <c r="H1896" s="2" t="s">
        <v>42</v>
      </c>
      <c r="I1896" s="1" t="s">
        <v>11</v>
      </c>
      <c r="J1896" s="1" t="s">
        <v>8</v>
      </c>
      <c r="K1896" s="89">
        <v>9840</v>
      </c>
      <c r="L1896" s="3">
        <v>60.43</v>
      </c>
      <c r="M1896" s="3">
        <v>9.8699999999999992</v>
      </c>
      <c r="N1896" s="3" t="s">
        <v>8</v>
      </c>
      <c r="O1896" s="3" t="s">
        <v>8</v>
      </c>
    </row>
    <row r="1897" spans="1:15" x14ac:dyDescent="0.35">
      <c r="A1897" s="5" t="str">
        <f>Loads[[#This Row],[Date]]&amp;Loads[[#This Row],[Product]]</f>
        <v>44267Product2</v>
      </c>
      <c r="B1897" s="5">
        <f>COUNTIF($A$1:A1897,Loads[[#This Row],[Load]])</f>
        <v>6</v>
      </c>
      <c r="C1897" s="3" t="str">
        <f>Loads[[#This Row],[Load]]&amp;Loads[[#This Row],[Count]]</f>
        <v>44267Product26</v>
      </c>
      <c r="D1897" s="90">
        <v>44267</v>
      </c>
      <c r="E1897" s="143">
        <v>0.13749999999999998</v>
      </c>
      <c r="F1897" s="1" t="s">
        <v>9</v>
      </c>
      <c r="G1897" s="2" t="s">
        <v>13</v>
      </c>
      <c r="H1897" s="2" t="s">
        <v>42</v>
      </c>
      <c r="I1897" s="1" t="s">
        <v>11</v>
      </c>
      <c r="J1897" s="1" t="s">
        <v>8</v>
      </c>
      <c r="K1897" s="89">
        <v>10260</v>
      </c>
      <c r="L1897" s="3">
        <v>57.5</v>
      </c>
      <c r="M1897" s="3">
        <v>10.6</v>
      </c>
      <c r="N1897" s="3" t="s">
        <v>8</v>
      </c>
      <c r="O1897" s="3" t="s">
        <v>8</v>
      </c>
    </row>
    <row r="1898" spans="1:15" x14ac:dyDescent="0.35">
      <c r="A1898" s="5" t="str">
        <f>Loads[[#This Row],[Date]]&amp;Loads[[#This Row],[Product]]</f>
        <v>44267Product2</v>
      </c>
      <c r="B1898" s="5">
        <f>COUNTIF($A$1:A1898,Loads[[#This Row],[Load]])</f>
        <v>7</v>
      </c>
      <c r="C1898" s="3" t="str">
        <f>Loads[[#This Row],[Load]]&amp;Loads[[#This Row],[Count]]</f>
        <v>44267Product27</v>
      </c>
      <c r="D1898" s="90">
        <v>44267</v>
      </c>
      <c r="E1898" s="143">
        <v>0.13819444444444443</v>
      </c>
      <c r="F1898" s="1" t="s">
        <v>9</v>
      </c>
      <c r="G1898" s="2" t="s">
        <v>13</v>
      </c>
      <c r="H1898" s="2" t="s">
        <v>42</v>
      </c>
      <c r="I1898" s="1" t="s">
        <v>11</v>
      </c>
      <c r="J1898" s="1" t="s">
        <v>8</v>
      </c>
      <c r="K1898" s="89">
        <v>14500</v>
      </c>
      <c r="L1898" s="3">
        <v>59.66</v>
      </c>
      <c r="M1898" s="3">
        <v>11.31</v>
      </c>
      <c r="N1898" s="3" t="s">
        <v>8</v>
      </c>
      <c r="O1898" s="3" t="s">
        <v>8</v>
      </c>
    </row>
    <row r="1899" spans="1:15" x14ac:dyDescent="0.35">
      <c r="A1899" s="5" t="str">
        <f>Loads[[#This Row],[Date]]&amp;Loads[[#This Row],[Product]]</f>
        <v>44268Product1</v>
      </c>
      <c r="B1899" s="5">
        <f>COUNTIF($A$1:A1899,Loads[[#This Row],[Load]])</f>
        <v>1</v>
      </c>
      <c r="C1899" s="3" t="str">
        <f>Loads[[#This Row],[Load]]&amp;Loads[[#This Row],[Count]]</f>
        <v>44268Product11</v>
      </c>
      <c r="D1899" s="90">
        <v>44268</v>
      </c>
      <c r="E1899" s="143">
        <v>0.12569444444444444</v>
      </c>
      <c r="F1899" s="1" t="s">
        <v>9</v>
      </c>
      <c r="G1899" s="2" t="s">
        <v>12</v>
      </c>
      <c r="H1899" s="2" t="s">
        <v>42</v>
      </c>
      <c r="I1899" s="1" t="s">
        <v>10</v>
      </c>
      <c r="J1899" s="1">
        <v>300</v>
      </c>
      <c r="K1899" s="89">
        <v>12020</v>
      </c>
      <c r="L1899" s="3">
        <v>8.84</v>
      </c>
      <c r="M1899" s="3">
        <v>21.03</v>
      </c>
      <c r="N1899" s="3" t="s">
        <v>8</v>
      </c>
      <c r="O1899" s="3" t="s">
        <v>8</v>
      </c>
    </row>
    <row r="1900" spans="1:15" x14ac:dyDescent="0.35">
      <c r="A1900" s="5" t="str">
        <f>Loads[[#This Row],[Date]]&amp;Loads[[#This Row],[Product]]</f>
        <v>44268Product1</v>
      </c>
      <c r="B1900" s="5">
        <f>COUNTIF($A$1:A1900,Loads[[#This Row],[Load]])</f>
        <v>2</v>
      </c>
      <c r="C1900" s="3" t="str">
        <f>Loads[[#This Row],[Load]]&amp;Loads[[#This Row],[Count]]</f>
        <v>44268Product12</v>
      </c>
      <c r="D1900" s="90">
        <v>44268</v>
      </c>
      <c r="E1900" s="143">
        <v>0.12638888888888888</v>
      </c>
      <c r="F1900" s="1" t="s">
        <v>9</v>
      </c>
      <c r="G1900" s="2" t="s">
        <v>12</v>
      </c>
      <c r="H1900" s="2" t="s">
        <v>42</v>
      </c>
      <c r="I1900" s="1" t="s">
        <v>10</v>
      </c>
      <c r="J1900" s="1">
        <v>750</v>
      </c>
      <c r="K1900" s="89">
        <v>29860</v>
      </c>
      <c r="L1900" s="3">
        <v>8.43</v>
      </c>
      <c r="M1900" s="3">
        <v>20.61</v>
      </c>
      <c r="N1900" s="3" t="s">
        <v>8</v>
      </c>
      <c r="O1900" s="3" t="s">
        <v>8</v>
      </c>
    </row>
    <row r="1901" spans="1:15" x14ac:dyDescent="0.35">
      <c r="A1901" s="5" t="str">
        <f>Loads[[#This Row],[Date]]&amp;Loads[[#This Row],[Product]]</f>
        <v>44268Product1</v>
      </c>
      <c r="B1901" s="5">
        <f>COUNTIF($A$1:A1901,Loads[[#This Row],[Load]])</f>
        <v>3</v>
      </c>
      <c r="C1901" s="3" t="str">
        <f>Loads[[#This Row],[Load]]&amp;Loads[[#This Row],[Count]]</f>
        <v>44268Product13</v>
      </c>
      <c r="D1901" s="90">
        <v>44268</v>
      </c>
      <c r="E1901" s="143">
        <v>0.12638888888888888</v>
      </c>
      <c r="F1901" s="1" t="s">
        <v>9</v>
      </c>
      <c r="G1901" s="2" t="s">
        <v>12</v>
      </c>
      <c r="H1901" s="2" t="s">
        <v>42</v>
      </c>
      <c r="I1901" s="1" t="s">
        <v>11</v>
      </c>
      <c r="J1901" s="1" t="s">
        <v>8</v>
      </c>
      <c r="K1901" s="89">
        <v>29060</v>
      </c>
      <c r="L1901" s="3">
        <v>8.5299999999999994</v>
      </c>
      <c r="M1901" s="3">
        <v>20.61</v>
      </c>
      <c r="N1901" s="3" t="s">
        <v>8</v>
      </c>
      <c r="O1901" s="3" t="s">
        <v>8</v>
      </c>
    </row>
    <row r="1902" spans="1:15" x14ac:dyDescent="0.35">
      <c r="A1902" s="5" t="str">
        <f>Loads[[#This Row],[Date]]&amp;Loads[[#This Row],[Product]]</f>
        <v>44268Product1</v>
      </c>
      <c r="B1902" s="5">
        <f>COUNTIF($A$1:A1902,Loads[[#This Row],[Load]])</f>
        <v>4</v>
      </c>
      <c r="C1902" s="3" t="str">
        <f>Loads[[#This Row],[Load]]&amp;Loads[[#This Row],[Count]]</f>
        <v>44268Product14</v>
      </c>
      <c r="D1902" s="90">
        <v>44268</v>
      </c>
      <c r="E1902" s="143">
        <v>0.12708333333333333</v>
      </c>
      <c r="F1902" s="1" t="s">
        <v>9</v>
      </c>
      <c r="G1902" s="2" t="s">
        <v>12</v>
      </c>
      <c r="H1902" s="2" t="s">
        <v>42</v>
      </c>
      <c r="I1902" s="1" t="s">
        <v>11</v>
      </c>
      <c r="J1902" s="1" t="s">
        <v>8</v>
      </c>
      <c r="K1902" s="89">
        <v>30720</v>
      </c>
      <c r="L1902" s="3">
        <v>8.86</v>
      </c>
      <c r="M1902" s="3">
        <v>21.17</v>
      </c>
      <c r="N1902" s="3" t="s">
        <v>8</v>
      </c>
      <c r="O1902" s="3" t="s">
        <v>8</v>
      </c>
    </row>
    <row r="1903" spans="1:15" x14ac:dyDescent="0.35">
      <c r="A1903" s="5" t="str">
        <f>Loads[[#This Row],[Date]]&amp;Loads[[#This Row],[Product]]</f>
        <v>44268Product1</v>
      </c>
      <c r="B1903" s="5">
        <f>COUNTIF($A$1:A1903,Loads[[#This Row],[Load]])</f>
        <v>5</v>
      </c>
      <c r="C1903" s="3" t="str">
        <f>Loads[[#This Row],[Load]]&amp;Loads[[#This Row],[Count]]</f>
        <v>44268Product15</v>
      </c>
      <c r="D1903" s="90">
        <v>44268</v>
      </c>
      <c r="E1903" s="143">
        <v>0.1277777777777778</v>
      </c>
      <c r="F1903" s="1" t="s">
        <v>9</v>
      </c>
      <c r="G1903" s="2" t="s">
        <v>12</v>
      </c>
      <c r="H1903" s="2" t="s">
        <v>42</v>
      </c>
      <c r="I1903" s="1" t="s">
        <v>11</v>
      </c>
      <c r="J1903" s="1" t="s">
        <v>8</v>
      </c>
      <c r="K1903" s="89">
        <v>25600</v>
      </c>
      <c r="L1903" s="3">
        <v>9.77</v>
      </c>
      <c r="M1903" s="3">
        <v>23.94</v>
      </c>
      <c r="N1903" s="3" t="s">
        <v>8</v>
      </c>
      <c r="O1903" s="3" t="s">
        <v>8</v>
      </c>
    </row>
    <row r="1904" spans="1:15" x14ac:dyDescent="0.35">
      <c r="A1904" s="5" t="str">
        <f>Loads[[#This Row],[Date]]&amp;Loads[[#This Row],[Product]]</f>
        <v>44268Product1</v>
      </c>
      <c r="B1904" s="5">
        <f>COUNTIF($A$1:A1904,Loads[[#This Row],[Load]])</f>
        <v>6</v>
      </c>
      <c r="C1904" s="3" t="str">
        <f>Loads[[#This Row],[Load]]&amp;Loads[[#This Row],[Count]]</f>
        <v>44268Product16</v>
      </c>
      <c r="D1904" s="90">
        <v>44268</v>
      </c>
      <c r="E1904" s="143">
        <v>0.13055555555555556</v>
      </c>
      <c r="F1904" s="1" t="s">
        <v>9</v>
      </c>
      <c r="G1904" s="2" t="s">
        <v>12</v>
      </c>
      <c r="H1904" s="2" t="s">
        <v>42</v>
      </c>
      <c r="I1904" s="1" t="s">
        <v>11</v>
      </c>
      <c r="J1904" s="1" t="s">
        <v>8</v>
      </c>
      <c r="K1904" s="89">
        <v>19120</v>
      </c>
      <c r="L1904" s="3">
        <v>8.57</v>
      </c>
      <c r="M1904" s="3">
        <v>20.85</v>
      </c>
      <c r="N1904" s="3" t="s">
        <v>8</v>
      </c>
      <c r="O1904" s="3" t="s">
        <v>8</v>
      </c>
    </row>
    <row r="1905" spans="1:15" x14ac:dyDescent="0.35">
      <c r="A1905" s="5" t="str">
        <f>Loads[[#This Row],[Date]]&amp;Loads[[#This Row],[Product]]</f>
        <v>44268Product1</v>
      </c>
      <c r="B1905" s="5">
        <f>COUNTIF($A$1:A1905,Loads[[#This Row],[Load]])</f>
        <v>7</v>
      </c>
      <c r="C1905" s="3" t="str">
        <f>Loads[[#This Row],[Load]]&amp;Loads[[#This Row],[Count]]</f>
        <v>44268Product17</v>
      </c>
      <c r="D1905" s="90">
        <v>44268</v>
      </c>
      <c r="E1905" s="143">
        <v>0.13055555555555556</v>
      </c>
      <c r="F1905" s="1" t="s">
        <v>9</v>
      </c>
      <c r="G1905" s="2" t="s">
        <v>12</v>
      </c>
      <c r="H1905" s="2" t="s">
        <v>42</v>
      </c>
      <c r="I1905" s="1" t="s">
        <v>10</v>
      </c>
      <c r="J1905" s="1">
        <v>135</v>
      </c>
      <c r="K1905" s="89">
        <v>5420</v>
      </c>
      <c r="L1905" s="3">
        <v>5.23</v>
      </c>
      <c r="M1905" s="3">
        <v>21.2</v>
      </c>
      <c r="N1905" s="3" t="s">
        <v>8</v>
      </c>
      <c r="O1905" s="3" t="s">
        <v>8</v>
      </c>
    </row>
    <row r="1906" spans="1:15" x14ac:dyDescent="0.35">
      <c r="A1906" s="5" t="str">
        <f>Loads[[#This Row],[Date]]&amp;Loads[[#This Row],[Product]]</f>
        <v>44268Product1</v>
      </c>
      <c r="B1906" s="5">
        <f>COUNTIF($A$1:A1906,Loads[[#This Row],[Load]])</f>
        <v>8</v>
      </c>
      <c r="C1906" s="3" t="str">
        <f>Loads[[#This Row],[Load]]&amp;Loads[[#This Row],[Count]]</f>
        <v>44268Product18</v>
      </c>
      <c r="D1906" s="90">
        <v>44268</v>
      </c>
      <c r="E1906" s="143">
        <v>0.13125000000000001</v>
      </c>
      <c r="F1906" s="1" t="s">
        <v>9</v>
      </c>
      <c r="G1906" s="2" t="s">
        <v>12</v>
      </c>
      <c r="H1906" s="2" t="s">
        <v>42</v>
      </c>
      <c r="I1906" s="1" t="s">
        <v>11</v>
      </c>
      <c r="J1906" s="1" t="s">
        <v>8</v>
      </c>
      <c r="K1906" s="89">
        <v>12400</v>
      </c>
      <c r="L1906" s="3">
        <v>5.21</v>
      </c>
      <c r="M1906" s="3">
        <v>21.3</v>
      </c>
      <c r="N1906" s="3" t="s">
        <v>8</v>
      </c>
      <c r="O1906" s="3" t="s">
        <v>8</v>
      </c>
    </row>
    <row r="1907" spans="1:15" x14ac:dyDescent="0.35">
      <c r="A1907" s="5" t="str">
        <f>Loads[[#This Row],[Date]]&amp;Loads[[#This Row],[Product]]</f>
        <v>44268Product1</v>
      </c>
      <c r="B1907" s="5">
        <f>COUNTIF($A$1:A1907,Loads[[#This Row],[Load]])</f>
        <v>9</v>
      </c>
      <c r="C1907" s="3" t="str">
        <f>Loads[[#This Row],[Load]]&amp;Loads[[#This Row],[Count]]</f>
        <v>44268Product19</v>
      </c>
      <c r="D1907" s="90">
        <v>44268</v>
      </c>
      <c r="E1907" s="143">
        <v>0.13194444444444445</v>
      </c>
      <c r="F1907" s="1" t="s">
        <v>9</v>
      </c>
      <c r="G1907" s="2" t="s">
        <v>12</v>
      </c>
      <c r="H1907" s="2" t="s">
        <v>42</v>
      </c>
      <c r="I1907" s="1" t="s">
        <v>10</v>
      </c>
      <c r="J1907" s="1">
        <v>350</v>
      </c>
      <c r="K1907" s="89">
        <v>13840</v>
      </c>
      <c r="L1907" s="3">
        <v>9.6300000000000008</v>
      </c>
      <c r="M1907" s="3">
        <v>21.59</v>
      </c>
      <c r="N1907" s="3" t="s">
        <v>8</v>
      </c>
      <c r="O1907" s="3" t="s">
        <v>8</v>
      </c>
    </row>
    <row r="1908" spans="1:15" x14ac:dyDescent="0.35">
      <c r="A1908" s="5" t="str">
        <f>Loads[[#This Row],[Date]]&amp;Loads[[#This Row],[Product]]</f>
        <v>44268Product4</v>
      </c>
      <c r="B1908" s="5">
        <f>COUNTIF($A$1:A1908,Loads[[#This Row],[Load]])</f>
        <v>1</v>
      </c>
      <c r="C1908" s="3" t="str">
        <f>Loads[[#This Row],[Load]]&amp;Loads[[#This Row],[Count]]</f>
        <v>44268Product41</v>
      </c>
      <c r="D1908" s="90">
        <v>44268</v>
      </c>
      <c r="E1908" s="143">
        <v>0.13194444444444445</v>
      </c>
      <c r="F1908" s="1" t="s">
        <v>9</v>
      </c>
      <c r="G1908" s="2" t="s">
        <v>15</v>
      </c>
      <c r="H1908" s="2" t="s">
        <v>42</v>
      </c>
      <c r="I1908" s="1" t="s">
        <v>11</v>
      </c>
      <c r="J1908" s="1" t="s">
        <v>8</v>
      </c>
      <c r="K1908" s="89">
        <v>36960</v>
      </c>
      <c r="L1908" s="3">
        <v>8.02</v>
      </c>
      <c r="M1908" s="3">
        <v>64.12</v>
      </c>
      <c r="N1908" s="3" t="s">
        <v>8</v>
      </c>
      <c r="O1908" s="3" t="s">
        <v>8</v>
      </c>
    </row>
    <row r="1909" spans="1:15" x14ac:dyDescent="0.35">
      <c r="A1909" s="5" t="str">
        <f>Loads[[#This Row],[Date]]&amp;Loads[[#This Row],[Product]]</f>
        <v>44268Product4</v>
      </c>
      <c r="B1909" s="5">
        <f>COUNTIF($A$1:A1909,Loads[[#This Row],[Load]])</f>
        <v>2</v>
      </c>
      <c r="C1909" s="3" t="str">
        <f>Loads[[#This Row],[Load]]&amp;Loads[[#This Row],[Count]]</f>
        <v>44268Product42</v>
      </c>
      <c r="D1909" s="90">
        <v>44268</v>
      </c>
      <c r="E1909" s="143">
        <v>0.13263888888888889</v>
      </c>
      <c r="F1909" s="1" t="s">
        <v>9</v>
      </c>
      <c r="G1909" s="2" t="s">
        <v>15</v>
      </c>
      <c r="H1909" s="2" t="s">
        <v>42</v>
      </c>
      <c r="I1909" s="1" t="s">
        <v>11</v>
      </c>
      <c r="J1909" s="1" t="s">
        <v>8</v>
      </c>
      <c r="K1909" s="89">
        <v>24780</v>
      </c>
      <c r="L1909" s="3">
        <v>11.59</v>
      </c>
      <c r="M1909" s="3">
        <v>63.23</v>
      </c>
      <c r="N1909" s="3" t="s">
        <v>8</v>
      </c>
      <c r="O1909" s="3" t="s">
        <v>8</v>
      </c>
    </row>
    <row r="1910" spans="1:15" x14ac:dyDescent="0.35">
      <c r="A1910" s="5" t="str">
        <f>Loads[[#This Row],[Date]]&amp;Loads[[#This Row],[Product]]</f>
        <v>44268Product4</v>
      </c>
      <c r="B1910" s="5">
        <f>COUNTIF($A$1:A1910,Loads[[#This Row],[Load]])</f>
        <v>3</v>
      </c>
      <c r="C1910" s="3" t="str">
        <f>Loads[[#This Row],[Load]]&amp;Loads[[#This Row],[Count]]</f>
        <v>44268Product43</v>
      </c>
      <c r="D1910" s="90">
        <v>44268</v>
      </c>
      <c r="E1910" s="143">
        <v>0.13333333333333333</v>
      </c>
      <c r="F1910" s="1" t="s">
        <v>9</v>
      </c>
      <c r="G1910" s="2" t="s">
        <v>15</v>
      </c>
      <c r="H1910" s="2" t="s">
        <v>42</v>
      </c>
      <c r="I1910" s="1" t="s">
        <v>11</v>
      </c>
      <c r="J1910" s="1" t="s">
        <v>8</v>
      </c>
      <c r="K1910" s="89">
        <v>24520</v>
      </c>
      <c r="L1910" s="3">
        <v>12.32</v>
      </c>
      <c r="M1910" s="3">
        <v>59.75</v>
      </c>
      <c r="N1910" s="3" t="s">
        <v>8</v>
      </c>
      <c r="O1910" s="3" t="s">
        <v>8</v>
      </c>
    </row>
    <row r="1911" spans="1:15" x14ac:dyDescent="0.35">
      <c r="A1911" s="5" t="str">
        <f>Loads[[#This Row],[Date]]&amp;Loads[[#This Row],[Product]]</f>
        <v>44268Product6</v>
      </c>
      <c r="B1911" s="5">
        <f>COUNTIF($A$1:A1911,Loads[[#This Row],[Load]])</f>
        <v>1</v>
      </c>
      <c r="C1911" s="3" t="str">
        <f>Loads[[#This Row],[Load]]&amp;Loads[[#This Row],[Count]]</f>
        <v>44268Product61</v>
      </c>
      <c r="D1911" s="90">
        <v>44268</v>
      </c>
      <c r="E1911" s="143">
        <v>0.13402777777777777</v>
      </c>
      <c r="F1911" s="1" t="s">
        <v>9</v>
      </c>
      <c r="G1911" s="2" t="s">
        <v>17</v>
      </c>
      <c r="H1911" s="2" t="s">
        <v>42</v>
      </c>
      <c r="I1911" s="1" t="s">
        <v>11</v>
      </c>
      <c r="J1911" s="1" t="s">
        <v>8</v>
      </c>
      <c r="K1911" s="89">
        <v>31560</v>
      </c>
      <c r="L1911" s="3">
        <v>7.0000000000000007E-2</v>
      </c>
      <c r="M1911" s="3" t="s">
        <v>8</v>
      </c>
      <c r="N1911" s="3">
        <v>2.39</v>
      </c>
      <c r="O1911" s="3" t="s">
        <v>8</v>
      </c>
    </row>
    <row r="1912" spans="1:15" x14ac:dyDescent="0.35">
      <c r="A1912" s="5" t="str">
        <f>Loads[[#This Row],[Date]]&amp;Loads[[#This Row],[Product]]</f>
        <v>44268Product8</v>
      </c>
      <c r="B1912" s="5">
        <f>COUNTIF($A$1:A1912,Loads[[#This Row],[Load]])</f>
        <v>1</v>
      </c>
      <c r="C1912" s="3" t="str">
        <f>Loads[[#This Row],[Load]]&amp;Loads[[#This Row],[Count]]</f>
        <v>44268Product81</v>
      </c>
      <c r="D1912" s="90">
        <v>44268</v>
      </c>
      <c r="E1912" s="143">
        <v>0.13472222222222222</v>
      </c>
      <c r="F1912" s="1" t="s">
        <v>9</v>
      </c>
      <c r="G1912" s="2" t="s">
        <v>19</v>
      </c>
      <c r="H1912" s="2" t="s">
        <v>42</v>
      </c>
      <c r="I1912" s="1" t="s">
        <v>11</v>
      </c>
      <c r="J1912" s="1" t="s">
        <v>8</v>
      </c>
      <c r="K1912" s="89">
        <v>22100</v>
      </c>
      <c r="L1912" s="3">
        <v>12.24</v>
      </c>
      <c r="M1912" s="3">
        <v>7.22</v>
      </c>
      <c r="N1912" s="3" t="s">
        <v>8</v>
      </c>
      <c r="O1912" s="3" t="s">
        <v>8</v>
      </c>
    </row>
    <row r="1913" spans="1:15" x14ac:dyDescent="0.35">
      <c r="A1913" s="5" t="str">
        <f>Loads[[#This Row],[Date]]&amp;Loads[[#This Row],[Product]]</f>
        <v>44268Product7</v>
      </c>
      <c r="B1913" s="5">
        <f>COUNTIF($A$1:A1913,Loads[[#This Row],[Load]])</f>
        <v>1</v>
      </c>
      <c r="C1913" s="3" t="str">
        <f>Loads[[#This Row],[Load]]&amp;Loads[[#This Row],[Count]]</f>
        <v>44268Product71</v>
      </c>
      <c r="D1913" s="90">
        <v>44268</v>
      </c>
      <c r="E1913" s="143">
        <v>0.13541666666666666</v>
      </c>
      <c r="F1913" s="1" t="s">
        <v>9</v>
      </c>
      <c r="G1913" s="2" t="s">
        <v>18</v>
      </c>
      <c r="H1913" s="2" t="s">
        <v>42</v>
      </c>
      <c r="I1913" s="1" t="s">
        <v>11</v>
      </c>
      <c r="J1913" s="1" t="s">
        <v>8</v>
      </c>
      <c r="K1913" s="89">
        <v>26740</v>
      </c>
      <c r="L1913" s="3" t="s">
        <v>8</v>
      </c>
      <c r="M1913" s="3">
        <v>21.95</v>
      </c>
      <c r="N1913" s="3" t="s">
        <v>8</v>
      </c>
      <c r="O1913" s="3">
        <v>41.61</v>
      </c>
    </row>
    <row r="1914" spans="1:15" x14ac:dyDescent="0.35">
      <c r="A1914" s="5" t="str">
        <f>Loads[[#This Row],[Date]]&amp;Loads[[#This Row],[Product]]</f>
        <v>44268Product2</v>
      </c>
      <c r="B1914" s="5">
        <f>COUNTIF($A$1:A1914,Loads[[#This Row],[Load]])</f>
        <v>1</v>
      </c>
      <c r="C1914" s="3" t="str">
        <f>Loads[[#This Row],[Load]]&amp;Loads[[#This Row],[Count]]</f>
        <v>44268Product21</v>
      </c>
      <c r="D1914" s="90">
        <v>44268</v>
      </c>
      <c r="E1914" s="143">
        <v>0.26527777777777778</v>
      </c>
      <c r="F1914" s="1" t="s">
        <v>9</v>
      </c>
      <c r="G1914" s="2" t="s">
        <v>13</v>
      </c>
      <c r="H1914" s="2" t="s">
        <v>42</v>
      </c>
      <c r="I1914" s="1" t="s">
        <v>11</v>
      </c>
      <c r="J1914" s="1" t="s">
        <v>8</v>
      </c>
      <c r="K1914" s="89">
        <v>11800</v>
      </c>
      <c r="L1914" s="3">
        <v>60.35</v>
      </c>
      <c r="M1914" s="3">
        <v>10.45</v>
      </c>
      <c r="N1914" s="3" t="s">
        <v>8</v>
      </c>
      <c r="O1914" s="3" t="s">
        <v>8</v>
      </c>
    </row>
    <row r="1915" spans="1:15" x14ac:dyDescent="0.35">
      <c r="A1915" s="5" t="str">
        <f>Loads[[#This Row],[Date]]&amp;Loads[[#This Row],[Product]]</f>
        <v>44268Product2</v>
      </c>
      <c r="B1915" s="5">
        <f>COUNTIF($A$1:A1915,Loads[[#This Row],[Load]])</f>
        <v>2</v>
      </c>
      <c r="C1915" s="3" t="str">
        <f>Loads[[#This Row],[Load]]&amp;Loads[[#This Row],[Count]]</f>
        <v>44268Product22</v>
      </c>
      <c r="D1915" s="90">
        <v>44268</v>
      </c>
      <c r="E1915" s="143">
        <v>0.26527777777777778</v>
      </c>
      <c r="F1915" s="1" t="s">
        <v>9</v>
      </c>
      <c r="G1915" s="2" t="s">
        <v>13</v>
      </c>
      <c r="H1915" s="2" t="s">
        <v>42</v>
      </c>
      <c r="I1915" s="1" t="s">
        <v>11</v>
      </c>
      <c r="J1915" s="1" t="s">
        <v>8</v>
      </c>
      <c r="K1915" s="89">
        <v>12600</v>
      </c>
      <c r="L1915" s="3">
        <v>58.97</v>
      </c>
      <c r="M1915" s="3">
        <v>11.77</v>
      </c>
      <c r="N1915" s="3" t="s">
        <v>8</v>
      </c>
      <c r="O1915" s="3" t="s">
        <v>8</v>
      </c>
    </row>
    <row r="1916" spans="1:15" x14ac:dyDescent="0.35">
      <c r="A1916" s="5" t="str">
        <f>Loads[[#This Row],[Date]]&amp;Loads[[#This Row],[Product]]</f>
        <v>44268Product2</v>
      </c>
      <c r="B1916" s="5">
        <f>COUNTIF($A$1:A1916,Loads[[#This Row],[Load]])</f>
        <v>3</v>
      </c>
      <c r="C1916" s="3" t="str">
        <f>Loads[[#This Row],[Load]]&amp;Loads[[#This Row],[Count]]</f>
        <v>44268Product23</v>
      </c>
      <c r="D1916" s="90">
        <v>44268</v>
      </c>
      <c r="E1916" s="143">
        <v>0.26597222222222222</v>
      </c>
      <c r="F1916" s="1" t="s">
        <v>9</v>
      </c>
      <c r="G1916" s="2" t="s">
        <v>13</v>
      </c>
      <c r="H1916" s="2" t="s">
        <v>42</v>
      </c>
      <c r="I1916" s="1" t="s">
        <v>11</v>
      </c>
      <c r="J1916" s="1" t="s">
        <v>8</v>
      </c>
      <c r="K1916" s="89">
        <v>12320</v>
      </c>
      <c r="L1916" s="3">
        <v>60.43</v>
      </c>
      <c r="M1916" s="3">
        <v>9.8699999999999992</v>
      </c>
      <c r="N1916" s="3" t="s">
        <v>8</v>
      </c>
      <c r="O1916" s="3" t="s">
        <v>8</v>
      </c>
    </row>
    <row r="1917" spans="1:15" x14ac:dyDescent="0.35">
      <c r="A1917" s="5" t="str">
        <f>Loads[[#This Row],[Date]]&amp;Loads[[#This Row],[Product]]</f>
        <v>44268Product2</v>
      </c>
      <c r="B1917" s="5">
        <f>COUNTIF($A$1:A1917,Loads[[#This Row],[Load]])</f>
        <v>4</v>
      </c>
      <c r="C1917" s="3" t="str">
        <f>Loads[[#This Row],[Load]]&amp;Loads[[#This Row],[Count]]</f>
        <v>44268Product24</v>
      </c>
      <c r="D1917" s="90">
        <v>44268</v>
      </c>
      <c r="E1917" s="143">
        <v>0.26666666666666666</v>
      </c>
      <c r="F1917" s="1" t="s">
        <v>9</v>
      </c>
      <c r="G1917" s="2" t="s">
        <v>13</v>
      </c>
      <c r="H1917" s="2" t="s">
        <v>42</v>
      </c>
      <c r="I1917" s="1" t="s">
        <v>11</v>
      </c>
      <c r="J1917" s="1" t="s">
        <v>8</v>
      </c>
      <c r="K1917" s="89">
        <v>17140</v>
      </c>
      <c r="L1917" s="3">
        <v>64.22</v>
      </c>
      <c r="M1917" s="3">
        <v>9.76</v>
      </c>
      <c r="N1917" s="3" t="s">
        <v>8</v>
      </c>
      <c r="O1917" s="3" t="s">
        <v>8</v>
      </c>
    </row>
    <row r="1918" spans="1:15" x14ac:dyDescent="0.35">
      <c r="A1918" s="5" t="str">
        <f>Loads[[#This Row],[Date]]&amp;Loads[[#This Row],[Product]]</f>
        <v>44269Product1</v>
      </c>
      <c r="B1918" s="5">
        <f>COUNTIF($A$1:A1918,Loads[[#This Row],[Load]])</f>
        <v>1</v>
      </c>
      <c r="C1918" s="3" t="str">
        <f>Loads[[#This Row],[Load]]&amp;Loads[[#This Row],[Count]]</f>
        <v>44269Product11</v>
      </c>
      <c r="D1918" s="90">
        <v>44269</v>
      </c>
      <c r="E1918" s="143">
        <v>0.11041666666666666</v>
      </c>
      <c r="F1918" s="1" t="s">
        <v>9</v>
      </c>
      <c r="G1918" s="2" t="s">
        <v>12</v>
      </c>
      <c r="H1918" s="2" t="s">
        <v>42</v>
      </c>
      <c r="I1918" s="1" t="s">
        <v>11</v>
      </c>
      <c r="J1918" s="1" t="s">
        <v>8</v>
      </c>
      <c r="K1918" s="89">
        <v>19000</v>
      </c>
      <c r="L1918" s="3">
        <v>8.86</v>
      </c>
      <c r="M1918" s="3">
        <v>22.55</v>
      </c>
      <c r="N1918" s="3" t="s">
        <v>8</v>
      </c>
      <c r="O1918" s="3" t="s">
        <v>8</v>
      </c>
    </row>
    <row r="1919" spans="1:15" x14ac:dyDescent="0.35">
      <c r="A1919" s="5" t="str">
        <f>Loads[[#This Row],[Date]]&amp;Loads[[#This Row],[Product]]</f>
        <v>44269Product1</v>
      </c>
      <c r="B1919" s="5">
        <f>COUNTIF($A$1:A1919,Loads[[#This Row],[Load]])</f>
        <v>2</v>
      </c>
      <c r="C1919" s="3" t="str">
        <f>Loads[[#This Row],[Load]]&amp;Loads[[#This Row],[Count]]</f>
        <v>44269Product12</v>
      </c>
      <c r="D1919" s="90">
        <v>44269</v>
      </c>
      <c r="E1919" s="143">
        <v>0.1111111111111111</v>
      </c>
      <c r="F1919" s="1" t="s">
        <v>9</v>
      </c>
      <c r="G1919" s="2" t="s">
        <v>12</v>
      </c>
      <c r="H1919" s="2" t="s">
        <v>42</v>
      </c>
      <c r="I1919" s="1" t="s">
        <v>10</v>
      </c>
      <c r="J1919" s="1">
        <v>752</v>
      </c>
      <c r="K1919" s="89">
        <v>29980</v>
      </c>
      <c r="L1919" s="3">
        <v>10.47</v>
      </c>
      <c r="M1919" s="3">
        <v>21.25</v>
      </c>
      <c r="N1919" s="3" t="s">
        <v>8</v>
      </c>
      <c r="O1919" s="3" t="s">
        <v>8</v>
      </c>
    </row>
    <row r="1920" spans="1:15" x14ac:dyDescent="0.35">
      <c r="A1920" s="5" t="str">
        <f>Loads[[#This Row],[Date]]&amp;Loads[[#This Row],[Product]]</f>
        <v>44269Product1</v>
      </c>
      <c r="B1920" s="5">
        <f>COUNTIF($A$1:A1920,Loads[[#This Row],[Load]])</f>
        <v>3</v>
      </c>
      <c r="C1920" s="3" t="str">
        <f>Loads[[#This Row],[Load]]&amp;Loads[[#This Row],[Count]]</f>
        <v>44269Product13</v>
      </c>
      <c r="D1920" s="90">
        <v>44269</v>
      </c>
      <c r="E1920" s="143">
        <v>0.11180555555555556</v>
      </c>
      <c r="F1920" s="1" t="s">
        <v>9</v>
      </c>
      <c r="G1920" s="2" t="s">
        <v>12</v>
      </c>
      <c r="H1920" s="2" t="s">
        <v>42</v>
      </c>
      <c r="I1920" s="1" t="s">
        <v>11</v>
      </c>
      <c r="J1920" s="1" t="s">
        <v>8</v>
      </c>
      <c r="K1920" s="89">
        <v>18120</v>
      </c>
      <c r="L1920" s="3">
        <v>8.8800000000000008</v>
      </c>
      <c r="M1920" s="3">
        <v>22.47</v>
      </c>
      <c r="N1920" s="3" t="s">
        <v>8</v>
      </c>
      <c r="O1920" s="3" t="s">
        <v>8</v>
      </c>
    </row>
    <row r="1921" spans="1:15" x14ac:dyDescent="0.35">
      <c r="A1921" s="5" t="str">
        <f>Loads[[#This Row],[Date]]&amp;Loads[[#This Row],[Product]]</f>
        <v>44269Product1</v>
      </c>
      <c r="B1921" s="5">
        <f>COUNTIF($A$1:A1921,Loads[[#This Row],[Load]])</f>
        <v>4</v>
      </c>
      <c r="C1921" s="3" t="str">
        <f>Loads[[#This Row],[Load]]&amp;Loads[[#This Row],[Count]]</f>
        <v>44269Product14</v>
      </c>
      <c r="D1921" s="90">
        <v>44269</v>
      </c>
      <c r="E1921" s="143">
        <v>0.1125</v>
      </c>
      <c r="F1921" s="1" t="s">
        <v>9</v>
      </c>
      <c r="G1921" s="2" t="s">
        <v>12</v>
      </c>
      <c r="H1921" s="2" t="s">
        <v>42</v>
      </c>
      <c r="I1921" s="1" t="s">
        <v>10</v>
      </c>
      <c r="J1921" s="1">
        <v>620</v>
      </c>
      <c r="K1921" s="89">
        <v>24740</v>
      </c>
      <c r="L1921" s="3">
        <v>8.9</v>
      </c>
      <c r="M1921" s="3">
        <v>22.25</v>
      </c>
      <c r="N1921" s="3" t="s">
        <v>8</v>
      </c>
      <c r="O1921" s="3" t="s">
        <v>8</v>
      </c>
    </row>
    <row r="1922" spans="1:15" x14ac:dyDescent="0.35">
      <c r="A1922" s="5" t="str">
        <f>Loads[[#This Row],[Date]]&amp;Loads[[#This Row],[Product]]</f>
        <v>44269Product1</v>
      </c>
      <c r="B1922" s="5">
        <f>COUNTIF($A$1:A1922,Loads[[#This Row],[Load]])</f>
        <v>5</v>
      </c>
      <c r="C1922" s="3" t="str">
        <f>Loads[[#This Row],[Load]]&amp;Loads[[#This Row],[Count]]</f>
        <v>44269Product15</v>
      </c>
      <c r="D1922" s="90">
        <v>44269</v>
      </c>
      <c r="E1922" s="143">
        <v>0.11319444444444444</v>
      </c>
      <c r="F1922" s="1" t="s">
        <v>9</v>
      </c>
      <c r="G1922" s="2" t="s">
        <v>12</v>
      </c>
      <c r="H1922" s="2" t="s">
        <v>42</v>
      </c>
      <c r="I1922" s="1" t="s">
        <v>11</v>
      </c>
      <c r="J1922" s="1" t="s">
        <v>8</v>
      </c>
      <c r="K1922" s="89">
        <v>26100</v>
      </c>
      <c r="L1922" s="3">
        <v>8.17</v>
      </c>
      <c r="M1922" s="3">
        <v>21.83</v>
      </c>
      <c r="N1922" s="3" t="s">
        <v>8</v>
      </c>
      <c r="O1922" s="3" t="s">
        <v>8</v>
      </c>
    </row>
    <row r="1923" spans="1:15" x14ac:dyDescent="0.35">
      <c r="A1923" s="5" t="str">
        <f>Loads[[#This Row],[Date]]&amp;Loads[[#This Row],[Product]]</f>
        <v>44269Product1</v>
      </c>
      <c r="B1923" s="5">
        <f>COUNTIF($A$1:A1923,Loads[[#This Row],[Load]])</f>
        <v>6</v>
      </c>
      <c r="C1923" s="3" t="str">
        <f>Loads[[#This Row],[Load]]&amp;Loads[[#This Row],[Count]]</f>
        <v>44269Product16</v>
      </c>
      <c r="D1923" s="90">
        <v>44269</v>
      </c>
      <c r="E1923" s="143">
        <v>0.11388888888888889</v>
      </c>
      <c r="F1923" s="1" t="s">
        <v>9</v>
      </c>
      <c r="G1923" s="2" t="s">
        <v>12</v>
      </c>
      <c r="H1923" s="2" t="s">
        <v>42</v>
      </c>
      <c r="I1923" s="1" t="s">
        <v>11</v>
      </c>
      <c r="J1923" s="1" t="s">
        <v>8</v>
      </c>
      <c r="K1923" s="89">
        <v>19880</v>
      </c>
      <c r="L1923" s="3">
        <v>8.33</v>
      </c>
      <c r="M1923" s="3">
        <v>22.39</v>
      </c>
      <c r="N1923" s="3" t="s">
        <v>8</v>
      </c>
      <c r="O1923" s="3" t="s">
        <v>8</v>
      </c>
    </row>
    <row r="1924" spans="1:15" x14ac:dyDescent="0.35">
      <c r="A1924" s="5" t="str">
        <f>Loads[[#This Row],[Date]]&amp;Loads[[#This Row],[Product]]</f>
        <v>44269Product4</v>
      </c>
      <c r="B1924" s="5">
        <f>COUNTIF($A$1:A1924,Loads[[#This Row],[Load]])</f>
        <v>1</v>
      </c>
      <c r="C1924" s="3" t="str">
        <f>Loads[[#This Row],[Load]]&amp;Loads[[#This Row],[Count]]</f>
        <v>44269Product41</v>
      </c>
      <c r="D1924" s="90">
        <v>44269</v>
      </c>
      <c r="E1924" s="143">
        <v>0.11458333333333333</v>
      </c>
      <c r="F1924" s="1" t="s">
        <v>9</v>
      </c>
      <c r="G1924" s="2" t="s">
        <v>15</v>
      </c>
      <c r="H1924" s="2" t="s">
        <v>42</v>
      </c>
      <c r="I1924" s="1" t="s">
        <v>11</v>
      </c>
      <c r="J1924" s="1" t="s">
        <v>8</v>
      </c>
      <c r="K1924" s="89">
        <v>17580</v>
      </c>
      <c r="L1924" s="3">
        <v>10.56</v>
      </c>
      <c r="M1924" s="3">
        <v>62.13</v>
      </c>
      <c r="N1924" s="3" t="s">
        <v>8</v>
      </c>
      <c r="O1924" s="3" t="s">
        <v>8</v>
      </c>
    </row>
    <row r="1925" spans="1:15" x14ac:dyDescent="0.35">
      <c r="A1925" s="5" t="str">
        <f>Loads[[#This Row],[Date]]&amp;Loads[[#This Row],[Product]]</f>
        <v>44269Product4</v>
      </c>
      <c r="B1925" s="5">
        <f>COUNTIF($A$1:A1925,Loads[[#This Row],[Load]])</f>
        <v>2</v>
      </c>
      <c r="C1925" s="3" t="str">
        <f>Loads[[#This Row],[Load]]&amp;Loads[[#This Row],[Count]]</f>
        <v>44269Product42</v>
      </c>
      <c r="D1925" s="90">
        <v>44269</v>
      </c>
      <c r="E1925" s="143">
        <v>0.11527777777777777</v>
      </c>
      <c r="F1925" s="1" t="s">
        <v>9</v>
      </c>
      <c r="G1925" s="2" t="s">
        <v>15</v>
      </c>
      <c r="H1925" s="2" t="s">
        <v>42</v>
      </c>
      <c r="I1925" s="1" t="s">
        <v>11</v>
      </c>
      <c r="J1925" s="1" t="s">
        <v>8</v>
      </c>
      <c r="K1925" s="89">
        <v>31080</v>
      </c>
      <c r="L1925" s="3">
        <v>6.73</v>
      </c>
      <c r="M1925" s="3">
        <v>64.3</v>
      </c>
      <c r="N1925" s="3" t="s">
        <v>8</v>
      </c>
      <c r="O1925" s="3" t="s">
        <v>8</v>
      </c>
    </row>
    <row r="1926" spans="1:15" x14ac:dyDescent="0.35">
      <c r="A1926" s="5" t="str">
        <f>Loads[[#This Row],[Date]]&amp;Loads[[#This Row],[Product]]</f>
        <v>44269Product2</v>
      </c>
      <c r="B1926" s="5">
        <f>COUNTIF($A$1:A1926,Loads[[#This Row],[Load]])</f>
        <v>1</v>
      </c>
      <c r="C1926" s="3" t="str">
        <f>Loads[[#This Row],[Load]]&amp;Loads[[#This Row],[Count]]</f>
        <v>44269Product21</v>
      </c>
      <c r="D1926" s="90">
        <v>44269</v>
      </c>
      <c r="E1926" s="143">
        <v>0.12083333333333333</v>
      </c>
      <c r="F1926" s="1" t="s">
        <v>9</v>
      </c>
      <c r="G1926" s="2" t="s">
        <v>13</v>
      </c>
      <c r="H1926" s="2" t="s">
        <v>42</v>
      </c>
      <c r="I1926" s="1" t="s">
        <v>11</v>
      </c>
      <c r="J1926" s="1" t="s">
        <v>8</v>
      </c>
      <c r="K1926" s="89">
        <v>11480</v>
      </c>
      <c r="L1926" s="3">
        <v>61.63</v>
      </c>
      <c r="M1926" s="3">
        <v>10.73</v>
      </c>
      <c r="N1926" s="3" t="s">
        <v>8</v>
      </c>
      <c r="O1926" s="3" t="s">
        <v>8</v>
      </c>
    </row>
    <row r="1927" spans="1:15" x14ac:dyDescent="0.35">
      <c r="A1927" s="5" t="str">
        <f>Loads[[#This Row],[Date]]&amp;Loads[[#This Row],[Product]]</f>
        <v>44269Product2</v>
      </c>
      <c r="B1927" s="5">
        <f>COUNTIF($A$1:A1927,Loads[[#This Row],[Load]])</f>
        <v>2</v>
      </c>
      <c r="C1927" s="3" t="str">
        <f>Loads[[#This Row],[Load]]&amp;Loads[[#This Row],[Count]]</f>
        <v>44269Product22</v>
      </c>
      <c r="D1927" s="90">
        <v>44269</v>
      </c>
      <c r="E1927" s="143">
        <v>0.12152777777777778</v>
      </c>
      <c r="F1927" s="1" t="s">
        <v>9</v>
      </c>
      <c r="G1927" s="2" t="s">
        <v>13</v>
      </c>
      <c r="H1927" s="2" t="s">
        <v>42</v>
      </c>
      <c r="I1927" s="1" t="s">
        <v>11</v>
      </c>
      <c r="J1927" s="1" t="s">
        <v>8</v>
      </c>
      <c r="K1927" s="89">
        <v>10160</v>
      </c>
      <c r="L1927" s="3">
        <v>59.32</v>
      </c>
      <c r="M1927" s="3">
        <v>11.71</v>
      </c>
      <c r="N1927" s="3" t="s">
        <v>8</v>
      </c>
      <c r="O1927" s="3" t="s">
        <v>8</v>
      </c>
    </row>
    <row r="1928" spans="1:15" x14ac:dyDescent="0.35">
      <c r="A1928" s="5" t="str">
        <f>Loads[[#This Row],[Date]]&amp;Loads[[#This Row],[Product]]</f>
        <v>44269Product2</v>
      </c>
      <c r="B1928" s="5">
        <f>COUNTIF($A$1:A1928,Loads[[#This Row],[Load]])</f>
        <v>3</v>
      </c>
      <c r="C1928" s="3" t="str">
        <f>Loads[[#This Row],[Load]]&amp;Loads[[#This Row],[Count]]</f>
        <v>44269Product23</v>
      </c>
      <c r="D1928" s="90">
        <v>44269</v>
      </c>
      <c r="E1928" s="143">
        <v>0.12152777777777778</v>
      </c>
      <c r="F1928" s="1" t="s">
        <v>9</v>
      </c>
      <c r="G1928" s="2" t="s">
        <v>13</v>
      </c>
      <c r="H1928" s="2" t="s">
        <v>42</v>
      </c>
      <c r="I1928" s="1" t="s">
        <v>11</v>
      </c>
      <c r="J1928" s="1" t="s">
        <v>8</v>
      </c>
      <c r="K1928" s="89">
        <v>10420</v>
      </c>
      <c r="L1928" s="3">
        <v>66.7</v>
      </c>
      <c r="M1928" s="3">
        <v>9.5500000000000007</v>
      </c>
      <c r="N1928" s="3" t="s">
        <v>8</v>
      </c>
      <c r="O1928" s="3" t="s">
        <v>8</v>
      </c>
    </row>
    <row r="1929" spans="1:15" x14ac:dyDescent="0.35">
      <c r="A1929" s="5" t="str">
        <f>Loads[[#This Row],[Date]]&amp;Loads[[#This Row],[Product]]</f>
        <v>44269Product2</v>
      </c>
      <c r="B1929" s="5">
        <f>COUNTIF($A$1:A1929,Loads[[#This Row],[Load]])</f>
        <v>4</v>
      </c>
      <c r="C1929" s="3" t="str">
        <f>Loads[[#This Row],[Load]]&amp;Loads[[#This Row],[Count]]</f>
        <v>44269Product24</v>
      </c>
      <c r="D1929" s="90">
        <v>44269</v>
      </c>
      <c r="E1929" s="143">
        <v>0.12222222222222223</v>
      </c>
      <c r="F1929" s="1" t="s">
        <v>9</v>
      </c>
      <c r="G1929" s="2" t="s">
        <v>13</v>
      </c>
      <c r="H1929" s="2" t="s">
        <v>42</v>
      </c>
      <c r="I1929" s="1" t="s">
        <v>11</v>
      </c>
      <c r="J1929" s="1" t="s">
        <v>8</v>
      </c>
      <c r="K1929" s="89">
        <v>11980</v>
      </c>
      <c r="L1929" s="3">
        <v>59.69</v>
      </c>
      <c r="M1929" s="3">
        <v>10.9</v>
      </c>
      <c r="N1929" s="3" t="s">
        <v>8</v>
      </c>
      <c r="O1929" s="3" t="s">
        <v>8</v>
      </c>
    </row>
    <row r="1930" spans="1:15" x14ac:dyDescent="0.35">
      <c r="A1930" s="5" t="str">
        <f>Loads[[#This Row],[Date]]&amp;Loads[[#This Row],[Product]]</f>
        <v>44269Product2</v>
      </c>
      <c r="B1930" s="5">
        <f>COUNTIF($A$1:A1930,Loads[[#This Row],[Load]])</f>
        <v>5</v>
      </c>
      <c r="C1930" s="3" t="str">
        <f>Loads[[#This Row],[Load]]&amp;Loads[[#This Row],[Count]]</f>
        <v>44269Product25</v>
      </c>
      <c r="D1930" s="90">
        <v>44269</v>
      </c>
      <c r="E1930" s="143">
        <v>0.12222222222222223</v>
      </c>
      <c r="F1930" s="1" t="s">
        <v>9</v>
      </c>
      <c r="G1930" s="2" t="s">
        <v>13</v>
      </c>
      <c r="H1930" s="2" t="s">
        <v>42</v>
      </c>
      <c r="I1930" s="1" t="s">
        <v>11</v>
      </c>
      <c r="J1930" s="1" t="s">
        <v>8</v>
      </c>
      <c r="K1930" s="89">
        <v>10940</v>
      </c>
      <c r="L1930" s="3">
        <v>60.58</v>
      </c>
      <c r="M1930" s="3">
        <v>9.0299999999999994</v>
      </c>
      <c r="N1930" s="3" t="s">
        <v>8</v>
      </c>
      <c r="O1930" s="3" t="s">
        <v>8</v>
      </c>
    </row>
    <row r="1931" spans="1:15" x14ac:dyDescent="0.35">
      <c r="A1931" s="5" t="str">
        <f>Loads[[#This Row],[Date]]&amp;Loads[[#This Row],[Product]]</f>
        <v>44270Product1</v>
      </c>
      <c r="B1931" s="5">
        <f>COUNTIF($A$1:A1931,Loads[[#This Row],[Load]])</f>
        <v>1</v>
      </c>
      <c r="C1931" s="3" t="str">
        <f>Loads[[#This Row],[Load]]&amp;Loads[[#This Row],[Count]]</f>
        <v>44270Product11</v>
      </c>
      <c r="D1931" s="90">
        <v>44270</v>
      </c>
      <c r="E1931" s="143">
        <v>0.1125</v>
      </c>
      <c r="F1931" s="1" t="s">
        <v>9</v>
      </c>
      <c r="G1931" s="2" t="s">
        <v>12</v>
      </c>
      <c r="H1931" s="2" t="s">
        <v>42</v>
      </c>
      <c r="I1931" s="1" t="s">
        <v>10</v>
      </c>
      <c r="J1931" s="1">
        <v>765</v>
      </c>
      <c r="K1931" s="89">
        <v>30340</v>
      </c>
      <c r="L1931" s="3">
        <v>10.52</v>
      </c>
      <c r="M1931" s="3">
        <v>22.01</v>
      </c>
      <c r="N1931" s="3" t="s">
        <v>8</v>
      </c>
      <c r="O1931" s="3" t="s">
        <v>8</v>
      </c>
    </row>
    <row r="1932" spans="1:15" x14ac:dyDescent="0.35">
      <c r="A1932" s="5" t="str">
        <f>Loads[[#This Row],[Date]]&amp;Loads[[#This Row],[Product]]</f>
        <v>44270Product1</v>
      </c>
      <c r="B1932" s="5">
        <f>COUNTIF($A$1:A1932,Loads[[#This Row],[Load]])</f>
        <v>2</v>
      </c>
      <c r="C1932" s="3" t="str">
        <f>Loads[[#This Row],[Load]]&amp;Loads[[#This Row],[Count]]</f>
        <v>44270Product12</v>
      </c>
      <c r="D1932" s="90">
        <v>44270</v>
      </c>
      <c r="E1932" s="143">
        <v>0.11388888888888889</v>
      </c>
      <c r="F1932" s="1" t="s">
        <v>9</v>
      </c>
      <c r="G1932" s="2" t="s">
        <v>12</v>
      </c>
      <c r="H1932" s="2" t="s">
        <v>42</v>
      </c>
      <c r="I1932" s="1" t="s">
        <v>11</v>
      </c>
      <c r="J1932" s="1" t="s">
        <v>8</v>
      </c>
      <c r="K1932" s="89">
        <v>24740</v>
      </c>
      <c r="L1932" s="3">
        <v>8.43</v>
      </c>
      <c r="M1932" s="3">
        <v>21.02</v>
      </c>
      <c r="N1932" s="3" t="s">
        <v>8</v>
      </c>
      <c r="O1932" s="3" t="s">
        <v>8</v>
      </c>
    </row>
    <row r="1933" spans="1:15" x14ac:dyDescent="0.35">
      <c r="A1933" s="5" t="str">
        <f>Loads[[#This Row],[Date]]&amp;Loads[[#This Row],[Product]]</f>
        <v>44270Product1</v>
      </c>
      <c r="B1933" s="5">
        <f>COUNTIF($A$1:A1933,Loads[[#This Row],[Load]])</f>
        <v>3</v>
      </c>
      <c r="C1933" s="3" t="str">
        <f>Loads[[#This Row],[Load]]&amp;Loads[[#This Row],[Count]]</f>
        <v>44270Product13</v>
      </c>
      <c r="D1933" s="90">
        <v>44270</v>
      </c>
      <c r="E1933" s="143">
        <v>0.11388888888888889</v>
      </c>
      <c r="F1933" s="1" t="s">
        <v>9</v>
      </c>
      <c r="G1933" s="2" t="s">
        <v>12</v>
      </c>
      <c r="H1933" s="2" t="s">
        <v>42</v>
      </c>
      <c r="I1933" s="1" t="s">
        <v>10</v>
      </c>
      <c r="J1933" s="1">
        <v>770</v>
      </c>
      <c r="K1933" s="89">
        <v>30660</v>
      </c>
      <c r="L1933" s="3">
        <v>9.14</v>
      </c>
      <c r="M1933" s="3">
        <v>20.66</v>
      </c>
      <c r="N1933" s="3" t="s">
        <v>8</v>
      </c>
      <c r="O1933" s="3" t="s">
        <v>8</v>
      </c>
    </row>
    <row r="1934" spans="1:15" x14ac:dyDescent="0.35">
      <c r="A1934" s="5" t="str">
        <f>Loads[[#This Row],[Date]]&amp;Loads[[#This Row],[Product]]</f>
        <v>44270Product1</v>
      </c>
      <c r="B1934" s="5">
        <f>COUNTIF($A$1:A1934,Loads[[#This Row],[Load]])</f>
        <v>4</v>
      </c>
      <c r="C1934" s="3" t="str">
        <f>Loads[[#This Row],[Load]]&amp;Loads[[#This Row],[Count]]</f>
        <v>44270Product14</v>
      </c>
      <c r="D1934" s="90">
        <v>44270</v>
      </c>
      <c r="E1934" s="143">
        <v>0.11527777777777777</v>
      </c>
      <c r="F1934" s="1" t="s">
        <v>9</v>
      </c>
      <c r="G1934" s="2" t="s">
        <v>12</v>
      </c>
      <c r="H1934" s="2" t="s">
        <v>42</v>
      </c>
      <c r="I1934" s="1" t="s">
        <v>10</v>
      </c>
      <c r="J1934" s="1">
        <v>50</v>
      </c>
      <c r="K1934" s="89">
        <v>1980</v>
      </c>
      <c r="L1934" s="3">
        <v>8.51</v>
      </c>
      <c r="M1934" s="3">
        <v>21.3</v>
      </c>
      <c r="N1934" s="3" t="s">
        <v>8</v>
      </c>
      <c r="O1934" s="3" t="s">
        <v>8</v>
      </c>
    </row>
    <row r="1935" spans="1:15" x14ac:dyDescent="0.35">
      <c r="A1935" s="5" t="str">
        <f>Loads[[#This Row],[Date]]&amp;Loads[[#This Row],[Product]]</f>
        <v>44270Product1</v>
      </c>
      <c r="B1935" s="5">
        <f>COUNTIF($A$1:A1935,Loads[[#This Row],[Load]])</f>
        <v>5</v>
      </c>
      <c r="C1935" s="3" t="str">
        <f>Loads[[#This Row],[Load]]&amp;Loads[[#This Row],[Count]]</f>
        <v>44270Product15</v>
      </c>
      <c r="D1935" s="90">
        <v>44270</v>
      </c>
      <c r="E1935" s="143">
        <v>0.11597222222222221</v>
      </c>
      <c r="F1935" s="1" t="s">
        <v>9</v>
      </c>
      <c r="G1935" s="2" t="s">
        <v>12</v>
      </c>
      <c r="H1935" s="2" t="s">
        <v>42</v>
      </c>
      <c r="I1935" s="1" t="s">
        <v>11</v>
      </c>
      <c r="J1935" s="1" t="s">
        <v>8</v>
      </c>
      <c r="K1935" s="89">
        <v>26960</v>
      </c>
      <c r="L1935" s="3">
        <v>10.44</v>
      </c>
      <c r="M1935" s="3">
        <v>21.8</v>
      </c>
      <c r="N1935" s="3" t="s">
        <v>8</v>
      </c>
      <c r="O1935" s="3" t="s">
        <v>8</v>
      </c>
    </row>
    <row r="1936" spans="1:15" x14ac:dyDescent="0.35">
      <c r="A1936" s="5" t="str">
        <f>Loads[[#This Row],[Date]]&amp;Loads[[#This Row],[Product]]</f>
        <v>44270Product1</v>
      </c>
      <c r="B1936" s="5">
        <f>COUNTIF($A$1:A1936,Loads[[#This Row],[Load]])</f>
        <v>6</v>
      </c>
      <c r="C1936" s="3" t="str">
        <f>Loads[[#This Row],[Load]]&amp;Loads[[#This Row],[Count]]</f>
        <v>44270Product16</v>
      </c>
      <c r="D1936" s="90">
        <v>44270</v>
      </c>
      <c r="E1936" s="143">
        <v>0.11597222222222221</v>
      </c>
      <c r="F1936" s="1" t="s">
        <v>9</v>
      </c>
      <c r="G1936" s="2" t="s">
        <v>12</v>
      </c>
      <c r="H1936" s="2" t="s">
        <v>42</v>
      </c>
      <c r="I1936" s="1" t="s">
        <v>10</v>
      </c>
      <c r="J1936" s="1">
        <v>425</v>
      </c>
      <c r="K1936" s="89">
        <v>16840</v>
      </c>
      <c r="L1936" s="3">
        <v>9.4700000000000006</v>
      </c>
      <c r="M1936" s="3">
        <v>21.32</v>
      </c>
      <c r="N1936" s="3" t="s">
        <v>8</v>
      </c>
      <c r="O1936" s="3" t="s">
        <v>8</v>
      </c>
    </row>
    <row r="1937" spans="1:15" x14ac:dyDescent="0.35">
      <c r="A1937" s="5" t="str">
        <f>Loads[[#This Row],[Date]]&amp;Loads[[#This Row],[Product]]</f>
        <v>44270Product1</v>
      </c>
      <c r="B1937" s="5">
        <f>COUNTIF($A$1:A1937,Loads[[#This Row],[Load]])</f>
        <v>7</v>
      </c>
      <c r="C1937" s="3" t="str">
        <f>Loads[[#This Row],[Load]]&amp;Loads[[#This Row],[Count]]</f>
        <v>44270Product17</v>
      </c>
      <c r="D1937" s="90">
        <v>44270</v>
      </c>
      <c r="E1937" s="143">
        <v>0.11666666666666665</v>
      </c>
      <c r="F1937" s="1" t="s">
        <v>9</v>
      </c>
      <c r="G1937" s="2" t="s">
        <v>12</v>
      </c>
      <c r="H1937" s="2" t="s">
        <v>42</v>
      </c>
      <c r="I1937" s="1" t="s">
        <v>10</v>
      </c>
      <c r="J1937" s="1">
        <v>500</v>
      </c>
      <c r="K1937" s="89">
        <v>19740</v>
      </c>
      <c r="L1937" s="3">
        <v>9.75</v>
      </c>
      <c r="M1937" s="3">
        <v>21.85</v>
      </c>
      <c r="N1937" s="3" t="s">
        <v>8</v>
      </c>
      <c r="O1937" s="3" t="s">
        <v>8</v>
      </c>
    </row>
    <row r="1938" spans="1:15" x14ac:dyDescent="0.35">
      <c r="A1938" s="5" t="str">
        <f>Loads[[#This Row],[Date]]&amp;Loads[[#This Row],[Product]]</f>
        <v>44270Product1</v>
      </c>
      <c r="B1938" s="5">
        <f>COUNTIF($A$1:A1938,Loads[[#This Row],[Load]])</f>
        <v>8</v>
      </c>
      <c r="C1938" s="3" t="str">
        <f>Loads[[#This Row],[Load]]&amp;Loads[[#This Row],[Count]]</f>
        <v>44270Product18</v>
      </c>
      <c r="D1938" s="90">
        <v>44270</v>
      </c>
      <c r="E1938" s="143">
        <v>0.11666666666666665</v>
      </c>
      <c r="F1938" s="1" t="s">
        <v>9</v>
      </c>
      <c r="G1938" s="2" t="s">
        <v>12</v>
      </c>
      <c r="H1938" s="2" t="s">
        <v>42</v>
      </c>
      <c r="I1938" s="1" t="s">
        <v>10</v>
      </c>
      <c r="J1938" s="1">
        <v>795</v>
      </c>
      <c r="K1938" s="89">
        <v>31620</v>
      </c>
      <c r="L1938" s="3">
        <v>6.12</v>
      </c>
      <c r="M1938" s="3">
        <v>23.33</v>
      </c>
      <c r="N1938" s="3" t="s">
        <v>8</v>
      </c>
      <c r="O1938" s="3" t="s">
        <v>8</v>
      </c>
    </row>
    <row r="1939" spans="1:15" x14ac:dyDescent="0.35">
      <c r="A1939" s="5" t="str">
        <f>Loads[[#This Row],[Date]]&amp;Loads[[#This Row],[Product]]</f>
        <v>44270Product1</v>
      </c>
      <c r="B1939" s="5">
        <f>COUNTIF($A$1:A1939,Loads[[#This Row],[Load]])</f>
        <v>9</v>
      </c>
      <c r="C1939" s="3" t="str">
        <f>Loads[[#This Row],[Load]]&amp;Loads[[#This Row],[Count]]</f>
        <v>44270Product19</v>
      </c>
      <c r="D1939" s="90">
        <v>44270</v>
      </c>
      <c r="E1939" s="143">
        <v>0.1173611111111111</v>
      </c>
      <c r="F1939" s="1" t="s">
        <v>9</v>
      </c>
      <c r="G1939" s="2" t="s">
        <v>12</v>
      </c>
      <c r="H1939" s="2" t="s">
        <v>42</v>
      </c>
      <c r="I1939" s="1" t="s">
        <v>11</v>
      </c>
      <c r="J1939" s="1" t="s">
        <v>8</v>
      </c>
      <c r="K1939" s="89">
        <v>20220</v>
      </c>
      <c r="L1939" s="3">
        <v>7.58</v>
      </c>
      <c r="M1939" s="3">
        <v>22.01</v>
      </c>
      <c r="N1939" s="3" t="s">
        <v>8</v>
      </c>
      <c r="O1939" s="3" t="s">
        <v>8</v>
      </c>
    </row>
    <row r="1940" spans="1:15" x14ac:dyDescent="0.35">
      <c r="A1940" s="5" t="str">
        <f>Loads[[#This Row],[Date]]&amp;Loads[[#This Row],[Product]]</f>
        <v>44270Product1</v>
      </c>
      <c r="B1940" s="5">
        <f>COUNTIF($A$1:A1940,Loads[[#This Row],[Load]])</f>
        <v>10</v>
      </c>
      <c r="C1940" s="3" t="str">
        <f>Loads[[#This Row],[Load]]&amp;Loads[[#This Row],[Count]]</f>
        <v>44270Product110</v>
      </c>
      <c r="D1940" s="90">
        <v>44270</v>
      </c>
      <c r="E1940" s="143">
        <v>0.11805555555555557</v>
      </c>
      <c r="F1940" s="1" t="s">
        <v>9</v>
      </c>
      <c r="G1940" s="2" t="s">
        <v>12</v>
      </c>
      <c r="H1940" s="2" t="s">
        <v>42</v>
      </c>
      <c r="I1940" s="1" t="s">
        <v>10</v>
      </c>
      <c r="J1940" s="1">
        <v>280</v>
      </c>
      <c r="K1940" s="89">
        <v>11120</v>
      </c>
      <c r="L1940" s="3">
        <v>5.6</v>
      </c>
      <c r="M1940" s="3">
        <v>23.36</v>
      </c>
      <c r="N1940" s="3" t="s">
        <v>8</v>
      </c>
      <c r="O1940" s="3" t="s">
        <v>8</v>
      </c>
    </row>
    <row r="1941" spans="1:15" x14ac:dyDescent="0.35">
      <c r="A1941" s="5" t="str">
        <f>Loads[[#This Row],[Date]]&amp;Loads[[#This Row],[Product]]</f>
        <v>44270Product1</v>
      </c>
      <c r="B1941" s="5">
        <f>COUNTIF($A$1:A1941,Loads[[#This Row],[Load]])</f>
        <v>11</v>
      </c>
      <c r="C1941" s="3" t="str">
        <f>Loads[[#This Row],[Load]]&amp;Loads[[#This Row],[Count]]</f>
        <v>44270Product111</v>
      </c>
      <c r="D1941" s="90">
        <v>44270</v>
      </c>
      <c r="E1941" s="143">
        <v>0.11875000000000001</v>
      </c>
      <c r="F1941" s="1" t="s">
        <v>9</v>
      </c>
      <c r="G1941" s="2" t="s">
        <v>12</v>
      </c>
      <c r="H1941" s="2" t="s">
        <v>42</v>
      </c>
      <c r="I1941" s="1" t="s">
        <v>10</v>
      </c>
      <c r="J1941" s="1">
        <v>400</v>
      </c>
      <c r="K1941" s="89">
        <v>15880</v>
      </c>
      <c r="L1941" s="3">
        <v>6.09</v>
      </c>
      <c r="M1941" s="3">
        <v>23.65</v>
      </c>
      <c r="N1941" s="3" t="s">
        <v>8</v>
      </c>
      <c r="O1941" s="3" t="s">
        <v>8</v>
      </c>
    </row>
    <row r="1942" spans="1:15" x14ac:dyDescent="0.35">
      <c r="A1942" s="5" t="str">
        <f>Loads[[#This Row],[Date]]&amp;Loads[[#This Row],[Product]]</f>
        <v>44270Product4</v>
      </c>
      <c r="B1942" s="5">
        <f>COUNTIF($A$1:A1942,Loads[[#This Row],[Load]])</f>
        <v>1</v>
      </c>
      <c r="C1942" s="3" t="str">
        <f>Loads[[#This Row],[Load]]&amp;Loads[[#This Row],[Count]]</f>
        <v>44270Product41</v>
      </c>
      <c r="D1942" s="90">
        <v>44270</v>
      </c>
      <c r="E1942" s="143">
        <v>0.11875000000000001</v>
      </c>
      <c r="F1942" s="1" t="s">
        <v>9</v>
      </c>
      <c r="G1942" s="2" t="s">
        <v>15</v>
      </c>
      <c r="H1942" s="2" t="s">
        <v>42</v>
      </c>
      <c r="I1942" s="1" t="s">
        <v>11</v>
      </c>
      <c r="J1942" s="1" t="s">
        <v>8</v>
      </c>
      <c r="K1942" s="89">
        <v>31400</v>
      </c>
      <c r="L1942" s="3">
        <v>8.36</v>
      </c>
      <c r="M1942" s="3">
        <v>66.08</v>
      </c>
      <c r="N1942" s="3" t="s">
        <v>8</v>
      </c>
      <c r="O1942" s="3" t="s">
        <v>8</v>
      </c>
    </row>
    <row r="1943" spans="1:15" x14ac:dyDescent="0.35">
      <c r="A1943" s="5" t="str">
        <f>Loads[[#This Row],[Date]]&amp;Loads[[#This Row],[Product]]</f>
        <v>44270Product4</v>
      </c>
      <c r="B1943" s="5">
        <f>COUNTIF($A$1:A1943,Loads[[#This Row],[Load]])</f>
        <v>2</v>
      </c>
      <c r="C1943" s="3" t="str">
        <f>Loads[[#This Row],[Load]]&amp;Loads[[#This Row],[Count]]</f>
        <v>44270Product42</v>
      </c>
      <c r="D1943" s="90">
        <v>44270</v>
      </c>
      <c r="E1943" s="143">
        <v>0.11944444444444445</v>
      </c>
      <c r="F1943" s="1" t="s">
        <v>9</v>
      </c>
      <c r="G1943" s="2" t="s">
        <v>15</v>
      </c>
      <c r="H1943" s="2" t="s">
        <v>42</v>
      </c>
      <c r="I1943" s="1" t="s">
        <v>11</v>
      </c>
      <c r="J1943" s="1" t="s">
        <v>8</v>
      </c>
      <c r="K1943" s="89">
        <v>35660</v>
      </c>
      <c r="L1943" s="3">
        <v>7.01</v>
      </c>
      <c r="M1943" s="3">
        <v>66.239999999999995</v>
      </c>
      <c r="N1943" s="3" t="s">
        <v>8</v>
      </c>
      <c r="O1943" s="3" t="s">
        <v>8</v>
      </c>
    </row>
    <row r="1944" spans="1:15" x14ac:dyDescent="0.35">
      <c r="A1944" s="5" t="str">
        <f>Loads[[#This Row],[Date]]&amp;Loads[[#This Row],[Product]]</f>
        <v>44270Product6</v>
      </c>
      <c r="B1944" s="5">
        <f>COUNTIF($A$1:A1944,Loads[[#This Row],[Load]])</f>
        <v>1</v>
      </c>
      <c r="C1944" s="3" t="str">
        <f>Loads[[#This Row],[Load]]&amp;Loads[[#This Row],[Count]]</f>
        <v>44270Product61</v>
      </c>
      <c r="D1944" s="90">
        <v>44270</v>
      </c>
      <c r="E1944" s="143">
        <v>0.12013888888888889</v>
      </c>
      <c r="F1944" s="1" t="s">
        <v>9</v>
      </c>
      <c r="G1944" s="2" t="s">
        <v>17</v>
      </c>
      <c r="H1944" s="2" t="s">
        <v>42</v>
      </c>
      <c r="I1944" s="1" t="s">
        <v>11</v>
      </c>
      <c r="J1944" s="1" t="s">
        <v>8</v>
      </c>
      <c r="K1944" s="89">
        <v>34980</v>
      </c>
      <c r="L1944" s="3">
        <v>0.08</v>
      </c>
      <c r="M1944" s="3" t="s">
        <v>8</v>
      </c>
      <c r="N1944" s="3">
        <v>2.1</v>
      </c>
      <c r="O1944" s="3" t="s">
        <v>8</v>
      </c>
    </row>
    <row r="1945" spans="1:15" x14ac:dyDescent="0.35">
      <c r="A1945" s="5" t="str">
        <f>Loads[[#This Row],[Date]]&amp;Loads[[#This Row],[Product]]</f>
        <v>44270Product8</v>
      </c>
      <c r="B1945" s="5">
        <f>COUNTIF($A$1:A1945,Loads[[#This Row],[Load]])</f>
        <v>1</v>
      </c>
      <c r="C1945" s="3" t="str">
        <f>Loads[[#This Row],[Load]]&amp;Loads[[#This Row],[Count]]</f>
        <v>44270Product81</v>
      </c>
      <c r="D1945" s="90">
        <v>44270</v>
      </c>
      <c r="E1945" s="143">
        <v>0.12708333333333333</v>
      </c>
      <c r="F1945" s="1" t="s">
        <v>9</v>
      </c>
      <c r="G1945" s="2" t="s">
        <v>19</v>
      </c>
      <c r="H1945" s="2" t="s">
        <v>42</v>
      </c>
      <c r="I1945" s="1" t="s">
        <v>11</v>
      </c>
      <c r="J1945" s="1" t="s">
        <v>8</v>
      </c>
      <c r="K1945" s="89">
        <v>11480</v>
      </c>
      <c r="L1945" s="3">
        <v>10.5</v>
      </c>
      <c r="M1945" s="3">
        <v>7.01</v>
      </c>
      <c r="N1945" s="3" t="s">
        <v>8</v>
      </c>
      <c r="O1945" s="3" t="s">
        <v>8</v>
      </c>
    </row>
    <row r="1946" spans="1:15" x14ac:dyDescent="0.35">
      <c r="A1946" s="5" t="str">
        <f>Loads[[#This Row],[Date]]&amp;Loads[[#This Row],[Product]]</f>
        <v>44270Product7</v>
      </c>
      <c r="B1946" s="5">
        <f>COUNTIF($A$1:A1946,Loads[[#This Row],[Load]])</f>
        <v>1</v>
      </c>
      <c r="C1946" s="3" t="str">
        <f>Loads[[#This Row],[Load]]&amp;Loads[[#This Row],[Count]]</f>
        <v>44270Product71</v>
      </c>
      <c r="D1946" s="90">
        <v>44270</v>
      </c>
      <c r="E1946" s="143">
        <v>0.12916666666666668</v>
      </c>
      <c r="F1946" s="1" t="s">
        <v>9</v>
      </c>
      <c r="G1946" s="2" t="s">
        <v>18</v>
      </c>
      <c r="H1946" s="2" t="s">
        <v>42</v>
      </c>
      <c r="I1946" s="1" t="s">
        <v>11</v>
      </c>
      <c r="J1946" s="1" t="s">
        <v>8</v>
      </c>
      <c r="K1946" s="89">
        <v>23940</v>
      </c>
      <c r="L1946" s="3" t="s">
        <v>8</v>
      </c>
      <c r="M1946" s="3">
        <v>21.03</v>
      </c>
      <c r="N1946" s="3" t="s">
        <v>8</v>
      </c>
      <c r="O1946" s="3">
        <v>41.61</v>
      </c>
    </row>
    <row r="1947" spans="1:15" x14ac:dyDescent="0.35">
      <c r="A1947" s="5" t="str">
        <f>Loads[[#This Row],[Date]]&amp;Loads[[#This Row],[Product]]</f>
        <v>44270Product2</v>
      </c>
      <c r="B1947" s="5">
        <f>COUNTIF($A$1:A1947,Loads[[#This Row],[Load]])</f>
        <v>1</v>
      </c>
      <c r="C1947" s="3" t="str">
        <f>Loads[[#This Row],[Load]]&amp;Loads[[#This Row],[Count]]</f>
        <v>44270Product21</v>
      </c>
      <c r="D1947" s="90">
        <v>44270</v>
      </c>
      <c r="E1947" s="143">
        <v>0.25208333333333333</v>
      </c>
      <c r="F1947" s="1" t="s">
        <v>9</v>
      </c>
      <c r="G1947" s="2" t="s">
        <v>13</v>
      </c>
      <c r="H1947" s="2" t="s">
        <v>42</v>
      </c>
      <c r="I1947" s="1" t="s">
        <v>11</v>
      </c>
      <c r="J1947" s="1" t="s">
        <v>8</v>
      </c>
      <c r="K1947" s="89">
        <v>12200</v>
      </c>
      <c r="L1947" s="3">
        <v>59.32</v>
      </c>
      <c r="M1947" s="3">
        <v>11.71</v>
      </c>
      <c r="N1947" s="3" t="s">
        <v>8</v>
      </c>
      <c r="O1947" s="3" t="s">
        <v>8</v>
      </c>
    </row>
    <row r="1948" spans="1:15" x14ac:dyDescent="0.35">
      <c r="A1948" s="5" t="str">
        <f>Loads[[#This Row],[Date]]&amp;Loads[[#This Row],[Product]]</f>
        <v>44270Product2</v>
      </c>
      <c r="B1948" s="5">
        <f>COUNTIF($A$1:A1948,Loads[[#This Row],[Load]])</f>
        <v>2</v>
      </c>
      <c r="C1948" s="3" t="str">
        <f>Loads[[#This Row],[Load]]&amp;Loads[[#This Row],[Count]]</f>
        <v>44270Product22</v>
      </c>
      <c r="D1948" s="90">
        <v>44270</v>
      </c>
      <c r="E1948" s="143">
        <v>0.25416666666666665</v>
      </c>
      <c r="F1948" s="1" t="s">
        <v>9</v>
      </c>
      <c r="G1948" s="2" t="s">
        <v>13</v>
      </c>
      <c r="H1948" s="2" t="s">
        <v>42</v>
      </c>
      <c r="I1948" s="1" t="s">
        <v>11</v>
      </c>
      <c r="J1948" s="1" t="s">
        <v>8</v>
      </c>
      <c r="K1948" s="89">
        <v>14720</v>
      </c>
      <c r="L1948" s="3">
        <v>59.7</v>
      </c>
      <c r="M1948" s="3">
        <v>10.09</v>
      </c>
      <c r="N1948" s="3" t="s">
        <v>8</v>
      </c>
      <c r="O1948" s="3" t="s">
        <v>8</v>
      </c>
    </row>
    <row r="1949" spans="1:15" x14ac:dyDescent="0.35">
      <c r="A1949" s="5" t="str">
        <f>Loads[[#This Row],[Date]]&amp;Loads[[#This Row],[Product]]</f>
        <v>44270Product2</v>
      </c>
      <c r="B1949" s="5">
        <f>COUNTIF($A$1:A1949,Loads[[#This Row],[Load]])</f>
        <v>3</v>
      </c>
      <c r="C1949" s="3" t="str">
        <f>Loads[[#This Row],[Load]]&amp;Loads[[#This Row],[Count]]</f>
        <v>44270Product23</v>
      </c>
      <c r="D1949" s="90">
        <v>44270</v>
      </c>
      <c r="E1949" s="143">
        <v>0.25416666666666665</v>
      </c>
      <c r="F1949" s="1" t="s">
        <v>9</v>
      </c>
      <c r="G1949" s="2" t="s">
        <v>13</v>
      </c>
      <c r="H1949" s="2" t="s">
        <v>42</v>
      </c>
      <c r="I1949" s="1" t="s">
        <v>11</v>
      </c>
      <c r="J1949" s="1" t="s">
        <v>8</v>
      </c>
      <c r="K1949" s="89">
        <v>12720</v>
      </c>
      <c r="L1949" s="3">
        <v>62.62</v>
      </c>
      <c r="M1949" s="3">
        <v>9.4700000000000006</v>
      </c>
      <c r="N1949" s="3" t="s">
        <v>8</v>
      </c>
      <c r="O1949" s="3" t="s">
        <v>8</v>
      </c>
    </row>
    <row r="1950" spans="1:15" x14ac:dyDescent="0.35">
      <c r="A1950" s="5" t="str">
        <f>Loads[[#This Row],[Date]]&amp;Loads[[#This Row],[Product]]</f>
        <v>44270Product2</v>
      </c>
      <c r="B1950" s="5">
        <f>COUNTIF($A$1:A1950,Loads[[#This Row],[Load]])</f>
        <v>4</v>
      </c>
      <c r="C1950" s="3" t="str">
        <f>Loads[[#This Row],[Load]]&amp;Loads[[#This Row],[Count]]</f>
        <v>44270Product24</v>
      </c>
      <c r="D1950" s="90">
        <v>44270</v>
      </c>
      <c r="E1950" s="143">
        <v>0.25486111111111109</v>
      </c>
      <c r="F1950" s="1" t="s">
        <v>9</v>
      </c>
      <c r="G1950" s="2" t="s">
        <v>13</v>
      </c>
      <c r="H1950" s="2" t="s">
        <v>42</v>
      </c>
      <c r="I1950" s="1" t="s">
        <v>11</v>
      </c>
      <c r="J1950" s="1" t="s">
        <v>8</v>
      </c>
      <c r="K1950" s="89">
        <v>17100</v>
      </c>
      <c r="L1950" s="3">
        <v>60.48</v>
      </c>
      <c r="M1950" s="3">
        <v>9.48</v>
      </c>
      <c r="N1950" s="3" t="s">
        <v>8</v>
      </c>
      <c r="O1950" s="3" t="s">
        <v>8</v>
      </c>
    </row>
    <row r="1951" spans="1:15" x14ac:dyDescent="0.35">
      <c r="A1951" s="5" t="str">
        <f>Loads[[#This Row],[Date]]&amp;Loads[[#This Row],[Product]]</f>
        <v>44270Product2</v>
      </c>
      <c r="B1951" s="5">
        <f>COUNTIF($A$1:A1951,Loads[[#This Row],[Load]])</f>
        <v>5</v>
      </c>
      <c r="C1951" s="3" t="str">
        <f>Loads[[#This Row],[Load]]&amp;Loads[[#This Row],[Count]]</f>
        <v>44270Product25</v>
      </c>
      <c r="D1951" s="90">
        <v>44270</v>
      </c>
      <c r="E1951" s="143">
        <v>0.25555555555555559</v>
      </c>
      <c r="F1951" s="1" t="s">
        <v>9</v>
      </c>
      <c r="G1951" s="2" t="s">
        <v>13</v>
      </c>
      <c r="H1951" s="2" t="s">
        <v>42</v>
      </c>
      <c r="I1951" s="1" t="s">
        <v>11</v>
      </c>
      <c r="J1951" s="1" t="s">
        <v>8</v>
      </c>
      <c r="K1951" s="89">
        <v>11840</v>
      </c>
      <c r="L1951" s="3">
        <v>60.58</v>
      </c>
      <c r="M1951" s="3">
        <v>9.0299999999999994</v>
      </c>
      <c r="N1951" s="3" t="s">
        <v>8</v>
      </c>
      <c r="O1951" s="3" t="s">
        <v>8</v>
      </c>
    </row>
    <row r="1952" spans="1:15" x14ac:dyDescent="0.35">
      <c r="A1952" s="5" t="str">
        <f>Loads[[#This Row],[Date]]&amp;Loads[[#This Row],[Product]]</f>
        <v>44270Product2</v>
      </c>
      <c r="B1952" s="5">
        <f>COUNTIF($A$1:A1952,Loads[[#This Row],[Load]])</f>
        <v>6</v>
      </c>
      <c r="C1952" s="3" t="str">
        <f>Loads[[#This Row],[Load]]&amp;Loads[[#This Row],[Count]]</f>
        <v>44270Product26</v>
      </c>
      <c r="D1952" s="90">
        <v>44270</v>
      </c>
      <c r="E1952" s="143">
        <v>0.25555555555555559</v>
      </c>
      <c r="F1952" s="1" t="s">
        <v>9</v>
      </c>
      <c r="G1952" s="2" t="s">
        <v>13</v>
      </c>
      <c r="H1952" s="2" t="s">
        <v>42</v>
      </c>
      <c r="I1952" s="1" t="s">
        <v>11</v>
      </c>
      <c r="J1952" s="1" t="s">
        <v>8</v>
      </c>
      <c r="K1952" s="89">
        <v>11900</v>
      </c>
      <c r="L1952" s="3">
        <v>60.8</v>
      </c>
      <c r="M1952" s="3">
        <v>9.09</v>
      </c>
      <c r="N1952" s="3" t="s">
        <v>8</v>
      </c>
      <c r="O1952" s="3" t="s">
        <v>8</v>
      </c>
    </row>
    <row r="1953" spans="1:15" x14ac:dyDescent="0.35">
      <c r="A1953" s="5" t="str">
        <f>Loads[[#This Row],[Date]]&amp;Loads[[#This Row],[Product]]</f>
        <v>44270Product2</v>
      </c>
      <c r="B1953" s="5">
        <f>COUNTIF($A$1:A1953,Loads[[#This Row],[Load]])</f>
        <v>7</v>
      </c>
      <c r="C1953" s="3" t="str">
        <f>Loads[[#This Row],[Load]]&amp;Loads[[#This Row],[Count]]</f>
        <v>44270Product27</v>
      </c>
      <c r="D1953" s="90">
        <v>44270</v>
      </c>
      <c r="E1953" s="143">
        <v>0.25625000000000003</v>
      </c>
      <c r="F1953" s="1" t="s">
        <v>9</v>
      </c>
      <c r="G1953" s="2" t="s">
        <v>13</v>
      </c>
      <c r="H1953" s="2" t="s">
        <v>42</v>
      </c>
      <c r="I1953" s="1" t="s">
        <v>11</v>
      </c>
      <c r="J1953" s="1" t="s">
        <v>8</v>
      </c>
      <c r="K1953" s="89">
        <v>11380</v>
      </c>
      <c r="L1953" s="3">
        <v>61.24</v>
      </c>
      <c r="M1953" s="3">
        <v>9.64</v>
      </c>
      <c r="N1953" s="3" t="s">
        <v>8</v>
      </c>
      <c r="O1953" s="3" t="s">
        <v>8</v>
      </c>
    </row>
    <row r="1954" spans="1:15" x14ac:dyDescent="0.35">
      <c r="A1954" s="5" t="str">
        <f>Loads[[#This Row],[Date]]&amp;Loads[[#This Row],[Product]]</f>
        <v>44270Product3</v>
      </c>
      <c r="B1954" s="5">
        <f>COUNTIF($A$1:A1954,Loads[[#This Row],[Load]])</f>
        <v>1</v>
      </c>
      <c r="C1954" s="3" t="str">
        <f>Loads[[#This Row],[Load]]&amp;Loads[[#This Row],[Count]]</f>
        <v>44270Product31</v>
      </c>
      <c r="D1954" s="90">
        <v>44270</v>
      </c>
      <c r="E1954" s="143">
        <v>0.25694444444444448</v>
      </c>
      <c r="F1954" s="1" t="s">
        <v>9</v>
      </c>
      <c r="G1954" s="2" t="s">
        <v>14</v>
      </c>
      <c r="H1954" s="2" t="s">
        <v>42</v>
      </c>
      <c r="I1954" s="1" t="s">
        <v>11</v>
      </c>
      <c r="J1954" s="1" t="s">
        <v>8</v>
      </c>
      <c r="K1954" s="89">
        <v>11920</v>
      </c>
      <c r="L1954" s="3">
        <v>60.61</v>
      </c>
      <c r="M1954" s="3">
        <v>10.69</v>
      </c>
      <c r="N1954" s="3" t="s">
        <v>8</v>
      </c>
      <c r="O1954" s="3" t="s">
        <v>8</v>
      </c>
    </row>
    <row r="1955" spans="1:15" x14ac:dyDescent="0.35">
      <c r="A1955" s="5" t="str">
        <f>Loads[[#This Row],[Date]]&amp;Loads[[#This Row],[Product]]</f>
        <v>44270Product3</v>
      </c>
      <c r="B1955" s="5">
        <f>COUNTIF($A$1:A1955,Loads[[#This Row],[Load]])</f>
        <v>2</v>
      </c>
      <c r="C1955" s="3" t="str">
        <f>Loads[[#This Row],[Load]]&amp;Loads[[#This Row],[Count]]</f>
        <v>44270Product32</v>
      </c>
      <c r="D1955" s="90">
        <v>44270</v>
      </c>
      <c r="E1955" s="143">
        <v>0.25763888888888892</v>
      </c>
      <c r="F1955" s="1" t="s">
        <v>9</v>
      </c>
      <c r="G1955" s="2" t="s">
        <v>14</v>
      </c>
      <c r="H1955" s="2" t="s">
        <v>42</v>
      </c>
      <c r="I1955" s="1" t="s">
        <v>11</v>
      </c>
      <c r="J1955" s="1" t="s">
        <v>8</v>
      </c>
      <c r="K1955" s="89">
        <v>12380</v>
      </c>
      <c r="L1955" s="3">
        <v>59</v>
      </c>
      <c r="M1955" s="3">
        <v>10.89</v>
      </c>
      <c r="N1955" s="3" t="s">
        <v>8</v>
      </c>
      <c r="O1955" s="3" t="s">
        <v>8</v>
      </c>
    </row>
    <row r="1956" spans="1:15" x14ac:dyDescent="0.35">
      <c r="A1956" s="5" t="str">
        <f>Loads[[#This Row],[Date]]&amp;Loads[[#This Row],[Product]]</f>
        <v>44270Product2</v>
      </c>
      <c r="B1956" s="5">
        <f>COUNTIF($A$1:A1956,Loads[[#This Row],[Load]])</f>
        <v>8</v>
      </c>
      <c r="C1956" s="3" t="str">
        <f>Loads[[#This Row],[Load]]&amp;Loads[[#This Row],[Count]]</f>
        <v>44270Product28</v>
      </c>
      <c r="D1956" s="90">
        <v>44270</v>
      </c>
      <c r="E1956" s="143">
        <v>0.2590277777777778</v>
      </c>
      <c r="F1956" s="1" t="s">
        <v>9</v>
      </c>
      <c r="G1956" s="2" t="s">
        <v>13</v>
      </c>
      <c r="H1956" s="2" t="s">
        <v>42</v>
      </c>
      <c r="I1956" s="1" t="s">
        <v>11</v>
      </c>
      <c r="J1956" s="1" t="s">
        <v>8</v>
      </c>
      <c r="K1956" s="89">
        <v>14800</v>
      </c>
      <c r="L1956" s="3">
        <v>62.32</v>
      </c>
      <c r="M1956" s="3">
        <v>9.58</v>
      </c>
      <c r="N1956" s="3" t="s">
        <v>8</v>
      </c>
      <c r="O1956" s="3" t="s">
        <v>8</v>
      </c>
    </row>
    <row r="1957" spans="1:15" x14ac:dyDescent="0.35">
      <c r="A1957" s="5" t="str">
        <f>Loads[[#This Row],[Date]]&amp;Loads[[#This Row],[Product]]</f>
        <v>44270Product2</v>
      </c>
      <c r="B1957" s="5">
        <f>COUNTIF($A$1:A1957,Loads[[#This Row],[Load]])</f>
        <v>9</v>
      </c>
      <c r="C1957" s="3" t="str">
        <f>Loads[[#This Row],[Load]]&amp;Loads[[#This Row],[Count]]</f>
        <v>44270Product29</v>
      </c>
      <c r="D1957" s="90">
        <v>44270</v>
      </c>
      <c r="E1957" s="143">
        <v>0.25972222222222224</v>
      </c>
      <c r="F1957" s="1" t="s">
        <v>9</v>
      </c>
      <c r="G1957" s="2" t="s">
        <v>13</v>
      </c>
      <c r="H1957" s="2" t="s">
        <v>42</v>
      </c>
      <c r="I1957" s="1" t="s">
        <v>11</v>
      </c>
      <c r="J1957" s="1" t="s">
        <v>8</v>
      </c>
      <c r="K1957" s="89">
        <v>10360</v>
      </c>
      <c r="L1957" s="3">
        <v>59.41</v>
      </c>
      <c r="M1957" s="3">
        <v>8.2200000000000006</v>
      </c>
      <c r="N1957" s="3" t="s">
        <v>8</v>
      </c>
      <c r="O1957" s="3" t="s">
        <v>8</v>
      </c>
    </row>
    <row r="1958" spans="1:15" x14ac:dyDescent="0.35">
      <c r="A1958" s="5" t="str">
        <f>Loads[[#This Row],[Date]]&amp;Loads[[#This Row],[Product]]</f>
        <v>44271Product1</v>
      </c>
      <c r="B1958" s="5">
        <f>COUNTIF($A$1:A1958,Loads[[#This Row],[Load]])</f>
        <v>1</v>
      </c>
      <c r="C1958" s="3" t="str">
        <f>Loads[[#This Row],[Load]]&amp;Loads[[#This Row],[Count]]</f>
        <v>44271Product11</v>
      </c>
      <c r="D1958" s="90">
        <v>44271</v>
      </c>
      <c r="E1958" s="143">
        <v>0.11597222222222221</v>
      </c>
      <c r="F1958" s="1" t="s">
        <v>9</v>
      </c>
      <c r="G1958" s="2" t="s">
        <v>12</v>
      </c>
      <c r="H1958" s="2" t="s">
        <v>42</v>
      </c>
      <c r="I1958" s="1" t="s">
        <v>11</v>
      </c>
      <c r="J1958" s="1" t="s">
        <v>8</v>
      </c>
      <c r="K1958" s="89">
        <v>35460</v>
      </c>
      <c r="L1958" s="3">
        <v>9.15</v>
      </c>
      <c r="M1958" s="3">
        <v>20.32</v>
      </c>
      <c r="N1958" s="3" t="s">
        <v>8</v>
      </c>
      <c r="O1958" s="3" t="s">
        <v>8</v>
      </c>
    </row>
    <row r="1959" spans="1:15" x14ac:dyDescent="0.35">
      <c r="A1959" s="5" t="str">
        <f>Loads[[#This Row],[Date]]&amp;Loads[[#This Row],[Product]]</f>
        <v>44271Product1</v>
      </c>
      <c r="B1959" s="5">
        <f>COUNTIF($A$1:A1959,Loads[[#This Row],[Load]])</f>
        <v>2</v>
      </c>
      <c r="C1959" s="3" t="str">
        <f>Loads[[#This Row],[Load]]&amp;Loads[[#This Row],[Count]]</f>
        <v>44271Product12</v>
      </c>
      <c r="D1959" s="90">
        <v>44271</v>
      </c>
      <c r="E1959" s="143">
        <v>0.11597222222222221</v>
      </c>
      <c r="F1959" s="1" t="s">
        <v>9</v>
      </c>
      <c r="G1959" s="2" t="s">
        <v>12</v>
      </c>
      <c r="H1959" s="2" t="s">
        <v>42</v>
      </c>
      <c r="I1959" s="1" t="s">
        <v>11</v>
      </c>
      <c r="J1959" s="1" t="s">
        <v>8</v>
      </c>
      <c r="K1959" s="89">
        <v>19800</v>
      </c>
      <c r="L1959" s="3">
        <v>7.66</v>
      </c>
      <c r="M1959" s="3">
        <v>21.77</v>
      </c>
      <c r="N1959" s="3" t="s">
        <v>8</v>
      </c>
      <c r="O1959" s="3" t="s">
        <v>8</v>
      </c>
    </row>
    <row r="1960" spans="1:15" x14ac:dyDescent="0.35">
      <c r="A1960" s="5" t="str">
        <f>Loads[[#This Row],[Date]]&amp;Loads[[#This Row],[Product]]</f>
        <v>44271Product1</v>
      </c>
      <c r="B1960" s="5">
        <f>COUNTIF($A$1:A1960,Loads[[#This Row],[Load]])</f>
        <v>3</v>
      </c>
      <c r="C1960" s="3" t="str">
        <f>Loads[[#This Row],[Load]]&amp;Loads[[#This Row],[Count]]</f>
        <v>44271Product13</v>
      </c>
      <c r="D1960" s="90">
        <v>44271</v>
      </c>
      <c r="E1960" s="143">
        <v>0.11666666666666665</v>
      </c>
      <c r="F1960" s="1" t="s">
        <v>9</v>
      </c>
      <c r="G1960" s="2" t="s">
        <v>12</v>
      </c>
      <c r="H1960" s="2" t="s">
        <v>42</v>
      </c>
      <c r="I1960" s="1" t="s">
        <v>11</v>
      </c>
      <c r="J1960" s="1" t="s">
        <v>8</v>
      </c>
      <c r="K1960" s="89">
        <v>29720</v>
      </c>
      <c r="L1960" s="3">
        <v>6.65</v>
      </c>
      <c r="M1960" s="3">
        <v>20.69</v>
      </c>
      <c r="N1960" s="3" t="s">
        <v>8</v>
      </c>
      <c r="O1960" s="3" t="s">
        <v>8</v>
      </c>
    </row>
    <row r="1961" spans="1:15" x14ac:dyDescent="0.35">
      <c r="A1961" s="5" t="str">
        <f>Loads[[#This Row],[Date]]&amp;Loads[[#This Row],[Product]]</f>
        <v>44271Product1</v>
      </c>
      <c r="B1961" s="5">
        <f>COUNTIF($A$1:A1961,Loads[[#This Row],[Load]])</f>
        <v>4</v>
      </c>
      <c r="C1961" s="3" t="str">
        <f>Loads[[#This Row],[Load]]&amp;Loads[[#This Row],[Count]]</f>
        <v>44271Product14</v>
      </c>
      <c r="D1961" s="90">
        <v>44271</v>
      </c>
      <c r="E1961" s="143">
        <v>0.11666666666666665</v>
      </c>
      <c r="F1961" s="1" t="s">
        <v>9</v>
      </c>
      <c r="G1961" s="2" t="s">
        <v>12</v>
      </c>
      <c r="H1961" s="2" t="s">
        <v>42</v>
      </c>
      <c r="I1961" s="1" t="s">
        <v>10</v>
      </c>
      <c r="J1961" s="1">
        <v>875</v>
      </c>
      <c r="K1961" s="89">
        <v>34540</v>
      </c>
      <c r="L1961" s="3">
        <v>6.88</v>
      </c>
      <c r="M1961" s="3">
        <v>21.57</v>
      </c>
      <c r="N1961" s="3" t="s">
        <v>8</v>
      </c>
      <c r="O1961" s="3" t="s">
        <v>8</v>
      </c>
    </row>
    <row r="1962" spans="1:15" x14ac:dyDescent="0.35">
      <c r="A1962" s="5" t="str">
        <f>Loads[[#This Row],[Date]]&amp;Loads[[#This Row],[Product]]</f>
        <v>44271Product1</v>
      </c>
      <c r="B1962" s="5">
        <f>COUNTIF($A$1:A1962,Loads[[#This Row],[Load]])</f>
        <v>5</v>
      </c>
      <c r="C1962" s="3" t="str">
        <f>Loads[[#This Row],[Load]]&amp;Loads[[#This Row],[Count]]</f>
        <v>44271Product15</v>
      </c>
      <c r="D1962" s="90">
        <v>44271</v>
      </c>
      <c r="E1962" s="143">
        <v>0.1173611111111111</v>
      </c>
      <c r="F1962" s="1" t="s">
        <v>9</v>
      </c>
      <c r="G1962" s="2" t="s">
        <v>12</v>
      </c>
      <c r="H1962" s="2" t="s">
        <v>42</v>
      </c>
      <c r="I1962" s="1" t="s">
        <v>10</v>
      </c>
      <c r="J1962" s="1">
        <v>770</v>
      </c>
      <c r="K1962" s="89">
        <v>30580</v>
      </c>
      <c r="L1962" s="3">
        <v>9.43</v>
      </c>
      <c r="M1962" s="3">
        <v>20.72</v>
      </c>
      <c r="N1962" s="3" t="s">
        <v>8</v>
      </c>
      <c r="O1962" s="3" t="s">
        <v>8</v>
      </c>
    </row>
    <row r="1963" spans="1:15" x14ac:dyDescent="0.35">
      <c r="A1963" s="5" t="str">
        <f>Loads[[#This Row],[Date]]&amp;Loads[[#This Row],[Product]]</f>
        <v>44271Product1</v>
      </c>
      <c r="B1963" s="5">
        <f>COUNTIF($A$1:A1963,Loads[[#This Row],[Load]])</f>
        <v>6</v>
      </c>
      <c r="C1963" s="3" t="str">
        <f>Loads[[#This Row],[Load]]&amp;Loads[[#This Row],[Count]]</f>
        <v>44271Product16</v>
      </c>
      <c r="D1963" s="90">
        <v>44271</v>
      </c>
      <c r="E1963" s="143">
        <v>0.11805555555555557</v>
      </c>
      <c r="F1963" s="1" t="s">
        <v>9</v>
      </c>
      <c r="G1963" s="2" t="s">
        <v>12</v>
      </c>
      <c r="H1963" s="2" t="s">
        <v>42</v>
      </c>
      <c r="I1963" s="1" t="s">
        <v>11</v>
      </c>
      <c r="J1963" s="1" t="s">
        <v>8</v>
      </c>
      <c r="K1963" s="89">
        <v>30360</v>
      </c>
      <c r="L1963" s="3">
        <v>8.0399999999999991</v>
      </c>
      <c r="M1963" s="3">
        <v>19.87</v>
      </c>
      <c r="N1963" s="3" t="s">
        <v>8</v>
      </c>
      <c r="O1963" s="3" t="s">
        <v>8</v>
      </c>
    </row>
    <row r="1964" spans="1:15" x14ac:dyDescent="0.35">
      <c r="A1964" s="5" t="str">
        <f>Loads[[#This Row],[Date]]&amp;Loads[[#This Row],[Product]]</f>
        <v>44271Product1</v>
      </c>
      <c r="B1964" s="5">
        <f>COUNTIF($A$1:A1964,Loads[[#This Row],[Load]])</f>
        <v>7</v>
      </c>
      <c r="C1964" s="3" t="str">
        <f>Loads[[#This Row],[Load]]&amp;Loads[[#This Row],[Count]]</f>
        <v>44271Product17</v>
      </c>
      <c r="D1964" s="90">
        <v>44271</v>
      </c>
      <c r="E1964" s="143">
        <v>0.11875000000000001</v>
      </c>
      <c r="F1964" s="1" t="s">
        <v>9</v>
      </c>
      <c r="G1964" s="2" t="s">
        <v>12</v>
      </c>
      <c r="H1964" s="2" t="s">
        <v>42</v>
      </c>
      <c r="I1964" s="1" t="s">
        <v>10</v>
      </c>
      <c r="J1964" s="1">
        <v>725</v>
      </c>
      <c r="K1964" s="89">
        <v>28900</v>
      </c>
      <c r="L1964" s="3">
        <v>4.54</v>
      </c>
      <c r="M1964" s="3">
        <v>22.16</v>
      </c>
      <c r="N1964" s="3" t="s">
        <v>8</v>
      </c>
      <c r="O1964" s="3" t="s">
        <v>8</v>
      </c>
    </row>
    <row r="1965" spans="1:15" x14ac:dyDescent="0.35">
      <c r="A1965" s="5" t="str">
        <f>Loads[[#This Row],[Date]]&amp;Loads[[#This Row],[Product]]</f>
        <v>44271Product1</v>
      </c>
      <c r="B1965" s="5">
        <f>COUNTIF($A$1:A1965,Loads[[#This Row],[Load]])</f>
        <v>8</v>
      </c>
      <c r="C1965" s="3" t="str">
        <f>Loads[[#This Row],[Load]]&amp;Loads[[#This Row],[Count]]</f>
        <v>44271Product18</v>
      </c>
      <c r="D1965" s="90">
        <v>44271</v>
      </c>
      <c r="E1965" s="143">
        <v>0.11875000000000001</v>
      </c>
      <c r="F1965" s="1" t="s">
        <v>9</v>
      </c>
      <c r="G1965" s="2" t="s">
        <v>12</v>
      </c>
      <c r="H1965" s="2" t="s">
        <v>42</v>
      </c>
      <c r="I1965" s="1" t="s">
        <v>11</v>
      </c>
      <c r="J1965" s="1" t="s">
        <v>8</v>
      </c>
      <c r="K1965" s="89">
        <v>30760</v>
      </c>
      <c r="L1965" s="3">
        <v>9.0399999999999991</v>
      </c>
      <c r="M1965" s="3">
        <v>20.3</v>
      </c>
      <c r="N1965" s="3" t="s">
        <v>8</v>
      </c>
      <c r="O1965" s="3" t="s">
        <v>8</v>
      </c>
    </row>
    <row r="1966" spans="1:15" x14ac:dyDescent="0.35">
      <c r="A1966" s="5" t="str">
        <f>Loads[[#This Row],[Date]]&amp;Loads[[#This Row],[Product]]</f>
        <v>44271Product1</v>
      </c>
      <c r="B1966" s="5">
        <f>COUNTIF($A$1:A1966,Loads[[#This Row],[Load]])</f>
        <v>9</v>
      </c>
      <c r="C1966" s="3" t="str">
        <f>Loads[[#This Row],[Load]]&amp;Loads[[#This Row],[Count]]</f>
        <v>44271Product19</v>
      </c>
      <c r="D1966" s="90">
        <v>44271</v>
      </c>
      <c r="E1966" s="143">
        <v>0.11944444444444445</v>
      </c>
      <c r="F1966" s="1" t="s">
        <v>9</v>
      </c>
      <c r="G1966" s="2" t="s">
        <v>12</v>
      </c>
      <c r="H1966" s="2" t="s">
        <v>42</v>
      </c>
      <c r="I1966" s="1" t="s">
        <v>11</v>
      </c>
      <c r="J1966" s="1" t="s">
        <v>8</v>
      </c>
      <c r="K1966" s="89">
        <v>20120</v>
      </c>
      <c r="L1966" s="3">
        <v>7.72</v>
      </c>
      <c r="M1966" s="3">
        <v>22.32</v>
      </c>
      <c r="N1966" s="3" t="s">
        <v>8</v>
      </c>
      <c r="O1966" s="3" t="s">
        <v>8</v>
      </c>
    </row>
    <row r="1967" spans="1:15" x14ac:dyDescent="0.35">
      <c r="A1967" s="5" t="str">
        <f>Loads[[#This Row],[Date]]&amp;Loads[[#This Row],[Product]]</f>
        <v>44271Product4</v>
      </c>
      <c r="B1967" s="5">
        <f>COUNTIF($A$1:A1967,Loads[[#This Row],[Load]])</f>
        <v>1</v>
      </c>
      <c r="C1967" s="3" t="str">
        <f>Loads[[#This Row],[Load]]&amp;Loads[[#This Row],[Count]]</f>
        <v>44271Product41</v>
      </c>
      <c r="D1967" s="90">
        <v>44271</v>
      </c>
      <c r="E1967" s="143">
        <v>0.11944444444444445</v>
      </c>
      <c r="F1967" s="1" t="s">
        <v>9</v>
      </c>
      <c r="G1967" s="2" t="s">
        <v>15</v>
      </c>
      <c r="H1967" s="2" t="s">
        <v>42</v>
      </c>
      <c r="I1967" s="1" t="s">
        <v>11</v>
      </c>
      <c r="J1967" s="1" t="s">
        <v>8</v>
      </c>
      <c r="K1967" s="89">
        <v>29560</v>
      </c>
      <c r="L1967" s="3">
        <v>7.01</v>
      </c>
      <c r="M1967" s="3">
        <v>62.14</v>
      </c>
      <c r="N1967" s="3" t="s">
        <v>8</v>
      </c>
      <c r="O1967" s="3" t="s">
        <v>8</v>
      </c>
    </row>
    <row r="1968" spans="1:15" x14ac:dyDescent="0.35">
      <c r="A1968" s="5" t="str">
        <f>Loads[[#This Row],[Date]]&amp;Loads[[#This Row],[Product]]</f>
        <v>44271Product4</v>
      </c>
      <c r="B1968" s="5">
        <f>COUNTIF($A$1:A1968,Loads[[#This Row],[Load]])</f>
        <v>2</v>
      </c>
      <c r="C1968" s="3" t="str">
        <f>Loads[[#This Row],[Load]]&amp;Loads[[#This Row],[Count]]</f>
        <v>44271Product42</v>
      </c>
      <c r="D1968" s="90">
        <v>44271</v>
      </c>
      <c r="E1968" s="143">
        <v>0.12083333333333333</v>
      </c>
      <c r="F1968" s="1" t="s">
        <v>9</v>
      </c>
      <c r="G1968" s="2" t="s">
        <v>15</v>
      </c>
      <c r="H1968" s="2" t="s">
        <v>42</v>
      </c>
      <c r="I1968" s="1" t="s">
        <v>0</v>
      </c>
      <c r="J1968" s="1">
        <v>20</v>
      </c>
      <c r="K1968" s="89">
        <v>23840</v>
      </c>
      <c r="L1968" s="3">
        <v>8.2799999999999994</v>
      </c>
      <c r="M1968" s="3">
        <v>62.03</v>
      </c>
      <c r="N1968" s="3" t="s">
        <v>8</v>
      </c>
      <c r="O1968" s="3" t="s">
        <v>8</v>
      </c>
    </row>
    <row r="1969" spans="1:15" x14ac:dyDescent="0.35">
      <c r="A1969" s="5" t="str">
        <f>Loads[[#This Row],[Date]]&amp;Loads[[#This Row],[Product]]</f>
        <v>44271Product4</v>
      </c>
      <c r="B1969" s="5">
        <f>COUNTIF($A$1:A1969,Loads[[#This Row],[Load]])</f>
        <v>3</v>
      </c>
      <c r="C1969" s="3" t="str">
        <f>Loads[[#This Row],[Load]]&amp;Loads[[#This Row],[Count]]</f>
        <v>44271Product43</v>
      </c>
      <c r="D1969" s="90">
        <v>44271</v>
      </c>
      <c r="E1969" s="143">
        <v>0.12083333333333333</v>
      </c>
      <c r="F1969" s="1" t="s">
        <v>9</v>
      </c>
      <c r="G1969" s="2" t="s">
        <v>15</v>
      </c>
      <c r="H1969" s="2" t="s">
        <v>42</v>
      </c>
      <c r="I1969" s="1" t="s">
        <v>10</v>
      </c>
      <c r="J1969" s="1">
        <v>20</v>
      </c>
      <c r="K1969" s="89">
        <v>1060</v>
      </c>
      <c r="L1969" s="3">
        <v>7.48</v>
      </c>
      <c r="M1969" s="3">
        <v>63.44</v>
      </c>
      <c r="N1969" s="3" t="s">
        <v>8</v>
      </c>
      <c r="O1969" s="3" t="s">
        <v>8</v>
      </c>
    </row>
    <row r="1970" spans="1:15" x14ac:dyDescent="0.35">
      <c r="A1970" s="5" t="str">
        <f>Loads[[#This Row],[Date]]&amp;Loads[[#This Row],[Product]]</f>
        <v>44271Product7</v>
      </c>
      <c r="B1970" s="5">
        <f>COUNTIF($A$1:A1970,Loads[[#This Row],[Load]])</f>
        <v>1</v>
      </c>
      <c r="C1970" s="3" t="str">
        <f>Loads[[#This Row],[Load]]&amp;Loads[[#This Row],[Count]]</f>
        <v>44271Product71</v>
      </c>
      <c r="D1970" s="90">
        <v>44271</v>
      </c>
      <c r="E1970" s="143">
        <v>0.12152777777777778</v>
      </c>
      <c r="F1970" s="1" t="s">
        <v>9</v>
      </c>
      <c r="G1970" s="2" t="s">
        <v>18</v>
      </c>
      <c r="H1970" s="2" t="s">
        <v>42</v>
      </c>
      <c r="I1970" s="1" t="s">
        <v>11</v>
      </c>
      <c r="J1970" s="1" t="s">
        <v>8</v>
      </c>
      <c r="K1970" s="89">
        <v>20940</v>
      </c>
      <c r="L1970" s="3" t="s">
        <v>8</v>
      </c>
      <c r="M1970" s="3">
        <v>20.45</v>
      </c>
      <c r="N1970" s="3" t="s">
        <v>8</v>
      </c>
      <c r="O1970" s="3">
        <v>41</v>
      </c>
    </row>
    <row r="1971" spans="1:15" x14ac:dyDescent="0.35">
      <c r="A1971" s="5" t="str">
        <f>Loads[[#This Row],[Date]]&amp;Loads[[#This Row],[Product]]</f>
        <v>44271Product8</v>
      </c>
      <c r="B1971" s="5">
        <f>COUNTIF($A$1:A1971,Loads[[#This Row],[Load]])</f>
        <v>1</v>
      </c>
      <c r="C1971" s="3" t="str">
        <f>Loads[[#This Row],[Load]]&amp;Loads[[#This Row],[Count]]</f>
        <v>44271Product81</v>
      </c>
      <c r="D1971" s="90">
        <v>44271</v>
      </c>
      <c r="E1971" s="143">
        <v>0.12361111111111112</v>
      </c>
      <c r="F1971" s="1" t="s">
        <v>9</v>
      </c>
      <c r="G1971" s="2" t="s">
        <v>19</v>
      </c>
      <c r="H1971" s="2" t="s">
        <v>42</v>
      </c>
      <c r="I1971" s="1" t="s">
        <v>11</v>
      </c>
      <c r="J1971" s="1" t="s">
        <v>8</v>
      </c>
      <c r="K1971" s="89">
        <v>24400</v>
      </c>
      <c r="L1971" s="3">
        <v>12.64</v>
      </c>
      <c r="M1971" s="3">
        <v>7.2</v>
      </c>
      <c r="N1971" s="3" t="s">
        <v>8</v>
      </c>
      <c r="O1971" s="3" t="s">
        <v>8</v>
      </c>
    </row>
    <row r="1972" spans="1:15" x14ac:dyDescent="0.35">
      <c r="A1972" s="5" t="str">
        <f>Loads[[#This Row],[Date]]&amp;Loads[[#This Row],[Product]]</f>
        <v>44271Product5</v>
      </c>
      <c r="B1972" s="5">
        <f>COUNTIF($A$1:A1972,Loads[[#This Row],[Load]])</f>
        <v>1</v>
      </c>
      <c r="C1972" s="3" t="str">
        <f>Loads[[#This Row],[Load]]&amp;Loads[[#This Row],[Count]]</f>
        <v>44271Product51</v>
      </c>
      <c r="D1972" s="90">
        <v>44271</v>
      </c>
      <c r="E1972" s="143">
        <v>0.125</v>
      </c>
      <c r="F1972" s="1" t="s">
        <v>9</v>
      </c>
      <c r="G1972" s="2" t="s">
        <v>16</v>
      </c>
      <c r="H1972" s="2" t="s">
        <v>42</v>
      </c>
      <c r="I1972" s="1" t="s">
        <v>11</v>
      </c>
      <c r="J1972" s="1" t="s">
        <v>8</v>
      </c>
      <c r="K1972" s="89">
        <v>18020</v>
      </c>
      <c r="L1972" s="3">
        <v>10.3</v>
      </c>
      <c r="N1972" s="3"/>
      <c r="O1972" s="3"/>
    </row>
    <row r="1973" spans="1:15" x14ac:dyDescent="0.35">
      <c r="A1973" s="5" t="str">
        <f>Loads[[#This Row],[Date]]&amp;Loads[[#This Row],[Product]]</f>
        <v>44271Product2</v>
      </c>
      <c r="B1973" s="5">
        <f>COUNTIF($A$1:A1973,Loads[[#This Row],[Load]])</f>
        <v>1</v>
      </c>
      <c r="C1973" s="3" t="str">
        <f>Loads[[#This Row],[Load]]&amp;Loads[[#This Row],[Count]]</f>
        <v>44271Product21</v>
      </c>
      <c r="D1973" s="90">
        <v>44271</v>
      </c>
      <c r="E1973" s="143">
        <v>0.24097222222222223</v>
      </c>
      <c r="F1973" s="1" t="s">
        <v>9</v>
      </c>
      <c r="G1973" s="2" t="s">
        <v>13</v>
      </c>
      <c r="H1973" s="2" t="s">
        <v>42</v>
      </c>
      <c r="I1973" s="1" t="s">
        <v>11</v>
      </c>
      <c r="J1973" s="1" t="s">
        <v>8</v>
      </c>
      <c r="K1973" s="89">
        <v>11960</v>
      </c>
      <c r="L1973" s="3">
        <v>61.24</v>
      </c>
      <c r="M1973" s="3">
        <v>9.64</v>
      </c>
      <c r="N1973" s="3" t="s">
        <v>8</v>
      </c>
      <c r="O1973" s="3" t="s">
        <v>8</v>
      </c>
    </row>
    <row r="1974" spans="1:15" x14ac:dyDescent="0.35">
      <c r="A1974" s="5" t="str">
        <f>Loads[[#This Row],[Date]]&amp;Loads[[#This Row],[Product]]</f>
        <v>44271Product2</v>
      </c>
      <c r="B1974" s="5">
        <f>COUNTIF($A$1:A1974,Loads[[#This Row],[Load]])</f>
        <v>2</v>
      </c>
      <c r="C1974" s="3" t="str">
        <f>Loads[[#This Row],[Load]]&amp;Loads[[#This Row],[Count]]</f>
        <v>44271Product22</v>
      </c>
      <c r="D1974" s="90">
        <v>44271</v>
      </c>
      <c r="E1974" s="143">
        <v>0.24166666666666667</v>
      </c>
      <c r="F1974" s="1" t="s">
        <v>9</v>
      </c>
      <c r="G1974" s="2" t="s">
        <v>13</v>
      </c>
      <c r="H1974" s="2" t="s">
        <v>42</v>
      </c>
      <c r="I1974" s="1" t="s">
        <v>11</v>
      </c>
      <c r="J1974" s="1" t="s">
        <v>8</v>
      </c>
      <c r="K1974" s="89">
        <v>9380</v>
      </c>
      <c r="L1974" s="3">
        <v>59.47</v>
      </c>
      <c r="M1974" s="3">
        <v>10.51</v>
      </c>
      <c r="N1974" s="3" t="s">
        <v>8</v>
      </c>
      <c r="O1974" s="3" t="s">
        <v>8</v>
      </c>
    </row>
    <row r="1975" spans="1:15" x14ac:dyDescent="0.35">
      <c r="A1975" s="5" t="str">
        <f>Loads[[#This Row],[Date]]&amp;Loads[[#This Row],[Product]]</f>
        <v>44271Product3</v>
      </c>
      <c r="B1975" s="5">
        <f>COUNTIF($A$1:A1975,Loads[[#This Row],[Load]])</f>
        <v>1</v>
      </c>
      <c r="C1975" s="3" t="str">
        <f>Loads[[#This Row],[Load]]&amp;Loads[[#This Row],[Count]]</f>
        <v>44271Product31</v>
      </c>
      <c r="D1975" s="90">
        <v>44271</v>
      </c>
      <c r="E1975" s="143">
        <v>0.24166666666666667</v>
      </c>
      <c r="F1975" s="1" t="s">
        <v>9</v>
      </c>
      <c r="G1975" s="2" t="s">
        <v>14</v>
      </c>
      <c r="H1975" s="2" t="s">
        <v>42</v>
      </c>
      <c r="I1975" s="1" t="s">
        <v>11</v>
      </c>
      <c r="J1975" s="1" t="s">
        <v>8</v>
      </c>
      <c r="K1975" s="89">
        <v>13200</v>
      </c>
      <c r="L1975" s="3">
        <v>57.73</v>
      </c>
      <c r="M1975" s="3">
        <v>10.75</v>
      </c>
      <c r="N1975" s="3" t="s">
        <v>8</v>
      </c>
      <c r="O1975" s="3" t="s">
        <v>8</v>
      </c>
    </row>
    <row r="1976" spans="1:15" x14ac:dyDescent="0.35">
      <c r="A1976" s="5" t="str">
        <f>Loads[[#This Row],[Date]]&amp;Loads[[#This Row],[Product]]</f>
        <v>44271Product2</v>
      </c>
      <c r="B1976" s="5">
        <f>COUNTIF($A$1:A1976,Loads[[#This Row],[Load]])</f>
        <v>3</v>
      </c>
      <c r="C1976" s="3" t="str">
        <f>Loads[[#This Row],[Load]]&amp;Loads[[#This Row],[Count]]</f>
        <v>44271Product23</v>
      </c>
      <c r="D1976" s="90">
        <v>44271</v>
      </c>
      <c r="E1976" s="143">
        <v>0.24236111111111111</v>
      </c>
      <c r="F1976" s="1" t="s">
        <v>9</v>
      </c>
      <c r="G1976" s="2" t="s">
        <v>13</v>
      </c>
      <c r="H1976" s="2" t="s">
        <v>42</v>
      </c>
      <c r="I1976" s="1" t="s">
        <v>11</v>
      </c>
      <c r="J1976" s="1" t="s">
        <v>8</v>
      </c>
      <c r="K1976" s="89">
        <v>16920</v>
      </c>
      <c r="L1976" s="3">
        <v>64.62</v>
      </c>
      <c r="M1976" s="3">
        <v>8.9600000000000009</v>
      </c>
      <c r="N1976" s="3" t="s">
        <v>8</v>
      </c>
      <c r="O1976" s="3" t="s">
        <v>8</v>
      </c>
    </row>
    <row r="1977" spans="1:15" x14ac:dyDescent="0.35">
      <c r="A1977" s="5" t="str">
        <f>Loads[[#This Row],[Date]]&amp;Loads[[#This Row],[Product]]</f>
        <v>44271Product2</v>
      </c>
      <c r="B1977" s="5">
        <f>COUNTIF($A$1:A1977,Loads[[#This Row],[Load]])</f>
        <v>4</v>
      </c>
      <c r="C1977" s="3" t="str">
        <f>Loads[[#This Row],[Load]]&amp;Loads[[#This Row],[Count]]</f>
        <v>44271Product24</v>
      </c>
      <c r="D1977" s="90">
        <v>44271</v>
      </c>
      <c r="E1977" s="143">
        <v>0.24305555555555555</v>
      </c>
      <c r="F1977" s="1" t="s">
        <v>9</v>
      </c>
      <c r="G1977" s="2" t="s">
        <v>13</v>
      </c>
      <c r="H1977" s="2" t="s">
        <v>42</v>
      </c>
      <c r="I1977" s="1" t="s">
        <v>11</v>
      </c>
      <c r="J1977" s="1" t="s">
        <v>8</v>
      </c>
      <c r="K1977" s="89">
        <v>11740</v>
      </c>
      <c r="L1977" s="3">
        <v>59.41</v>
      </c>
      <c r="M1977" s="3">
        <v>8.2200000000000006</v>
      </c>
      <c r="N1977" s="3" t="s">
        <v>8</v>
      </c>
      <c r="O1977" s="3" t="s">
        <v>8</v>
      </c>
    </row>
    <row r="1978" spans="1:15" x14ac:dyDescent="0.35">
      <c r="A1978" s="5" t="str">
        <f>Loads[[#This Row],[Date]]&amp;Loads[[#This Row],[Product]]</f>
        <v>44271Product3</v>
      </c>
      <c r="B1978" s="5">
        <f>COUNTIF($A$1:A1978,Loads[[#This Row],[Load]])</f>
        <v>2</v>
      </c>
      <c r="C1978" s="3" t="str">
        <f>Loads[[#This Row],[Load]]&amp;Loads[[#This Row],[Count]]</f>
        <v>44271Product32</v>
      </c>
      <c r="D1978" s="90">
        <v>44271</v>
      </c>
      <c r="E1978" s="143">
        <v>0.24374999999999999</v>
      </c>
      <c r="F1978" s="1" t="s">
        <v>9</v>
      </c>
      <c r="G1978" s="2" t="s">
        <v>14</v>
      </c>
      <c r="H1978" s="2" t="s">
        <v>42</v>
      </c>
      <c r="I1978" s="1" t="s">
        <v>11</v>
      </c>
      <c r="J1978" s="1" t="s">
        <v>8</v>
      </c>
      <c r="K1978" s="89">
        <v>13160</v>
      </c>
      <c r="L1978" s="3">
        <v>57.05</v>
      </c>
      <c r="M1978" s="3">
        <v>10.5</v>
      </c>
      <c r="N1978" s="3" t="s">
        <v>8</v>
      </c>
      <c r="O1978" s="3" t="s">
        <v>8</v>
      </c>
    </row>
    <row r="1979" spans="1:15" x14ac:dyDescent="0.35">
      <c r="A1979" s="5" t="str">
        <f>Loads[[#This Row],[Date]]&amp;Loads[[#This Row],[Product]]</f>
        <v>44271Product2</v>
      </c>
      <c r="B1979" s="5">
        <f>COUNTIF($A$1:A1979,Loads[[#This Row],[Load]])</f>
        <v>5</v>
      </c>
      <c r="C1979" s="3" t="str">
        <f>Loads[[#This Row],[Load]]&amp;Loads[[#This Row],[Count]]</f>
        <v>44271Product25</v>
      </c>
      <c r="D1979" s="90">
        <v>44271</v>
      </c>
      <c r="E1979" s="143">
        <v>0.24444444444444446</v>
      </c>
      <c r="F1979" s="1" t="s">
        <v>9</v>
      </c>
      <c r="G1979" s="2" t="s">
        <v>13</v>
      </c>
      <c r="H1979" s="2" t="s">
        <v>42</v>
      </c>
      <c r="I1979" s="1" t="s">
        <v>11</v>
      </c>
      <c r="J1979" s="1" t="s">
        <v>8</v>
      </c>
      <c r="K1979" s="89">
        <v>11040</v>
      </c>
      <c r="L1979" s="3">
        <v>61.54</v>
      </c>
      <c r="M1979" s="3">
        <v>9.01</v>
      </c>
      <c r="N1979" s="3" t="s">
        <v>8</v>
      </c>
      <c r="O1979" s="3" t="s">
        <v>8</v>
      </c>
    </row>
    <row r="1980" spans="1:15" x14ac:dyDescent="0.35">
      <c r="A1980" s="5" t="str">
        <f>Loads[[#This Row],[Date]]&amp;Loads[[#This Row],[Product]]</f>
        <v>44271Product3</v>
      </c>
      <c r="B1980" s="5">
        <f>COUNTIF($A$1:A1980,Loads[[#This Row],[Load]])</f>
        <v>3</v>
      </c>
      <c r="C1980" s="3" t="str">
        <f>Loads[[#This Row],[Load]]&amp;Loads[[#This Row],[Count]]</f>
        <v>44271Product33</v>
      </c>
      <c r="D1980" s="90">
        <v>44271</v>
      </c>
      <c r="E1980" s="143">
        <v>0.24444444444444446</v>
      </c>
      <c r="F1980" s="1" t="s">
        <v>9</v>
      </c>
      <c r="G1980" s="2" t="s">
        <v>14</v>
      </c>
      <c r="H1980" s="2" t="s">
        <v>42</v>
      </c>
      <c r="I1980" s="1" t="s">
        <v>11</v>
      </c>
      <c r="J1980" s="1" t="s">
        <v>8</v>
      </c>
      <c r="K1980" s="89">
        <v>12760</v>
      </c>
      <c r="L1980" s="3">
        <v>57.65</v>
      </c>
      <c r="M1980" s="3">
        <v>10.39</v>
      </c>
      <c r="N1980" s="3" t="s">
        <v>8</v>
      </c>
      <c r="O1980" s="3" t="s">
        <v>8</v>
      </c>
    </row>
    <row r="1981" spans="1:15" x14ac:dyDescent="0.35">
      <c r="A1981" s="5" t="str">
        <f>Loads[[#This Row],[Date]]&amp;Loads[[#This Row],[Product]]</f>
        <v>44271Product2</v>
      </c>
      <c r="B1981" s="5">
        <f>COUNTIF($A$1:A1981,Loads[[#This Row],[Load]])</f>
        <v>6</v>
      </c>
      <c r="C1981" s="3" t="str">
        <f>Loads[[#This Row],[Load]]&amp;Loads[[#This Row],[Count]]</f>
        <v>44271Product26</v>
      </c>
      <c r="D1981" s="90">
        <v>44271</v>
      </c>
      <c r="E1981" s="143">
        <v>0.24513888888888888</v>
      </c>
      <c r="F1981" s="1" t="s">
        <v>9</v>
      </c>
      <c r="G1981" s="2" t="s">
        <v>13</v>
      </c>
      <c r="H1981" s="2" t="s">
        <v>42</v>
      </c>
      <c r="I1981" s="1" t="s">
        <v>11</v>
      </c>
      <c r="J1981" s="1" t="s">
        <v>8</v>
      </c>
      <c r="K1981" s="89">
        <v>13460</v>
      </c>
      <c r="L1981" s="3">
        <v>57.26</v>
      </c>
      <c r="M1981" s="3">
        <v>10.7</v>
      </c>
      <c r="N1981" s="3" t="s">
        <v>8</v>
      </c>
      <c r="O1981" s="3" t="s">
        <v>8</v>
      </c>
    </row>
    <row r="1982" spans="1:15" x14ac:dyDescent="0.35">
      <c r="A1982" s="5" t="str">
        <f>Loads[[#This Row],[Date]]&amp;Loads[[#This Row],[Product]]</f>
        <v>44271Product2</v>
      </c>
      <c r="B1982" s="5">
        <f>COUNTIF($A$1:A1982,Loads[[#This Row],[Load]])</f>
        <v>7</v>
      </c>
      <c r="C1982" s="3" t="str">
        <f>Loads[[#This Row],[Load]]&amp;Loads[[#This Row],[Count]]</f>
        <v>44271Product27</v>
      </c>
      <c r="D1982" s="90">
        <v>44271</v>
      </c>
      <c r="E1982" s="143">
        <v>0.24583333333333335</v>
      </c>
      <c r="F1982" s="1" t="s">
        <v>9</v>
      </c>
      <c r="G1982" s="2" t="s">
        <v>13</v>
      </c>
      <c r="H1982" s="2" t="s">
        <v>42</v>
      </c>
      <c r="I1982" s="1" t="s">
        <v>11</v>
      </c>
      <c r="J1982" s="1" t="s">
        <v>8</v>
      </c>
      <c r="K1982" s="89">
        <v>11860</v>
      </c>
      <c r="L1982" s="3">
        <v>59.48</v>
      </c>
      <c r="M1982" s="3">
        <v>10.5</v>
      </c>
      <c r="N1982" s="3" t="s">
        <v>8</v>
      </c>
      <c r="O1982" s="3" t="s">
        <v>8</v>
      </c>
    </row>
    <row r="1983" spans="1:15" x14ac:dyDescent="0.35">
      <c r="A1983" s="5" t="str">
        <f>Loads[[#This Row],[Date]]&amp;Loads[[#This Row],[Product]]</f>
        <v>44271Product2</v>
      </c>
      <c r="B1983" s="5">
        <f>COUNTIF($A$1:A1983,Loads[[#This Row],[Load]])</f>
        <v>8</v>
      </c>
      <c r="C1983" s="3" t="str">
        <f>Loads[[#This Row],[Load]]&amp;Loads[[#This Row],[Count]]</f>
        <v>44271Product28</v>
      </c>
      <c r="D1983" s="90">
        <v>44271</v>
      </c>
      <c r="E1983" s="143">
        <v>0.24652777777777779</v>
      </c>
      <c r="F1983" s="1" t="s">
        <v>9</v>
      </c>
      <c r="G1983" s="2" t="s">
        <v>13</v>
      </c>
      <c r="H1983" s="2" t="s">
        <v>42</v>
      </c>
      <c r="I1983" s="1" t="s">
        <v>11</v>
      </c>
      <c r="J1983" s="1" t="s">
        <v>8</v>
      </c>
      <c r="K1983" s="89">
        <v>10220</v>
      </c>
      <c r="L1983" s="3">
        <v>60.85</v>
      </c>
      <c r="M1983" s="3">
        <v>10.02</v>
      </c>
      <c r="N1983" s="3" t="s">
        <v>8</v>
      </c>
      <c r="O1983" s="3" t="s">
        <v>8</v>
      </c>
    </row>
    <row r="1984" spans="1:15" x14ac:dyDescent="0.35">
      <c r="A1984" s="5" t="str">
        <f>Loads[[#This Row],[Date]]&amp;Loads[[#This Row],[Product]]</f>
        <v>44271Product2</v>
      </c>
      <c r="B1984" s="5">
        <f>COUNTIF($A$1:A1984,Loads[[#This Row],[Load]])</f>
        <v>9</v>
      </c>
      <c r="C1984" s="3" t="str">
        <f>Loads[[#This Row],[Load]]&amp;Loads[[#This Row],[Count]]</f>
        <v>44271Product29</v>
      </c>
      <c r="D1984" s="90">
        <v>44271</v>
      </c>
      <c r="E1984" s="143">
        <v>0.24722222222222223</v>
      </c>
      <c r="F1984" s="1" t="s">
        <v>9</v>
      </c>
      <c r="G1984" s="2" t="s">
        <v>13</v>
      </c>
      <c r="H1984" s="2" t="s">
        <v>42</v>
      </c>
      <c r="I1984" s="1" t="s">
        <v>11</v>
      </c>
      <c r="J1984" s="1" t="s">
        <v>8</v>
      </c>
      <c r="K1984" s="89">
        <v>9860</v>
      </c>
      <c r="L1984" s="3">
        <v>60.96</v>
      </c>
      <c r="M1984" s="3">
        <v>10.06</v>
      </c>
      <c r="N1984" s="3" t="s">
        <v>8</v>
      </c>
      <c r="O1984" s="3" t="s">
        <v>8</v>
      </c>
    </row>
    <row r="1985" spans="1:15" x14ac:dyDescent="0.35">
      <c r="A1985" s="5" t="str">
        <f>Loads[[#This Row],[Date]]&amp;Loads[[#This Row],[Product]]</f>
        <v>44271Product2</v>
      </c>
      <c r="B1985" s="5">
        <f>COUNTIF($A$1:A1985,Loads[[#This Row],[Load]])</f>
        <v>10</v>
      </c>
      <c r="C1985" s="3" t="str">
        <f>Loads[[#This Row],[Load]]&amp;Loads[[#This Row],[Count]]</f>
        <v>44271Product210</v>
      </c>
      <c r="D1985" s="90">
        <v>44271</v>
      </c>
      <c r="E1985" s="143">
        <v>0.24722222222222223</v>
      </c>
      <c r="F1985" s="1" t="s">
        <v>9</v>
      </c>
      <c r="G1985" s="2" t="s">
        <v>13</v>
      </c>
      <c r="H1985" s="2" t="s">
        <v>42</v>
      </c>
      <c r="I1985" s="1" t="s">
        <v>11</v>
      </c>
      <c r="J1985" s="1" t="s">
        <v>8</v>
      </c>
      <c r="K1985" s="89">
        <v>13180</v>
      </c>
      <c r="L1985" s="3">
        <v>58.62</v>
      </c>
      <c r="M1985" s="3">
        <v>9.42</v>
      </c>
      <c r="N1985" s="3" t="s">
        <v>8</v>
      </c>
      <c r="O1985" s="3" t="s">
        <v>8</v>
      </c>
    </row>
    <row r="1986" spans="1:15" x14ac:dyDescent="0.35">
      <c r="A1986" s="5" t="str">
        <f>Loads[[#This Row],[Date]]&amp;Loads[[#This Row],[Product]]</f>
        <v>44272Product7</v>
      </c>
      <c r="B1986" s="5">
        <f>COUNTIF($A$1:A1986,Loads[[#This Row],[Load]])</f>
        <v>1</v>
      </c>
      <c r="C1986" s="3" t="str">
        <f>Loads[[#This Row],[Load]]&amp;Loads[[#This Row],[Count]]</f>
        <v>44272Product71</v>
      </c>
      <c r="D1986" s="90">
        <v>44272</v>
      </c>
      <c r="E1986" s="143">
        <v>0.8125</v>
      </c>
      <c r="F1986" s="1" t="s">
        <v>9</v>
      </c>
      <c r="G1986" s="2" t="s">
        <v>18</v>
      </c>
      <c r="H1986" s="2" t="s">
        <v>42</v>
      </c>
      <c r="I1986" s="1" t="s">
        <v>11</v>
      </c>
      <c r="J1986" s="1" t="s">
        <v>8</v>
      </c>
      <c r="K1986" s="89">
        <v>19780</v>
      </c>
      <c r="L1986" s="3" t="s">
        <v>8</v>
      </c>
      <c r="M1986" s="3">
        <v>20.77</v>
      </c>
      <c r="N1986" s="3" t="s">
        <v>8</v>
      </c>
      <c r="O1986" s="3">
        <v>38.14</v>
      </c>
    </row>
    <row r="1987" spans="1:15" x14ac:dyDescent="0.35">
      <c r="A1987" s="5" t="str">
        <f>Loads[[#This Row],[Date]]&amp;Loads[[#This Row],[Product]]</f>
        <v>44272Product6</v>
      </c>
      <c r="B1987" s="5">
        <f>COUNTIF($A$1:A1987,Loads[[#This Row],[Load]])</f>
        <v>1</v>
      </c>
      <c r="C1987" s="3" t="str">
        <f>Loads[[#This Row],[Load]]&amp;Loads[[#This Row],[Count]]</f>
        <v>44272Product61</v>
      </c>
      <c r="D1987" s="90">
        <v>44272</v>
      </c>
      <c r="E1987" s="143">
        <v>0</v>
      </c>
      <c r="F1987" s="1" t="s">
        <v>9</v>
      </c>
      <c r="G1987" s="2" t="s">
        <v>17</v>
      </c>
      <c r="H1987" s="2" t="s">
        <v>42</v>
      </c>
      <c r="I1987" s="1" t="s">
        <v>11</v>
      </c>
      <c r="J1987" s="1" t="s">
        <v>8</v>
      </c>
      <c r="K1987" s="89">
        <v>35820</v>
      </c>
      <c r="L1987" s="3">
        <v>0.27</v>
      </c>
      <c r="M1987" s="3" t="s">
        <v>8</v>
      </c>
      <c r="N1987" s="3">
        <v>2.08</v>
      </c>
      <c r="O1987" s="3" t="s">
        <v>8</v>
      </c>
    </row>
    <row r="1988" spans="1:15" x14ac:dyDescent="0.35">
      <c r="A1988" s="5" t="str">
        <f>Loads[[#This Row],[Date]]&amp;Loads[[#This Row],[Product]]</f>
        <v>44272Product6</v>
      </c>
      <c r="B1988" s="5">
        <f>COUNTIF($A$1:A1988,Loads[[#This Row],[Load]])</f>
        <v>2</v>
      </c>
      <c r="C1988" s="3" t="str">
        <f>Loads[[#This Row],[Load]]&amp;Loads[[#This Row],[Count]]</f>
        <v>44272Product62</v>
      </c>
      <c r="D1988" s="90">
        <v>44272</v>
      </c>
      <c r="E1988" s="143">
        <v>0.5</v>
      </c>
      <c r="F1988" s="1" t="s">
        <v>9</v>
      </c>
      <c r="G1988" s="2" t="s">
        <v>17</v>
      </c>
      <c r="H1988" s="2" t="s">
        <v>42</v>
      </c>
      <c r="I1988" s="1" t="s">
        <v>11</v>
      </c>
      <c r="J1988" s="1" t="s">
        <v>8</v>
      </c>
      <c r="K1988" s="89">
        <v>34340</v>
      </c>
      <c r="L1988" s="3">
        <v>0.08</v>
      </c>
      <c r="M1988" s="3" t="s">
        <v>8</v>
      </c>
      <c r="N1988" s="3">
        <v>2.4900000000000002</v>
      </c>
      <c r="O1988" s="3" t="s">
        <v>8</v>
      </c>
    </row>
    <row r="1989" spans="1:15" x14ac:dyDescent="0.35">
      <c r="A1989" s="5" t="str">
        <f>Loads[[#This Row],[Date]]&amp;Loads[[#This Row],[Product]]</f>
        <v>44272Product8</v>
      </c>
      <c r="B1989" s="5">
        <f>COUNTIF($A$1:A1989,Loads[[#This Row],[Load]])</f>
        <v>1</v>
      </c>
      <c r="C1989" s="3" t="str">
        <f>Loads[[#This Row],[Load]]&amp;Loads[[#This Row],[Count]]</f>
        <v>44272Product81</v>
      </c>
      <c r="D1989" s="90">
        <v>44272</v>
      </c>
      <c r="E1989" s="143">
        <v>0.73611111111111116</v>
      </c>
      <c r="F1989" s="1" t="s">
        <v>9</v>
      </c>
      <c r="G1989" s="2" t="s">
        <v>19</v>
      </c>
      <c r="H1989" s="2" t="s">
        <v>42</v>
      </c>
      <c r="I1989" s="1" t="s">
        <v>11</v>
      </c>
      <c r="J1989" s="1" t="s">
        <v>8</v>
      </c>
      <c r="K1989" s="89">
        <v>22260</v>
      </c>
      <c r="L1989" s="3">
        <v>12.48</v>
      </c>
      <c r="M1989" s="3">
        <v>7.2</v>
      </c>
      <c r="N1989" s="3" t="s">
        <v>8</v>
      </c>
      <c r="O1989" s="3" t="s">
        <v>8</v>
      </c>
    </row>
    <row r="1990" spans="1:15" x14ac:dyDescent="0.35">
      <c r="A1990" s="5" t="str">
        <f>Loads[[#This Row],[Date]]&amp;Loads[[#This Row],[Product]]</f>
        <v>44272Product4</v>
      </c>
      <c r="B1990" s="5">
        <f>COUNTIF($A$1:A1990,Loads[[#This Row],[Load]])</f>
        <v>1</v>
      </c>
      <c r="C1990" s="3" t="str">
        <f>Loads[[#This Row],[Load]]&amp;Loads[[#This Row],[Count]]</f>
        <v>44272Product41</v>
      </c>
      <c r="D1990" s="90">
        <v>44272</v>
      </c>
      <c r="E1990" s="143">
        <v>1.0416666666666666E-2</v>
      </c>
      <c r="F1990" s="1" t="s">
        <v>9</v>
      </c>
      <c r="G1990" s="2" t="s">
        <v>15</v>
      </c>
      <c r="H1990" s="2" t="s">
        <v>42</v>
      </c>
      <c r="I1990" s="1" t="s">
        <v>11</v>
      </c>
      <c r="J1990" s="1" t="s">
        <v>8</v>
      </c>
      <c r="K1990" s="89">
        <v>35100</v>
      </c>
      <c r="L1990" s="3">
        <v>6.86</v>
      </c>
      <c r="M1990" s="3">
        <v>65.06</v>
      </c>
      <c r="N1990" s="3" t="s">
        <v>8</v>
      </c>
      <c r="O1990" s="3" t="s">
        <v>8</v>
      </c>
    </row>
    <row r="1991" spans="1:15" x14ac:dyDescent="0.35">
      <c r="A1991" s="5" t="str">
        <f>Loads[[#This Row],[Date]]&amp;Loads[[#This Row],[Product]]</f>
        <v>44272Product1</v>
      </c>
      <c r="B1991" s="5">
        <f>COUNTIF($A$1:A1991,Loads[[#This Row],[Load]])</f>
        <v>1</v>
      </c>
      <c r="C1991" s="3" t="str">
        <f>Loads[[#This Row],[Load]]&amp;Loads[[#This Row],[Count]]</f>
        <v>44272Product11</v>
      </c>
      <c r="D1991" s="90">
        <v>44272</v>
      </c>
      <c r="E1991" s="143">
        <v>0.30138888888888887</v>
      </c>
      <c r="F1991" s="1" t="s">
        <v>9</v>
      </c>
      <c r="G1991" s="2" t="s">
        <v>12</v>
      </c>
      <c r="H1991" s="2" t="s">
        <v>42</v>
      </c>
      <c r="I1991" s="1" t="s">
        <v>10</v>
      </c>
      <c r="J1991" s="1">
        <v>63</v>
      </c>
      <c r="K1991" s="89">
        <v>2500</v>
      </c>
      <c r="L1991" s="3">
        <v>9.24</v>
      </c>
      <c r="M1991" s="3">
        <v>21.02</v>
      </c>
      <c r="N1991" s="3" t="s">
        <v>8</v>
      </c>
      <c r="O1991" s="3" t="s">
        <v>8</v>
      </c>
    </row>
    <row r="1992" spans="1:15" x14ac:dyDescent="0.35">
      <c r="A1992" s="5" t="str">
        <f>Loads[[#This Row],[Date]]&amp;Loads[[#This Row],[Product]]</f>
        <v>44272Product1</v>
      </c>
      <c r="B1992" s="5">
        <f>COUNTIF($A$1:A1992,Loads[[#This Row],[Load]])</f>
        <v>2</v>
      </c>
      <c r="C1992" s="3" t="str">
        <f>Loads[[#This Row],[Load]]&amp;Loads[[#This Row],[Count]]</f>
        <v>44272Product12</v>
      </c>
      <c r="D1992" s="90">
        <v>44272</v>
      </c>
      <c r="E1992" s="143">
        <v>0.13541666666666666</v>
      </c>
      <c r="F1992" s="1" t="s">
        <v>9</v>
      </c>
      <c r="G1992" s="2" t="s">
        <v>12</v>
      </c>
      <c r="H1992" s="2" t="s">
        <v>42</v>
      </c>
      <c r="I1992" s="1" t="s">
        <v>10</v>
      </c>
      <c r="J1992" s="1">
        <v>782</v>
      </c>
      <c r="K1992" s="89">
        <v>31220</v>
      </c>
      <c r="L1992" s="3">
        <v>4.84</v>
      </c>
      <c r="M1992" s="3">
        <v>22.25</v>
      </c>
      <c r="N1992" s="3" t="s">
        <v>8</v>
      </c>
      <c r="O1992" s="3" t="s">
        <v>8</v>
      </c>
    </row>
    <row r="1993" spans="1:15" x14ac:dyDescent="0.35">
      <c r="A1993" s="5" t="str">
        <f>Loads[[#This Row],[Date]]&amp;Loads[[#This Row],[Product]]</f>
        <v>44272Product1</v>
      </c>
      <c r="B1993" s="5">
        <f>COUNTIF($A$1:A1993,Loads[[#This Row],[Load]])</f>
        <v>3</v>
      </c>
      <c r="C1993" s="3" t="str">
        <f>Loads[[#This Row],[Load]]&amp;Loads[[#This Row],[Count]]</f>
        <v>44272Product13</v>
      </c>
      <c r="D1993" s="90">
        <v>44272</v>
      </c>
      <c r="E1993" s="143">
        <v>5.2777777777777778E-2</v>
      </c>
      <c r="F1993" s="1" t="s">
        <v>9</v>
      </c>
      <c r="G1993" s="2" t="s">
        <v>12</v>
      </c>
      <c r="H1993" s="2" t="s">
        <v>42</v>
      </c>
      <c r="I1993" s="1" t="s">
        <v>11</v>
      </c>
      <c r="J1993" s="1" t="s">
        <v>8</v>
      </c>
      <c r="K1993" s="89">
        <v>30520</v>
      </c>
      <c r="L1993" s="3">
        <v>5.4</v>
      </c>
      <c r="M1993" s="3">
        <v>22.09</v>
      </c>
      <c r="N1993" s="3" t="s">
        <v>8</v>
      </c>
      <c r="O1993" s="3" t="s">
        <v>8</v>
      </c>
    </row>
    <row r="1994" spans="1:15" x14ac:dyDescent="0.35">
      <c r="A1994" s="5" t="str">
        <f>Loads[[#This Row],[Date]]&amp;Loads[[#This Row],[Product]]</f>
        <v>44272Product1</v>
      </c>
      <c r="B1994" s="5">
        <f>COUNTIF($A$1:A1994,Loads[[#This Row],[Load]])</f>
        <v>4</v>
      </c>
      <c r="C1994" s="3" t="str">
        <f>Loads[[#This Row],[Load]]&amp;Loads[[#This Row],[Count]]</f>
        <v>44272Product14</v>
      </c>
      <c r="D1994" s="90">
        <v>44272</v>
      </c>
      <c r="E1994" s="143">
        <v>0.28125</v>
      </c>
      <c r="F1994" s="1" t="s">
        <v>9</v>
      </c>
      <c r="G1994" s="2" t="s">
        <v>12</v>
      </c>
      <c r="H1994" s="2" t="s">
        <v>42</v>
      </c>
      <c r="I1994" s="1" t="s">
        <v>11</v>
      </c>
      <c r="J1994" s="1" t="s">
        <v>8</v>
      </c>
      <c r="K1994" s="89">
        <v>28740</v>
      </c>
      <c r="L1994" s="3">
        <v>10.78</v>
      </c>
      <c r="M1994" s="3">
        <v>21.22</v>
      </c>
      <c r="N1994" s="3" t="s">
        <v>8</v>
      </c>
      <c r="O1994" s="3" t="s">
        <v>8</v>
      </c>
    </row>
    <row r="1995" spans="1:15" x14ac:dyDescent="0.35">
      <c r="A1995" s="5" t="str">
        <f>Loads[[#This Row],[Date]]&amp;Loads[[#This Row],[Product]]</f>
        <v>44272Product1</v>
      </c>
      <c r="B1995" s="5">
        <f>COUNTIF($A$1:A1995,Loads[[#This Row],[Load]])</f>
        <v>5</v>
      </c>
      <c r="C1995" s="3" t="str">
        <f>Loads[[#This Row],[Load]]&amp;Loads[[#This Row],[Count]]</f>
        <v>44272Product15</v>
      </c>
      <c r="D1995" s="90">
        <v>44272</v>
      </c>
      <c r="E1995" s="143">
        <v>0.3611111111111111</v>
      </c>
      <c r="F1995" s="1" t="s">
        <v>9</v>
      </c>
      <c r="G1995" s="2" t="s">
        <v>12</v>
      </c>
      <c r="H1995" s="2" t="s">
        <v>42</v>
      </c>
      <c r="I1995" s="1" t="s">
        <v>11</v>
      </c>
      <c r="J1995" s="1" t="s">
        <v>8</v>
      </c>
      <c r="K1995" s="89">
        <v>19260</v>
      </c>
      <c r="L1995" s="3">
        <v>10.49</v>
      </c>
      <c r="M1995" s="3">
        <v>21.43</v>
      </c>
      <c r="N1995" s="3" t="s">
        <v>8</v>
      </c>
      <c r="O1995" s="3" t="s">
        <v>8</v>
      </c>
    </row>
    <row r="1996" spans="1:15" x14ac:dyDescent="0.35">
      <c r="A1996" s="5" t="str">
        <f>Loads[[#This Row],[Date]]&amp;Loads[[#This Row],[Product]]</f>
        <v>44272Product1</v>
      </c>
      <c r="B1996" s="5">
        <f>COUNTIF($A$1:A1996,Loads[[#This Row],[Load]])</f>
        <v>6</v>
      </c>
      <c r="C1996" s="3" t="str">
        <f>Loads[[#This Row],[Load]]&amp;Loads[[#This Row],[Count]]</f>
        <v>44272Product16</v>
      </c>
      <c r="D1996" s="90">
        <v>44272</v>
      </c>
      <c r="E1996" s="143">
        <v>0.78472222222222221</v>
      </c>
      <c r="F1996" s="1" t="s">
        <v>9</v>
      </c>
      <c r="G1996" s="2" t="s">
        <v>12</v>
      </c>
      <c r="H1996" s="2" t="s">
        <v>42</v>
      </c>
      <c r="I1996" s="1" t="s">
        <v>10</v>
      </c>
      <c r="J1996" s="1">
        <v>625</v>
      </c>
      <c r="K1996" s="89">
        <v>24940</v>
      </c>
      <c r="L1996" s="3">
        <v>9.9499999999999993</v>
      </c>
      <c r="M1996" s="3">
        <v>21.99</v>
      </c>
      <c r="N1996" s="3" t="s">
        <v>8</v>
      </c>
      <c r="O1996" s="3" t="s">
        <v>8</v>
      </c>
    </row>
    <row r="1997" spans="1:15" x14ac:dyDescent="0.35">
      <c r="A1997" s="5" t="str">
        <f>Loads[[#This Row],[Date]]&amp;Loads[[#This Row],[Product]]</f>
        <v>44272Product2</v>
      </c>
      <c r="B1997" s="5">
        <f>COUNTIF($A$1:A1997,Loads[[#This Row],[Load]])</f>
        <v>1</v>
      </c>
      <c r="C1997" s="3" t="str">
        <f>Loads[[#This Row],[Load]]&amp;Loads[[#This Row],[Count]]</f>
        <v>44272Product21</v>
      </c>
      <c r="D1997" s="90">
        <v>44272</v>
      </c>
      <c r="E1997" s="143">
        <v>0.29583333333333334</v>
      </c>
      <c r="F1997" s="1" t="s">
        <v>9</v>
      </c>
      <c r="G1997" s="2" t="s">
        <v>13</v>
      </c>
      <c r="H1997" s="2" t="s">
        <v>42</v>
      </c>
      <c r="I1997" s="1" t="s">
        <v>11</v>
      </c>
      <c r="J1997" s="1" t="s">
        <v>8</v>
      </c>
      <c r="K1997" s="89">
        <v>11500</v>
      </c>
      <c r="L1997" s="3">
        <v>56.48</v>
      </c>
      <c r="M1997" s="3">
        <v>10.95</v>
      </c>
      <c r="N1997" s="3" t="s">
        <v>8</v>
      </c>
      <c r="O1997" s="3" t="s">
        <v>8</v>
      </c>
    </row>
    <row r="1998" spans="1:15" x14ac:dyDescent="0.35">
      <c r="A1998" s="5" t="str">
        <f>Loads[[#This Row],[Date]]&amp;Loads[[#This Row],[Product]]</f>
        <v>44272Product2</v>
      </c>
      <c r="B1998" s="5">
        <f>COUNTIF($A$1:A1998,Loads[[#This Row],[Load]])</f>
        <v>2</v>
      </c>
      <c r="C1998" s="3" t="str">
        <f>Loads[[#This Row],[Load]]&amp;Loads[[#This Row],[Count]]</f>
        <v>44272Product22</v>
      </c>
      <c r="D1998" s="90">
        <v>44272</v>
      </c>
      <c r="E1998" s="143">
        <v>4.8611111111111112E-3</v>
      </c>
      <c r="F1998" s="1" t="s">
        <v>9</v>
      </c>
      <c r="G1998" s="2" t="s">
        <v>13</v>
      </c>
      <c r="H1998" s="2" t="s">
        <v>42</v>
      </c>
      <c r="I1998" s="1" t="s">
        <v>11</v>
      </c>
      <c r="J1998" s="1" t="s">
        <v>8</v>
      </c>
      <c r="K1998" s="89">
        <v>13640</v>
      </c>
      <c r="L1998" s="3">
        <v>59.1</v>
      </c>
      <c r="M1998" s="3">
        <v>11.01</v>
      </c>
      <c r="N1998" s="3" t="s">
        <v>8</v>
      </c>
      <c r="O1998" s="3" t="s">
        <v>8</v>
      </c>
    </row>
    <row r="1999" spans="1:15" x14ac:dyDescent="0.35">
      <c r="A1999" s="5" t="str">
        <f>Loads[[#This Row],[Date]]&amp;Loads[[#This Row],[Product]]</f>
        <v>44272Product2</v>
      </c>
      <c r="B1999" s="5">
        <f>COUNTIF($A$1:A1999,Loads[[#This Row],[Load]])</f>
        <v>3</v>
      </c>
      <c r="C1999" s="3" t="str">
        <f>Loads[[#This Row],[Load]]&amp;Loads[[#This Row],[Count]]</f>
        <v>44272Product23</v>
      </c>
      <c r="D1999" s="90">
        <v>44272</v>
      </c>
      <c r="E1999" s="143">
        <v>0.19027777777777777</v>
      </c>
      <c r="F1999" s="1" t="s">
        <v>9</v>
      </c>
      <c r="G1999" s="2" t="s">
        <v>13</v>
      </c>
      <c r="H1999" s="2" t="s">
        <v>42</v>
      </c>
      <c r="I1999" s="1" t="s">
        <v>11</v>
      </c>
      <c r="J1999" s="1" t="s">
        <v>8</v>
      </c>
      <c r="K1999" s="89">
        <v>10900</v>
      </c>
      <c r="L1999" s="3">
        <v>60.96</v>
      </c>
      <c r="M1999" s="3">
        <v>10.06</v>
      </c>
      <c r="N1999" s="3" t="s">
        <v>8</v>
      </c>
      <c r="O1999" s="3" t="s">
        <v>8</v>
      </c>
    </row>
    <row r="2000" spans="1:15" x14ac:dyDescent="0.35">
      <c r="A2000" s="5" t="str">
        <f>Loads[[#This Row],[Date]]&amp;Loads[[#This Row],[Product]]</f>
        <v>44272Product2</v>
      </c>
      <c r="B2000" s="5">
        <f>COUNTIF($A$1:A2000,Loads[[#This Row],[Load]])</f>
        <v>4</v>
      </c>
      <c r="C2000" s="3" t="str">
        <f>Loads[[#This Row],[Load]]&amp;Loads[[#This Row],[Count]]</f>
        <v>44272Product24</v>
      </c>
      <c r="D2000" s="90">
        <v>44272</v>
      </c>
      <c r="E2000" s="143">
        <v>0.13680555555555554</v>
      </c>
      <c r="F2000" s="1" t="s">
        <v>9</v>
      </c>
      <c r="G2000" s="2" t="s">
        <v>13</v>
      </c>
      <c r="H2000" s="2" t="s">
        <v>42</v>
      </c>
      <c r="I2000" s="1" t="s">
        <v>11</v>
      </c>
      <c r="J2000" s="1" t="s">
        <v>8</v>
      </c>
      <c r="K2000" s="89">
        <v>12100</v>
      </c>
      <c r="L2000" s="3">
        <v>53.05</v>
      </c>
      <c r="M2000" s="3">
        <v>15.77</v>
      </c>
      <c r="N2000" s="3" t="s">
        <v>8</v>
      </c>
      <c r="O2000" s="3" t="s">
        <v>8</v>
      </c>
    </row>
    <row r="2001" spans="1:15" x14ac:dyDescent="0.35">
      <c r="A2001" s="5" t="str">
        <f>Loads[[#This Row],[Date]]&amp;Loads[[#This Row],[Product]]</f>
        <v>44272Product2</v>
      </c>
      <c r="B2001" s="5">
        <f>COUNTIF($A$1:A2001,Loads[[#This Row],[Load]])</f>
        <v>5</v>
      </c>
      <c r="C2001" s="3" t="str">
        <f>Loads[[#This Row],[Load]]&amp;Loads[[#This Row],[Count]]</f>
        <v>44272Product25</v>
      </c>
      <c r="D2001" s="90">
        <v>44272</v>
      </c>
      <c r="E2001" s="143">
        <v>0.53888888888888886</v>
      </c>
      <c r="F2001" s="1" t="s">
        <v>9</v>
      </c>
      <c r="G2001" s="2" t="s">
        <v>13</v>
      </c>
      <c r="H2001" s="2" t="s">
        <v>42</v>
      </c>
      <c r="I2001" s="1" t="s">
        <v>11</v>
      </c>
      <c r="J2001" s="1" t="s">
        <v>8</v>
      </c>
      <c r="K2001" s="89">
        <v>12080</v>
      </c>
      <c r="L2001" s="3">
        <v>54.67</v>
      </c>
      <c r="M2001" s="3">
        <v>10.78</v>
      </c>
      <c r="N2001" s="3" t="s">
        <v>8</v>
      </c>
      <c r="O2001" s="3" t="s">
        <v>8</v>
      </c>
    </row>
    <row r="2002" spans="1:15" x14ac:dyDescent="0.35">
      <c r="A2002" s="5" t="str">
        <f>Loads[[#This Row],[Date]]&amp;Loads[[#This Row],[Product]]</f>
        <v>44272Product2</v>
      </c>
      <c r="B2002" s="5">
        <f>COUNTIF($A$1:A2002,Loads[[#This Row],[Load]])</f>
        <v>6</v>
      </c>
      <c r="C2002" s="3" t="str">
        <f>Loads[[#This Row],[Load]]&amp;Loads[[#This Row],[Count]]</f>
        <v>44272Product26</v>
      </c>
      <c r="D2002" s="90">
        <v>44272</v>
      </c>
      <c r="E2002" s="143">
        <v>9.0277777777777776E-2</v>
      </c>
      <c r="F2002" s="1" t="s">
        <v>9</v>
      </c>
      <c r="G2002" s="2" t="s">
        <v>13</v>
      </c>
      <c r="H2002" s="2" t="s">
        <v>42</v>
      </c>
      <c r="I2002" s="1" t="s">
        <v>11</v>
      </c>
      <c r="J2002" s="1" t="s">
        <v>8</v>
      </c>
      <c r="K2002" s="89">
        <v>16420</v>
      </c>
      <c r="L2002" s="3">
        <v>57.26</v>
      </c>
      <c r="M2002" s="3">
        <v>10.7</v>
      </c>
      <c r="N2002" s="3" t="s">
        <v>8</v>
      </c>
      <c r="O2002" s="3" t="s">
        <v>8</v>
      </c>
    </row>
    <row r="2003" spans="1:15" x14ac:dyDescent="0.35">
      <c r="A2003" s="5" t="str">
        <f>Loads[[#This Row],[Date]]&amp;Loads[[#This Row],[Product]]</f>
        <v>44272Product3</v>
      </c>
      <c r="B2003" s="5">
        <f>COUNTIF($A$1:A2003,Loads[[#This Row],[Load]])</f>
        <v>1</v>
      </c>
      <c r="C2003" s="3" t="str">
        <f>Loads[[#This Row],[Load]]&amp;Loads[[#This Row],[Count]]</f>
        <v>44272Product31</v>
      </c>
      <c r="D2003" s="90">
        <v>44272</v>
      </c>
      <c r="E2003" s="143">
        <v>0.2673611111111111</v>
      </c>
      <c r="F2003" s="1" t="s">
        <v>9</v>
      </c>
      <c r="G2003" s="2" t="s">
        <v>14</v>
      </c>
      <c r="H2003" s="2" t="s">
        <v>42</v>
      </c>
      <c r="I2003" s="1" t="s">
        <v>11</v>
      </c>
      <c r="J2003" s="1" t="s">
        <v>8</v>
      </c>
      <c r="K2003" s="89">
        <v>11900</v>
      </c>
      <c r="L2003" s="3">
        <v>53.5</v>
      </c>
      <c r="M2003" s="3">
        <v>11.25</v>
      </c>
      <c r="N2003" s="3" t="s">
        <v>8</v>
      </c>
      <c r="O2003" s="3" t="s">
        <v>8</v>
      </c>
    </row>
    <row r="2004" spans="1:15" x14ac:dyDescent="0.35">
      <c r="A2004" s="5" t="str">
        <f>Loads[[#This Row],[Date]]&amp;Loads[[#This Row],[Product]]</f>
        <v>44272Product2</v>
      </c>
      <c r="B2004" s="5">
        <f>COUNTIF($A$1:A2004,Loads[[#This Row],[Load]])</f>
        <v>7</v>
      </c>
      <c r="C2004" s="3" t="str">
        <f>Loads[[#This Row],[Load]]&amp;Loads[[#This Row],[Count]]</f>
        <v>44272Product27</v>
      </c>
      <c r="D2004" s="90">
        <v>44272</v>
      </c>
      <c r="E2004" s="143">
        <v>0.59236111111111112</v>
      </c>
      <c r="F2004" s="1" t="s">
        <v>9</v>
      </c>
      <c r="G2004" s="2" t="s">
        <v>13</v>
      </c>
      <c r="H2004" s="2" t="s">
        <v>42</v>
      </c>
      <c r="I2004" s="1" t="s">
        <v>11</v>
      </c>
      <c r="J2004" s="1" t="s">
        <v>8</v>
      </c>
      <c r="K2004" s="89">
        <v>15060</v>
      </c>
      <c r="L2004" s="3">
        <v>53.77</v>
      </c>
      <c r="M2004" s="3">
        <v>12.66</v>
      </c>
      <c r="N2004" s="3" t="s">
        <v>8</v>
      </c>
      <c r="O2004" s="3" t="s">
        <v>8</v>
      </c>
    </row>
    <row r="2005" spans="1:15" x14ac:dyDescent="0.35">
      <c r="A2005" s="5" t="str">
        <f>Loads[[#This Row],[Date]]&amp;Loads[[#This Row],[Product]]</f>
        <v>44272Product3</v>
      </c>
      <c r="B2005" s="5">
        <f>COUNTIF($A$1:A2005,Loads[[#This Row],[Load]])</f>
        <v>2</v>
      </c>
      <c r="C2005" s="3" t="str">
        <f>Loads[[#This Row],[Load]]&amp;Loads[[#This Row],[Count]]</f>
        <v>44272Product32</v>
      </c>
      <c r="D2005" s="90">
        <v>44272</v>
      </c>
      <c r="E2005" s="143">
        <v>0.42430555555555555</v>
      </c>
      <c r="F2005" s="1" t="s">
        <v>9</v>
      </c>
      <c r="G2005" s="2" t="s">
        <v>14</v>
      </c>
      <c r="H2005" s="2" t="s">
        <v>42</v>
      </c>
      <c r="I2005" s="1" t="s">
        <v>11</v>
      </c>
      <c r="J2005" s="1" t="s">
        <v>8</v>
      </c>
      <c r="K2005" s="89">
        <v>11080</v>
      </c>
      <c r="L2005" s="3">
        <v>56.15</v>
      </c>
      <c r="M2005" s="3">
        <v>11.59</v>
      </c>
      <c r="N2005" s="3" t="s">
        <v>8</v>
      </c>
      <c r="O2005" s="3" t="s">
        <v>8</v>
      </c>
    </row>
    <row r="2006" spans="1:15" x14ac:dyDescent="0.35">
      <c r="A2006" s="5" t="str">
        <f>Loads[[#This Row],[Date]]&amp;Loads[[#This Row],[Product]]</f>
        <v>44272Product2</v>
      </c>
      <c r="B2006" s="5">
        <f>COUNTIF($A$1:A2006,Loads[[#This Row],[Load]])</f>
        <v>8</v>
      </c>
      <c r="C2006" s="3" t="str">
        <f>Loads[[#This Row],[Load]]&amp;Loads[[#This Row],[Count]]</f>
        <v>44272Product28</v>
      </c>
      <c r="D2006" s="90">
        <v>44272</v>
      </c>
      <c r="E2006" s="143">
        <v>0.42430555555555555</v>
      </c>
      <c r="F2006" s="1" t="s">
        <v>9</v>
      </c>
      <c r="G2006" s="2" t="s">
        <v>13</v>
      </c>
      <c r="H2006" s="2" t="s">
        <v>42</v>
      </c>
      <c r="I2006" s="1" t="s">
        <v>11</v>
      </c>
      <c r="J2006" s="1" t="s">
        <v>8</v>
      </c>
      <c r="K2006" s="89">
        <v>9320</v>
      </c>
      <c r="L2006" s="3">
        <v>54.51</v>
      </c>
      <c r="M2006" s="3">
        <v>11.83</v>
      </c>
      <c r="N2006" s="3" t="s">
        <v>8</v>
      </c>
      <c r="O2006" s="3" t="s">
        <v>8</v>
      </c>
    </row>
    <row r="2007" spans="1:15" x14ac:dyDescent="0.35">
      <c r="A2007" s="5" t="str">
        <f>Loads[[#This Row],[Date]]&amp;Loads[[#This Row],[Product]]</f>
        <v>44272Product2</v>
      </c>
      <c r="B2007" s="5">
        <f>COUNTIF($A$1:A2007,Loads[[#This Row],[Load]])</f>
        <v>9</v>
      </c>
      <c r="C2007" s="3" t="str">
        <f>Loads[[#This Row],[Load]]&amp;Loads[[#This Row],[Count]]</f>
        <v>44272Product29</v>
      </c>
      <c r="D2007" s="90">
        <v>44272</v>
      </c>
      <c r="E2007" s="143">
        <v>0.66319444444444442</v>
      </c>
      <c r="F2007" s="1" t="s">
        <v>9</v>
      </c>
      <c r="G2007" s="2" t="s">
        <v>13</v>
      </c>
      <c r="H2007" s="2" t="s">
        <v>42</v>
      </c>
      <c r="I2007" s="1" t="s">
        <v>11</v>
      </c>
      <c r="J2007" s="1" t="s">
        <v>8</v>
      </c>
      <c r="K2007" s="89">
        <v>8340</v>
      </c>
      <c r="L2007" s="3">
        <v>59.15</v>
      </c>
      <c r="M2007" s="3">
        <v>11.39</v>
      </c>
      <c r="N2007" s="3" t="s">
        <v>8</v>
      </c>
      <c r="O2007" s="3" t="s">
        <v>8</v>
      </c>
    </row>
    <row r="2008" spans="1:15" x14ac:dyDescent="0.35">
      <c r="A2008" s="5" t="str">
        <f>Loads[[#This Row],[Date]]&amp;Loads[[#This Row],[Product]]</f>
        <v>44272Product2</v>
      </c>
      <c r="B2008" s="5">
        <f>COUNTIF($A$1:A2008,Loads[[#This Row],[Load]])</f>
        <v>10</v>
      </c>
      <c r="C2008" s="3" t="str">
        <f>Loads[[#This Row],[Load]]&amp;Loads[[#This Row],[Count]]</f>
        <v>44272Product210</v>
      </c>
      <c r="D2008" s="90">
        <v>44272</v>
      </c>
      <c r="E2008" s="143">
        <v>0.88611111111111107</v>
      </c>
      <c r="F2008" s="1" t="s">
        <v>9</v>
      </c>
      <c r="G2008" s="2" t="s">
        <v>13</v>
      </c>
      <c r="H2008" s="2" t="s">
        <v>42</v>
      </c>
      <c r="I2008" s="1" t="s">
        <v>11</v>
      </c>
      <c r="J2008" s="1" t="s">
        <v>8</v>
      </c>
      <c r="K2008" s="89">
        <v>10780</v>
      </c>
      <c r="L2008" s="3">
        <v>55.73</v>
      </c>
      <c r="M2008" s="3">
        <v>11.76</v>
      </c>
      <c r="N2008" s="3" t="s">
        <v>8</v>
      </c>
      <c r="O2008" s="3" t="s">
        <v>8</v>
      </c>
    </row>
    <row r="2009" spans="1:15" x14ac:dyDescent="0.35">
      <c r="A2009" s="5" t="str">
        <f>Loads[[#This Row],[Date]]&amp;Loads[[#This Row],[Product]]</f>
        <v>44272Product2</v>
      </c>
      <c r="B2009" s="5">
        <f>COUNTIF($A$1:A2009,Loads[[#This Row],[Load]])</f>
        <v>11</v>
      </c>
      <c r="C2009" s="3" t="str">
        <f>Loads[[#This Row],[Load]]&amp;Loads[[#This Row],[Count]]</f>
        <v>44272Product211</v>
      </c>
      <c r="D2009" s="90">
        <v>44272</v>
      </c>
      <c r="E2009" s="143">
        <v>0.91319444444444453</v>
      </c>
      <c r="F2009" s="1" t="s">
        <v>9</v>
      </c>
      <c r="G2009" s="2" t="s">
        <v>13</v>
      </c>
      <c r="H2009" s="2" t="s">
        <v>42</v>
      </c>
      <c r="I2009" s="1" t="s">
        <v>11</v>
      </c>
      <c r="J2009" s="1" t="s">
        <v>8</v>
      </c>
      <c r="K2009" s="89">
        <v>17520</v>
      </c>
      <c r="L2009" s="3">
        <v>55.83</v>
      </c>
      <c r="M2009" s="3">
        <v>11.48</v>
      </c>
      <c r="N2009" s="3" t="s">
        <v>8</v>
      </c>
      <c r="O2009" s="3" t="s">
        <v>8</v>
      </c>
    </row>
    <row r="2010" spans="1:15" x14ac:dyDescent="0.35">
      <c r="A2010" s="5" t="str">
        <f>Loads[[#This Row],[Date]]&amp;Loads[[#This Row],[Product]]</f>
        <v>44273Product7</v>
      </c>
      <c r="B2010" s="5">
        <f>COUNTIF($A$1:A2010,Loads[[#This Row],[Load]])</f>
        <v>1</v>
      </c>
      <c r="C2010" s="3" t="str">
        <f>Loads[[#This Row],[Load]]&amp;Loads[[#This Row],[Count]]</f>
        <v>44273Product71</v>
      </c>
      <c r="D2010" s="90">
        <v>44273</v>
      </c>
      <c r="E2010" s="143">
        <v>0.8125</v>
      </c>
      <c r="F2010" s="1" t="s">
        <v>9</v>
      </c>
      <c r="G2010" s="2" t="s">
        <v>18</v>
      </c>
      <c r="H2010" s="2" t="s">
        <v>42</v>
      </c>
      <c r="I2010" s="1" t="s">
        <v>11</v>
      </c>
      <c r="J2010" s="1" t="s">
        <v>8</v>
      </c>
      <c r="K2010" s="89">
        <v>21000</v>
      </c>
      <c r="L2010" s="3" t="s">
        <v>8</v>
      </c>
      <c r="M2010" s="3">
        <v>22.07</v>
      </c>
      <c r="N2010" s="3" t="s">
        <v>8</v>
      </c>
      <c r="O2010" s="3">
        <v>38</v>
      </c>
    </row>
    <row r="2011" spans="1:15" x14ac:dyDescent="0.35">
      <c r="A2011" s="5" t="str">
        <f>Loads[[#This Row],[Date]]&amp;Loads[[#This Row],[Product]]</f>
        <v>44273Product8</v>
      </c>
      <c r="B2011" s="5">
        <f>COUNTIF($A$1:A2011,Loads[[#This Row],[Load]])</f>
        <v>1</v>
      </c>
      <c r="C2011" s="3" t="str">
        <f>Loads[[#This Row],[Load]]&amp;Loads[[#This Row],[Count]]</f>
        <v>44273Product81</v>
      </c>
      <c r="D2011" s="90">
        <v>44273</v>
      </c>
      <c r="E2011" s="143">
        <v>0.79166666666666663</v>
      </c>
      <c r="F2011" s="1" t="s">
        <v>9</v>
      </c>
      <c r="G2011" s="2" t="s">
        <v>19</v>
      </c>
      <c r="H2011" s="2" t="s">
        <v>42</v>
      </c>
      <c r="I2011" s="1" t="s">
        <v>11</v>
      </c>
      <c r="J2011" s="1" t="s">
        <v>8</v>
      </c>
      <c r="K2011" s="89">
        <v>23200</v>
      </c>
      <c r="L2011" s="3">
        <v>12.88</v>
      </c>
      <c r="M2011" s="3">
        <v>7.2</v>
      </c>
      <c r="N2011" s="3" t="s">
        <v>8</v>
      </c>
      <c r="O2011" s="3" t="s">
        <v>8</v>
      </c>
    </row>
    <row r="2012" spans="1:15" x14ac:dyDescent="0.35">
      <c r="A2012" s="5" t="str">
        <f>Loads[[#This Row],[Date]]&amp;Loads[[#This Row],[Product]]</f>
        <v>44273Product6</v>
      </c>
      <c r="B2012" s="5">
        <f>COUNTIF($A$1:A2012,Loads[[#This Row],[Load]])</f>
        <v>1</v>
      </c>
      <c r="C2012" s="3" t="str">
        <f>Loads[[#This Row],[Load]]&amp;Loads[[#This Row],[Count]]</f>
        <v>44273Product61</v>
      </c>
      <c r="D2012" s="90">
        <v>44273</v>
      </c>
      <c r="E2012" s="143">
        <v>0.83333333333333337</v>
      </c>
      <c r="F2012" s="1" t="s">
        <v>9</v>
      </c>
      <c r="G2012" s="2" t="s">
        <v>17</v>
      </c>
      <c r="H2012" s="2" t="s">
        <v>42</v>
      </c>
      <c r="I2012" s="1" t="s">
        <v>11</v>
      </c>
      <c r="J2012" s="1" t="s">
        <v>8</v>
      </c>
      <c r="K2012" s="89">
        <v>36820</v>
      </c>
      <c r="L2012" s="3">
        <v>0.08</v>
      </c>
      <c r="M2012" s="3" t="s">
        <v>8</v>
      </c>
      <c r="N2012" s="3">
        <v>2.4900000000000002</v>
      </c>
      <c r="O2012" s="3" t="s">
        <v>8</v>
      </c>
    </row>
    <row r="2013" spans="1:15" x14ac:dyDescent="0.35">
      <c r="A2013" s="5" t="str">
        <f>Loads[[#This Row],[Date]]&amp;Loads[[#This Row],[Product]]</f>
        <v>44273Product5</v>
      </c>
      <c r="B2013" s="5">
        <f>COUNTIF($A$1:A2013,Loads[[#This Row],[Load]])</f>
        <v>1</v>
      </c>
      <c r="C2013" s="3" t="str">
        <f>Loads[[#This Row],[Load]]&amp;Loads[[#This Row],[Count]]</f>
        <v>44273Product51</v>
      </c>
      <c r="D2013" s="90">
        <v>44273</v>
      </c>
      <c r="E2013" s="143">
        <v>0.94444444444444453</v>
      </c>
      <c r="F2013" s="1" t="s">
        <v>9</v>
      </c>
      <c r="G2013" s="2" t="s">
        <v>16</v>
      </c>
      <c r="H2013" s="2" t="s">
        <v>42</v>
      </c>
      <c r="I2013" s="1" t="s">
        <v>11</v>
      </c>
      <c r="J2013" s="1" t="s">
        <v>8</v>
      </c>
      <c r="K2013" s="89">
        <v>15920</v>
      </c>
      <c r="L2013" s="3">
        <v>12.48</v>
      </c>
      <c r="N2013" s="3"/>
      <c r="O2013" s="3"/>
    </row>
    <row r="2014" spans="1:15" x14ac:dyDescent="0.35">
      <c r="A2014" s="5" t="str">
        <f>Loads[[#This Row],[Date]]&amp;Loads[[#This Row],[Product]]</f>
        <v>44273Product4</v>
      </c>
      <c r="B2014" s="5">
        <f>COUNTIF($A$1:A2014,Loads[[#This Row],[Load]])</f>
        <v>1</v>
      </c>
      <c r="C2014" s="3" t="str">
        <f>Loads[[#This Row],[Load]]&amp;Loads[[#This Row],[Count]]</f>
        <v>44273Product41</v>
      </c>
      <c r="D2014" s="90">
        <v>44273</v>
      </c>
      <c r="E2014" s="143">
        <v>9.375E-2</v>
      </c>
      <c r="F2014" s="1" t="s">
        <v>9</v>
      </c>
      <c r="G2014" s="2" t="s">
        <v>15</v>
      </c>
      <c r="H2014" s="2" t="s">
        <v>42</v>
      </c>
      <c r="I2014" s="1" t="s">
        <v>11</v>
      </c>
      <c r="J2014" s="1" t="s">
        <v>8</v>
      </c>
      <c r="K2014" s="89">
        <v>30380</v>
      </c>
      <c r="L2014" s="3">
        <v>10.43</v>
      </c>
      <c r="M2014" s="3">
        <v>60.26</v>
      </c>
      <c r="N2014" s="3" t="s">
        <v>8</v>
      </c>
      <c r="O2014" s="3" t="s">
        <v>8</v>
      </c>
    </row>
    <row r="2015" spans="1:15" x14ac:dyDescent="0.35">
      <c r="A2015" s="5" t="str">
        <f>Loads[[#This Row],[Date]]&amp;Loads[[#This Row],[Product]]</f>
        <v>44273Product4</v>
      </c>
      <c r="B2015" s="5">
        <f>COUNTIF($A$1:A2015,Loads[[#This Row],[Load]])</f>
        <v>2</v>
      </c>
      <c r="C2015" s="3" t="str">
        <f>Loads[[#This Row],[Load]]&amp;Loads[[#This Row],[Count]]</f>
        <v>44273Product42</v>
      </c>
      <c r="D2015" s="90">
        <v>44273</v>
      </c>
      <c r="E2015" s="143">
        <v>0.1388888888888889</v>
      </c>
      <c r="F2015" s="1" t="s">
        <v>9</v>
      </c>
      <c r="G2015" s="2" t="s">
        <v>15</v>
      </c>
      <c r="H2015" s="2" t="s">
        <v>42</v>
      </c>
      <c r="I2015" s="1" t="s">
        <v>11</v>
      </c>
      <c r="J2015" s="1" t="s">
        <v>8</v>
      </c>
      <c r="K2015" s="89">
        <v>31720</v>
      </c>
      <c r="L2015" s="3">
        <v>9.26</v>
      </c>
      <c r="M2015" s="3">
        <v>63.03</v>
      </c>
      <c r="N2015" s="3" t="s">
        <v>8</v>
      </c>
      <c r="O2015" s="3" t="s">
        <v>8</v>
      </c>
    </row>
    <row r="2016" spans="1:15" x14ac:dyDescent="0.35">
      <c r="A2016" s="5" t="str">
        <f>Loads[[#This Row],[Date]]&amp;Loads[[#This Row],[Product]]</f>
        <v>44273Product4</v>
      </c>
      <c r="B2016" s="5">
        <f>COUNTIF($A$1:A2016,Loads[[#This Row],[Load]])</f>
        <v>3</v>
      </c>
      <c r="C2016" s="3" t="str">
        <f>Loads[[#This Row],[Load]]&amp;Loads[[#This Row],[Count]]</f>
        <v>44273Product43</v>
      </c>
      <c r="D2016" s="90">
        <v>44273</v>
      </c>
      <c r="E2016" s="143">
        <v>0.47916666666666669</v>
      </c>
      <c r="F2016" s="1" t="s">
        <v>9</v>
      </c>
      <c r="G2016" s="2" t="s">
        <v>15</v>
      </c>
      <c r="H2016" s="2" t="s">
        <v>42</v>
      </c>
      <c r="I2016" s="1" t="s">
        <v>11</v>
      </c>
      <c r="J2016" s="1" t="s">
        <v>8</v>
      </c>
      <c r="K2016" s="89">
        <v>30160</v>
      </c>
      <c r="L2016" s="3">
        <v>8.3699999999999992</v>
      </c>
      <c r="M2016" s="3">
        <v>61.48</v>
      </c>
      <c r="N2016" s="3" t="s">
        <v>8</v>
      </c>
      <c r="O2016" s="3" t="s">
        <v>8</v>
      </c>
    </row>
    <row r="2017" spans="1:15" x14ac:dyDescent="0.35">
      <c r="A2017" s="5" t="str">
        <f>Loads[[#This Row],[Date]]&amp;Loads[[#This Row],[Product]]</f>
        <v>44273Product1</v>
      </c>
      <c r="B2017" s="5">
        <f>COUNTIF($A$1:A2017,Loads[[#This Row],[Load]])</f>
        <v>1</v>
      </c>
      <c r="C2017" s="3" t="str">
        <f>Loads[[#This Row],[Load]]&amp;Loads[[#This Row],[Count]]</f>
        <v>44273Product11</v>
      </c>
      <c r="D2017" s="90">
        <v>44273</v>
      </c>
      <c r="E2017" s="143">
        <v>0.95138888888888884</v>
      </c>
      <c r="F2017" s="1" t="s">
        <v>9</v>
      </c>
      <c r="G2017" s="2" t="s">
        <v>12</v>
      </c>
      <c r="H2017" s="2" t="s">
        <v>42</v>
      </c>
      <c r="I2017" s="1" t="s">
        <v>10</v>
      </c>
      <c r="J2017" s="1">
        <v>960</v>
      </c>
      <c r="K2017" s="89">
        <v>38400</v>
      </c>
      <c r="L2017" s="3">
        <v>9</v>
      </c>
      <c r="M2017" s="3">
        <v>23</v>
      </c>
      <c r="N2017" s="3" t="s">
        <v>8</v>
      </c>
      <c r="O2017" s="3" t="s">
        <v>8</v>
      </c>
    </row>
    <row r="2018" spans="1:15" x14ac:dyDescent="0.35">
      <c r="A2018" s="5" t="str">
        <f>Loads[[#This Row],[Date]]&amp;Loads[[#This Row],[Product]]</f>
        <v>44273Product1</v>
      </c>
      <c r="B2018" s="5">
        <f>COUNTIF($A$1:A2018,Loads[[#This Row],[Load]])</f>
        <v>2</v>
      </c>
      <c r="C2018" s="3" t="str">
        <f>Loads[[#This Row],[Load]]&amp;Loads[[#This Row],[Count]]</f>
        <v>44273Product12</v>
      </c>
      <c r="D2018" s="90">
        <v>44273</v>
      </c>
      <c r="E2018" s="143">
        <v>0</v>
      </c>
      <c r="F2018" s="1" t="s">
        <v>9</v>
      </c>
      <c r="G2018" s="2" t="s">
        <v>12</v>
      </c>
      <c r="H2018" s="2" t="s">
        <v>42</v>
      </c>
      <c r="I2018" s="1" t="s">
        <v>11</v>
      </c>
      <c r="J2018" s="1" t="s">
        <v>8</v>
      </c>
      <c r="K2018" s="89">
        <v>31660</v>
      </c>
      <c r="L2018" s="3">
        <v>9.73</v>
      </c>
      <c r="M2018" s="3">
        <v>22.01</v>
      </c>
      <c r="N2018" s="3" t="s">
        <v>8</v>
      </c>
      <c r="O2018" s="3" t="s">
        <v>8</v>
      </c>
    </row>
    <row r="2019" spans="1:15" x14ac:dyDescent="0.35">
      <c r="A2019" s="5" t="str">
        <f>Loads[[#This Row],[Date]]&amp;Loads[[#This Row],[Product]]</f>
        <v>44273Product1</v>
      </c>
      <c r="B2019" s="5">
        <f>COUNTIF($A$1:A2019,Loads[[#This Row],[Load]])</f>
        <v>3</v>
      </c>
      <c r="C2019" s="3" t="str">
        <f>Loads[[#This Row],[Load]]&amp;Loads[[#This Row],[Count]]</f>
        <v>44273Product13</v>
      </c>
      <c r="D2019" s="90">
        <v>44273</v>
      </c>
      <c r="E2019" s="143">
        <v>3.125E-2</v>
      </c>
      <c r="F2019" s="1" t="s">
        <v>9</v>
      </c>
      <c r="G2019" s="2" t="s">
        <v>12</v>
      </c>
      <c r="H2019" s="2" t="s">
        <v>42</v>
      </c>
      <c r="I2019" s="1" t="s">
        <v>10</v>
      </c>
      <c r="J2019" s="1">
        <v>325</v>
      </c>
      <c r="K2019" s="89">
        <v>12980</v>
      </c>
      <c r="L2019" s="3">
        <v>9.6300000000000008</v>
      </c>
      <c r="M2019" s="3">
        <v>22.02</v>
      </c>
      <c r="N2019" s="3" t="s">
        <v>8</v>
      </c>
      <c r="O2019" s="3" t="s">
        <v>8</v>
      </c>
    </row>
    <row r="2020" spans="1:15" x14ac:dyDescent="0.35">
      <c r="A2020" s="5" t="str">
        <f>Loads[[#This Row],[Date]]&amp;Loads[[#This Row],[Product]]</f>
        <v>44273Product1</v>
      </c>
      <c r="B2020" s="5">
        <f>COUNTIF($A$1:A2020,Loads[[#This Row],[Load]])</f>
        <v>4</v>
      </c>
      <c r="C2020" s="3" t="str">
        <f>Loads[[#This Row],[Load]]&amp;Loads[[#This Row],[Count]]</f>
        <v>44273Product14</v>
      </c>
      <c r="D2020" s="90">
        <v>44273</v>
      </c>
      <c r="E2020" s="143">
        <v>0.40277777777777773</v>
      </c>
      <c r="F2020" s="1" t="s">
        <v>9</v>
      </c>
      <c r="G2020" s="2" t="s">
        <v>12</v>
      </c>
      <c r="H2020" s="2" t="s">
        <v>42</v>
      </c>
      <c r="I2020" s="1" t="s">
        <v>11</v>
      </c>
      <c r="J2020" s="1" t="s">
        <v>8</v>
      </c>
      <c r="K2020" s="89">
        <v>25660</v>
      </c>
      <c r="L2020" s="3">
        <v>9.92</v>
      </c>
      <c r="M2020" s="3">
        <v>22.17</v>
      </c>
      <c r="N2020" s="3" t="s">
        <v>8</v>
      </c>
      <c r="O2020" s="3" t="s">
        <v>8</v>
      </c>
    </row>
    <row r="2021" spans="1:15" x14ac:dyDescent="0.35">
      <c r="A2021" s="5" t="str">
        <f>Loads[[#This Row],[Date]]&amp;Loads[[#This Row],[Product]]</f>
        <v>44273Product1</v>
      </c>
      <c r="B2021" s="5">
        <f>COUNTIF($A$1:A2021,Loads[[#This Row],[Load]])</f>
        <v>5</v>
      </c>
      <c r="C2021" s="3" t="str">
        <f>Loads[[#This Row],[Load]]&amp;Loads[[#This Row],[Count]]</f>
        <v>44273Product15</v>
      </c>
      <c r="D2021" s="90">
        <v>44273</v>
      </c>
      <c r="E2021" s="143">
        <v>0.52430555555555558</v>
      </c>
      <c r="F2021" s="1" t="s">
        <v>9</v>
      </c>
      <c r="G2021" s="2" t="s">
        <v>12</v>
      </c>
      <c r="H2021" s="2" t="s">
        <v>42</v>
      </c>
      <c r="I2021" s="1" t="s">
        <v>10</v>
      </c>
      <c r="J2021" s="1">
        <v>1</v>
      </c>
      <c r="K2021" s="89">
        <v>60</v>
      </c>
      <c r="L2021" s="3">
        <v>9.33</v>
      </c>
      <c r="M2021" s="3">
        <v>22.87</v>
      </c>
      <c r="N2021" s="3" t="s">
        <v>8</v>
      </c>
      <c r="O2021" s="3" t="s">
        <v>8</v>
      </c>
    </row>
    <row r="2022" spans="1:15" x14ac:dyDescent="0.35">
      <c r="A2022" s="5" t="str">
        <f>Loads[[#This Row],[Date]]&amp;Loads[[#This Row],[Product]]</f>
        <v>44273Product2</v>
      </c>
      <c r="B2022" s="5">
        <f>COUNTIF($A$1:A2022,Loads[[#This Row],[Load]])</f>
        <v>1</v>
      </c>
      <c r="C2022" s="3" t="str">
        <f>Loads[[#This Row],[Load]]&amp;Loads[[#This Row],[Count]]</f>
        <v>44273Product21</v>
      </c>
      <c r="D2022" s="90">
        <v>44273</v>
      </c>
      <c r="E2022" s="143">
        <v>5.1388888888888894E-2</v>
      </c>
      <c r="F2022" s="1" t="s">
        <v>9</v>
      </c>
      <c r="G2022" s="2" t="s">
        <v>13</v>
      </c>
      <c r="H2022" s="2" t="s">
        <v>42</v>
      </c>
      <c r="I2022" s="1" t="s">
        <v>11</v>
      </c>
      <c r="J2022" s="1" t="s">
        <v>8</v>
      </c>
      <c r="K2022" s="89">
        <v>11840</v>
      </c>
      <c r="L2022" s="3">
        <v>59.12</v>
      </c>
      <c r="M2022" s="3">
        <v>10.01</v>
      </c>
      <c r="N2022" s="3" t="s">
        <v>8</v>
      </c>
      <c r="O2022" s="3" t="s">
        <v>8</v>
      </c>
    </row>
    <row r="2023" spans="1:15" x14ac:dyDescent="0.35">
      <c r="A2023" s="5" t="str">
        <f>Loads[[#This Row],[Date]]&amp;Loads[[#This Row],[Product]]</f>
        <v>44273Product2</v>
      </c>
      <c r="B2023" s="5">
        <f>COUNTIF($A$1:A2023,Loads[[#This Row],[Load]])</f>
        <v>2</v>
      </c>
      <c r="C2023" s="3" t="str">
        <f>Loads[[#This Row],[Load]]&amp;Loads[[#This Row],[Count]]</f>
        <v>44273Product22</v>
      </c>
      <c r="D2023" s="90">
        <v>44273</v>
      </c>
      <c r="E2023" s="143">
        <v>0.17083333333333331</v>
      </c>
      <c r="F2023" s="1" t="s">
        <v>9</v>
      </c>
      <c r="G2023" s="2" t="s">
        <v>13</v>
      </c>
      <c r="H2023" s="2" t="s">
        <v>42</v>
      </c>
      <c r="I2023" s="1" t="s">
        <v>11</v>
      </c>
      <c r="J2023" s="1" t="s">
        <v>8</v>
      </c>
      <c r="K2023" s="89">
        <v>10880</v>
      </c>
      <c r="L2023" s="3">
        <v>61.63</v>
      </c>
      <c r="M2023" s="3">
        <v>9.9</v>
      </c>
      <c r="N2023" s="3" t="s">
        <v>8</v>
      </c>
      <c r="O2023" s="3" t="s">
        <v>8</v>
      </c>
    </row>
    <row r="2024" spans="1:15" x14ac:dyDescent="0.35">
      <c r="A2024" s="5" t="str">
        <f>Loads[[#This Row],[Date]]&amp;Loads[[#This Row],[Product]]</f>
        <v>44273Product2</v>
      </c>
      <c r="B2024" s="5">
        <f>COUNTIF($A$1:A2024,Loads[[#This Row],[Load]])</f>
        <v>3</v>
      </c>
      <c r="C2024" s="3" t="str">
        <f>Loads[[#This Row],[Load]]&amp;Loads[[#This Row],[Count]]</f>
        <v>44273Product23</v>
      </c>
      <c r="D2024" s="90">
        <v>44273</v>
      </c>
      <c r="E2024" s="143">
        <v>0.58263888888888882</v>
      </c>
      <c r="F2024" s="1" t="s">
        <v>9</v>
      </c>
      <c r="G2024" s="2" t="s">
        <v>13</v>
      </c>
      <c r="H2024" s="2" t="s">
        <v>42</v>
      </c>
      <c r="I2024" s="1" t="s">
        <v>11</v>
      </c>
      <c r="J2024" s="1" t="s">
        <v>8</v>
      </c>
      <c r="K2024" s="89">
        <v>10380</v>
      </c>
      <c r="L2024" s="3">
        <v>66.150000000000006</v>
      </c>
      <c r="M2024" s="3">
        <v>9.02</v>
      </c>
      <c r="N2024" s="3" t="s">
        <v>8</v>
      </c>
      <c r="O2024" s="3" t="s">
        <v>8</v>
      </c>
    </row>
    <row r="2025" spans="1:15" x14ac:dyDescent="0.35">
      <c r="A2025" s="5" t="str">
        <f>Loads[[#This Row],[Date]]&amp;Loads[[#This Row],[Product]]</f>
        <v>44273Product2</v>
      </c>
      <c r="B2025" s="5">
        <f>COUNTIF($A$1:A2025,Loads[[#This Row],[Load]])</f>
        <v>4</v>
      </c>
      <c r="C2025" s="3" t="str">
        <f>Loads[[#This Row],[Load]]&amp;Loads[[#This Row],[Count]]</f>
        <v>44273Product24</v>
      </c>
      <c r="D2025" s="90">
        <v>44273</v>
      </c>
      <c r="E2025" s="143">
        <v>0.3347222222222222</v>
      </c>
      <c r="F2025" s="1" t="s">
        <v>9</v>
      </c>
      <c r="G2025" s="2" t="s">
        <v>13</v>
      </c>
      <c r="H2025" s="2" t="s">
        <v>42</v>
      </c>
      <c r="I2025" s="1" t="s">
        <v>11</v>
      </c>
      <c r="J2025" s="1" t="s">
        <v>8</v>
      </c>
      <c r="K2025" s="89">
        <v>14560</v>
      </c>
      <c r="L2025" s="3">
        <v>60.14</v>
      </c>
      <c r="M2025" s="3">
        <v>9.7100000000000009</v>
      </c>
      <c r="N2025" s="3" t="s">
        <v>8</v>
      </c>
      <c r="O2025" s="3" t="s">
        <v>8</v>
      </c>
    </row>
    <row r="2026" spans="1:15" x14ac:dyDescent="0.35">
      <c r="A2026" s="5" t="str">
        <f>Loads[[#This Row],[Date]]&amp;Loads[[#This Row],[Product]]</f>
        <v>44273Product2</v>
      </c>
      <c r="B2026" s="5">
        <f>COUNTIF($A$1:A2026,Loads[[#This Row],[Load]])</f>
        <v>5</v>
      </c>
      <c r="C2026" s="3" t="str">
        <f>Loads[[#This Row],[Load]]&amp;Loads[[#This Row],[Count]]</f>
        <v>44273Product25</v>
      </c>
      <c r="D2026" s="90">
        <v>44273</v>
      </c>
      <c r="E2026" s="143">
        <v>0.4152777777777778</v>
      </c>
      <c r="F2026" s="1" t="s">
        <v>9</v>
      </c>
      <c r="G2026" s="2" t="s">
        <v>13</v>
      </c>
      <c r="H2026" s="2" t="s">
        <v>42</v>
      </c>
      <c r="I2026" s="1" t="s">
        <v>11</v>
      </c>
      <c r="J2026" s="1" t="s">
        <v>8</v>
      </c>
      <c r="K2026" s="89">
        <v>10920</v>
      </c>
      <c r="L2026" s="3">
        <v>60.28</v>
      </c>
      <c r="M2026" s="3">
        <v>9.14</v>
      </c>
      <c r="N2026" s="3" t="s">
        <v>8</v>
      </c>
      <c r="O2026" s="3" t="s">
        <v>8</v>
      </c>
    </row>
    <row r="2027" spans="1:15" x14ac:dyDescent="0.35">
      <c r="A2027" s="5" t="str">
        <f>Loads[[#This Row],[Date]]&amp;Loads[[#This Row],[Product]]</f>
        <v>44273Product2</v>
      </c>
      <c r="B2027" s="5">
        <f>COUNTIF($A$1:A2027,Loads[[#This Row],[Load]])</f>
        <v>6</v>
      </c>
      <c r="C2027" s="3" t="str">
        <f>Loads[[#This Row],[Load]]&amp;Loads[[#This Row],[Count]]</f>
        <v>44273Product26</v>
      </c>
      <c r="D2027" s="90">
        <v>44273</v>
      </c>
      <c r="E2027" s="143">
        <v>0.50624999999999998</v>
      </c>
      <c r="F2027" s="1" t="s">
        <v>9</v>
      </c>
      <c r="G2027" s="2" t="s">
        <v>13</v>
      </c>
      <c r="H2027" s="2" t="s">
        <v>42</v>
      </c>
      <c r="I2027" s="1" t="s">
        <v>11</v>
      </c>
      <c r="J2027" s="1" t="s">
        <v>8</v>
      </c>
      <c r="K2027" s="89">
        <v>11700</v>
      </c>
      <c r="L2027" s="3">
        <v>60.2</v>
      </c>
      <c r="M2027" s="3">
        <v>9.34</v>
      </c>
      <c r="N2027" s="3" t="s">
        <v>8</v>
      </c>
      <c r="O2027" s="3" t="s">
        <v>8</v>
      </c>
    </row>
    <row r="2028" spans="1:15" x14ac:dyDescent="0.35">
      <c r="A2028" s="5" t="str">
        <f>Loads[[#This Row],[Date]]&amp;Loads[[#This Row],[Product]]</f>
        <v>44273Product2</v>
      </c>
      <c r="B2028" s="5">
        <f>COUNTIF($A$1:A2028,Loads[[#This Row],[Load]])</f>
        <v>7</v>
      </c>
      <c r="C2028" s="3" t="str">
        <f>Loads[[#This Row],[Load]]&amp;Loads[[#This Row],[Count]]</f>
        <v>44273Product27</v>
      </c>
      <c r="D2028" s="90">
        <v>44273</v>
      </c>
      <c r="E2028" s="143">
        <v>0.6020833333333333</v>
      </c>
      <c r="F2028" s="1" t="s">
        <v>9</v>
      </c>
      <c r="G2028" s="2" t="s">
        <v>13</v>
      </c>
      <c r="H2028" s="2" t="s">
        <v>42</v>
      </c>
      <c r="I2028" s="1" t="s">
        <v>11</v>
      </c>
      <c r="J2028" s="1" t="s">
        <v>8</v>
      </c>
      <c r="K2028" s="89">
        <v>10980</v>
      </c>
      <c r="L2028" s="3">
        <v>55.73</v>
      </c>
      <c r="M2028" s="3">
        <v>11.76</v>
      </c>
      <c r="N2028" s="3" t="s">
        <v>8</v>
      </c>
      <c r="O2028" s="3" t="s">
        <v>8</v>
      </c>
    </row>
    <row r="2029" spans="1:15" x14ac:dyDescent="0.35">
      <c r="A2029" s="5" t="str">
        <f>Loads[[#This Row],[Date]]&amp;Loads[[#This Row],[Product]]</f>
        <v>44273Product2</v>
      </c>
      <c r="B2029" s="5">
        <f>COUNTIF($A$1:A2029,Loads[[#This Row],[Load]])</f>
        <v>8</v>
      </c>
      <c r="C2029" s="3" t="str">
        <f>Loads[[#This Row],[Load]]&amp;Loads[[#This Row],[Count]]</f>
        <v>44273Product28</v>
      </c>
      <c r="D2029" s="90">
        <v>44273</v>
      </c>
      <c r="E2029" s="143">
        <v>0.93958333333333333</v>
      </c>
      <c r="F2029" s="1" t="s">
        <v>9</v>
      </c>
      <c r="G2029" s="2" t="s">
        <v>13</v>
      </c>
      <c r="H2029" s="2" t="s">
        <v>42</v>
      </c>
      <c r="I2029" s="1" t="s">
        <v>11</v>
      </c>
      <c r="J2029" s="1" t="s">
        <v>8</v>
      </c>
      <c r="K2029" s="89">
        <v>13400</v>
      </c>
      <c r="L2029" s="3">
        <v>60.53</v>
      </c>
      <c r="M2029" s="3">
        <v>10.23</v>
      </c>
      <c r="N2029" s="3" t="s">
        <v>8</v>
      </c>
      <c r="O2029" s="3" t="s">
        <v>8</v>
      </c>
    </row>
    <row r="2030" spans="1:15" x14ac:dyDescent="0.35">
      <c r="A2030" s="5" t="str">
        <f>Loads[[#This Row],[Date]]&amp;Loads[[#This Row],[Product]]</f>
        <v>44273Product2</v>
      </c>
      <c r="B2030" s="5">
        <f>COUNTIF($A$1:A2030,Loads[[#This Row],[Load]])</f>
        <v>9</v>
      </c>
      <c r="C2030" s="3" t="str">
        <f>Loads[[#This Row],[Load]]&amp;Loads[[#This Row],[Count]]</f>
        <v>44273Product29</v>
      </c>
      <c r="D2030" s="90">
        <v>44273</v>
      </c>
      <c r="E2030" s="143">
        <v>0.73958333333333337</v>
      </c>
      <c r="F2030" s="1" t="s">
        <v>9</v>
      </c>
      <c r="G2030" s="2" t="s">
        <v>13</v>
      </c>
      <c r="H2030" s="2" t="s">
        <v>42</v>
      </c>
      <c r="I2030" s="1" t="s">
        <v>11</v>
      </c>
      <c r="J2030" s="1" t="s">
        <v>8</v>
      </c>
      <c r="K2030" s="89">
        <v>14900</v>
      </c>
      <c r="L2030" s="3">
        <v>59.18</v>
      </c>
      <c r="M2030" s="3">
        <v>9.89</v>
      </c>
      <c r="N2030" s="3" t="s">
        <v>8</v>
      </c>
      <c r="O2030" s="3" t="s">
        <v>8</v>
      </c>
    </row>
    <row r="2031" spans="1:15" x14ac:dyDescent="0.35">
      <c r="A2031" s="5" t="str">
        <f>Loads[[#This Row],[Date]]&amp;Loads[[#This Row],[Product]]</f>
        <v>44273Product2</v>
      </c>
      <c r="B2031" s="5">
        <f>COUNTIF($A$1:A2031,Loads[[#This Row],[Load]])</f>
        <v>10</v>
      </c>
      <c r="C2031" s="3" t="str">
        <f>Loads[[#This Row],[Load]]&amp;Loads[[#This Row],[Count]]</f>
        <v>44273Product210</v>
      </c>
      <c r="D2031" s="90">
        <v>44273</v>
      </c>
      <c r="E2031" s="143">
        <v>0.75555555555555554</v>
      </c>
      <c r="F2031" s="1" t="s">
        <v>9</v>
      </c>
      <c r="G2031" s="2" t="s">
        <v>13</v>
      </c>
      <c r="H2031" s="2" t="s">
        <v>42</v>
      </c>
      <c r="I2031" s="1" t="s">
        <v>11</v>
      </c>
      <c r="J2031" s="1" t="s">
        <v>8</v>
      </c>
      <c r="K2031" s="89">
        <v>14240</v>
      </c>
      <c r="L2031" s="3">
        <v>60.22</v>
      </c>
      <c r="M2031" s="3">
        <v>10.15</v>
      </c>
      <c r="N2031" s="3" t="s">
        <v>8</v>
      </c>
      <c r="O2031" s="3" t="s">
        <v>8</v>
      </c>
    </row>
    <row r="2032" spans="1:15" x14ac:dyDescent="0.35">
      <c r="A2032" s="5" t="str">
        <f>Loads[[#This Row],[Date]]&amp;Loads[[#This Row],[Product]]</f>
        <v>44274Product4</v>
      </c>
      <c r="B2032" s="5">
        <f>COUNTIF($A$1:A2032,Loads[[#This Row],[Load]])</f>
        <v>1</v>
      </c>
      <c r="C2032" s="3" t="str">
        <f>Loads[[#This Row],[Load]]&amp;Loads[[#This Row],[Count]]</f>
        <v>44274Product41</v>
      </c>
      <c r="D2032" s="90">
        <v>44274</v>
      </c>
      <c r="E2032" s="143">
        <v>0.98611111111111116</v>
      </c>
      <c r="F2032" s="1" t="s">
        <v>9</v>
      </c>
      <c r="G2032" s="2" t="s">
        <v>15</v>
      </c>
      <c r="H2032" s="2" t="s">
        <v>42</v>
      </c>
      <c r="I2032" s="1" t="s">
        <v>11</v>
      </c>
      <c r="J2032" s="1" t="s">
        <v>8</v>
      </c>
      <c r="K2032" s="89">
        <v>29540</v>
      </c>
      <c r="L2032" s="3">
        <v>7.65</v>
      </c>
      <c r="M2032" s="3">
        <v>60.82</v>
      </c>
      <c r="N2032" s="3" t="s">
        <v>8</v>
      </c>
      <c r="O2032" s="3" t="s">
        <v>8</v>
      </c>
    </row>
    <row r="2033" spans="1:15" x14ac:dyDescent="0.35">
      <c r="A2033" s="5" t="str">
        <f>Loads[[#This Row],[Date]]&amp;Loads[[#This Row],[Product]]</f>
        <v>44274Product4</v>
      </c>
      <c r="B2033" s="5">
        <f>COUNTIF($A$1:A2033,Loads[[#This Row],[Load]])</f>
        <v>2</v>
      </c>
      <c r="C2033" s="3" t="str">
        <f>Loads[[#This Row],[Load]]&amp;Loads[[#This Row],[Count]]</f>
        <v>44274Product42</v>
      </c>
      <c r="D2033" s="90">
        <v>44274</v>
      </c>
      <c r="E2033" s="143">
        <v>0.15277777777777776</v>
      </c>
      <c r="F2033" s="1" t="s">
        <v>9</v>
      </c>
      <c r="G2033" s="2" t="s">
        <v>15</v>
      </c>
      <c r="H2033" s="2" t="s">
        <v>42</v>
      </c>
      <c r="I2033" s="1" t="s">
        <v>0</v>
      </c>
      <c r="J2033" s="1">
        <v>22</v>
      </c>
      <c r="K2033" s="89">
        <v>26940</v>
      </c>
      <c r="L2033" s="3">
        <v>6.21</v>
      </c>
      <c r="M2033" s="3">
        <v>62.99</v>
      </c>
      <c r="N2033" s="3" t="s">
        <v>8</v>
      </c>
      <c r="O2033" s="3" t="s">
        <v>8</v>
      </c>
    </row>
    <row r="2034" spans="1:15" x14ac:dyDescent="0.35">
      <c r="A2034" s="5" t="str">
        <f>Loads[[#This Row],[Date]]&amp;Loads[[#This Row],[Product]]</f>
        <v>44274Product4</v>
      </c>
      <c r="B2034" s="5">
        <f>COUNTIF($A$1:A2034,Loads[[#This Row],[Load]])</f>
        <v>3</v>
      </c>
      <c r="C2034" s="3" t="str">
        <f>Loads[[#This Row],[Load]]&amp;Loads[[#This Row],[Count]]</f>
        <v>44274Product43</v>
      </c>
      <c r="D2034" s="90">
        <v>44274</v>
      </c>
      <c r="E2034" s="143">
        <v>0.74930555555555556</v>
      </c>
      <c r="F2034" s="1" t="s">
        <v>9</v>
      </c>
      <c r="G2034" s="2" t="s">
        <v>15</v>
      </c>
      <c r="H2034" s="2" t="s">
        <v>42</v>
      </c>
      <c r="I2034" s="1" t="s">
        <v>0</v>
      </c>
      <c r="J2034" s="1">
        <v>22</v>
      </c>
      <c r="K2034" s="89">
        <v>26540</v>
      </c>
      <c r="L2034" s="3">
        <v>8.9499999999999993</v>
      </c>
      <c r="M2034" s="3">
        <v>63.73</v>
      </c>
      <c r="N2034" s="3" t="s">
        <v>8</v>
      </c>
      <c r="O2034" s="3" t="s">
        <v>8</v>
      </c>
    </row>
    <row r="2035" spans="1:15" x14ac:dyDescent="0.35">
      <c r="A2035" s="5" t="str">
        <f>Loads[[#This Row],[Date]]&amp;Loads[[#This Row],[Product]]</f>
        <v>44274Product8</v>
      </c>
      <c r="B2035" s="5">
        <f>COUNTIF($A$1:A2035,Loads[[#This Row],[Load]])</f>
        <v>1</v>
      </c>
      <c r="C2035" s="3" t="str">
        <f>Loads[[#This Row],[Load]]&amp;Loads[[#This Row],[Count]]</f>
        <v>44274Product81</v>
      </c>
      <c r="D2035" s="90">
        <v>44274</v>
      </c>
      <c r="E2035" s="143">
        <v>0.81944444444444453</v>
      </c>
      <c r="F2035" s="1" t="s">
        <v>9</v>
      </c>
      <c r="G2035" s="2" t="s">
        <v>19</v>
      </c>
      <c r="H2035" s="2" t="s">
        <v>42</v>
      </c>
      <c r="I2035" s="1" t="s">
        <v>11</v>
      </c>
      <c r="J2035" s="1" t="s">
        <v>8</v>
      </c>
      <c r="K2035" s="89">
        <v>18700</v>
      </c>
      <c r="L2035" s="3">
        <v>12.9</v>
      </c>
      <c r="M2035" s="3">
        <v>7.02</v>
      </c>
      <c r="N2035" s="3" t="s">
        <v>8</v>
      </c>
      <c r="O2035" s="3" t="s">
        <v>8</v>
      </c>
    </row>
    <row r="2036" spans="1:15" x14ac:dyDescent="0.35">
      <c r="A2036" s="5" t="str">
        <f>Loads[[#This Row],[Date]]&amp;Loads[[#This Row],[Product]]</f>
        <v>44274Product1</v>
      </c>
      <c r="B2036" s="5">
        <f>COUNTIF($A$1:A2036,Loads[[#This Row],[Load]])</f>
        <v>1</v>
      </c>
      <c r="C2036" s="3" t="str">
        <f>Loads[[#This Row],[Load]]&amp;Loads[[#This Row],[Count]]</f>
        <v>44274Product11</v>
      </c>
      <c r="D2036" s="90">
        <v>44274</v>
      </c>
      <c r="E2036" s="143">
        <v>0.5625</v>
      </c>
      <c r="F2036" s="1" t="s">
        <v>9</v>
      </c>
      <c r="G2036" s="2" t="s">
        <v>12</v>
      </c>
      <c r="H2036" s="2" t="s">
        <v>42</v>
      </c>
      <c r="I2036" s="1" t="s">
        <v>11</v>
      </c>
      <c r="J2036" s="1" t="s">
        <v>8</v>
      </c>
      <c r="K2036" s="89">
        <v>25180</v>
      </c>
      <c r="L2036" s="3">
        <v>9.9</v>
      </c>
      <c r="M2036" s="3">
        <v>21.73</v>
      </c>
      <c r="N2036" s="3" t="s">
        <v>8</v>
      </c>
      <c r="O2036" s="3" t="s">
        <v>8</v>
      </c>
    </row>
    <row r="2037" spans="1:15" x14ac:dyDescent="0.35">
      <c r="A2037" s="5" t="str">
        <f>Loads[[#This Row],[Date]]&amp;Loads[[#This Row],[Product]]</f>
        <v>44274Product1</v>
      </c>
      <c r="B2037" s="5">
        <f>COUNTIF($A$1:A2037,Loads[[#This Row],[Load]])</f>
        <v>2</v>
      </c>
      <c r="C2037" s="3" t="str">
        <f>Loads[[#This Row],[Load]]&amp;Loads[[#This Row],[Count]]</f>
        <v>44274Product12</v>
      </c>
      <c r="D2037" s="90">
        <v>44274</v>
      </c>
      <c r="E2037" s="143">
        <v>0.84375</v>
      </c>
      <c r="F2037" s="1" t="s">
        <v>9</v>
      </c>
      <c r="G2037" s="2" t="s">
        <v>12</v>
      </c>
      <c r="H2037" s="2" t="s">
        <v>42</v>
      </c>
      <c r="I2037" s="1" t="s">
        <v>11</v>
      </c>
      <c r="J2037" s="1" t="s">
        <v>8</v>
      </c>
      <c r="K2037" s="89">
        <v>21800</v>
      </c>
      <c r="L2037" s="3">
        <v>9.59</v>
      </c>
      <c r="M2037" s="3">
        <v>21.82</v>
      </c>
      <c r="N2037" s="3" t="s">
        <v>8</v>
      </c>
      <c r="O2037" s="3" t="s">
        <v>8</v>
      </c>
    </row>
    <row r="2038" spans="1:15" x14ac:dyDescent="0.35">
      <c r="A2038" s="5" t="str">
        <f>Loads[[#This Row],[Date]]&amp;Loads[[#This Row],[Product]]</f>
        <v>44274Product7</v>
      </c>
      <c r="B2038" s="5">
        <f>COUNTIF($A$1:A2038,Loads[[#This Row],[Load]])</f>
        <v>1</v>
      </c>
      <c r="C2038" s="3" t="str">
        <f>Loads[[#This Row],[Load]]&amp;Loads[[#This Row],[Count]]</f>
        <v>44274Product71</v>
      </c>
      <c r="D2038" s="90">
        <v>44274</v>
      </c>
      <c r="E2038" s="143">
        <v>0.4375</v>
      </c>
      <c r="F2038" s="1" t="s">
        <v>9</v>
      </c>
      <c r="G2038" s="2" t="s">
        <v>18</v>
      </c>
      <c r="H2038" s="2" t="s">
        <v>42</v>
      </c>
      <c r="I2038" s="1" t="s">
        <v>11</v>
      </c>
      <c r="J2038" s="1" t="s">
        <v>8</v>
      </c>
      <c r="K2038" s="89">
        <v>28940</v>
      </c>
      <c r="L2038" s="3" t="s">
        <v>8</v>
      </c>
      <c r="M2038" s="3">
        <v>24</v>
      </c>
      <c r="N2038" s="3" t="s">
        <v>8</v>
      </c>
      <c r="O2038" s="3">
        <v>41</v>
      </c>
    </row>
    <row r="2039" spans="1:15" x14ac:dyDescent="0.35">
      <c r="A2039" s="5" t="str">
        <f>Loads[[#This Row],[Date]]&amp;Loads[[#This Row],[Product]]</f>
        <v>44274Product3</v>
      </c>
      <c r="B2039" s="5">
        <f>COUNTIF($A$1:A2039,Loads[[#This Row],[Load]])</f>
        <v>1</v>
      </c>
      <c r="C2039" s="3" t="str">
        <f>Loads[[#This Row],[Load]]&amp;Loads[[#This Row],[Count]]</f>
        <v>44274Product31</v>
      </c>
      <c r="D2039" s="90">
        <v>44274</v>
      </c>
      <c r="E2039" s="143">
        <v>0.41597222222222219</v>
      </c>
      <c r="F2039" s="1" t="s">
        <v>9</v>
      </c>
      <c r="G2039" s="2" t="s">
        <v>14</v>
      </c>
      <c r="H2039" s="2" t="s">
        <v>42</v>
      </c>
      <c r="I2039" s="1" t="s">
        <v>11</v>
      </c>
      <c r="J2039" s="1" t="s">
        <v>8</v>
      </c>
      <c r="K2039" s="89">
        <v>12180</v>
      </c>
      <c r="L2039" s="3">
        <v>56.72</v>
      </c>
      <c r="M2039" s="3">
        <v>10.25</v>
      </c>
      <c r="N2039" s="3" t="s">
        <v>8</v>
      </c>
      <c r="O2039" s="3" t="s">
        <v>8</v>
      </c>
    </row>
    <row r="2040" spans="1:15" x14ac:dyDescent="0.35">
      <c r="A2040" s="5" t="str">
        <f>Loads[[#This Row],[Date]]&amp;Loads[[#This Row],[Product]]</f>
        <v>44274Product2</v>
      </c>
      <c r="B2040" s="5">
        <f>COUNTIF($A$1:A2040,Loads[[#This Row],[Load]])</f>
        <v>1</v>
      </c>
      <c r="C2040" s="3" t="str">
        <f>Loads[[#This Row],[Load]]&amp;Loads[[#This Row],[Count]]</f>
        <v>44274Product21</v>
      </c>
      <c r="D2040" s="90">
        <v>44274</v>
      </c>
      <c r="E2040" s="143">
        <v>5.347222222222222E-2</v>
      </c>
      <c r="F2040" s="1" t="s">
        <v>9</v>
      </c>
      <c r="G2040" s="2" t="s">
        <v>13</v>
      </c>
      <c r="H2040" s="2" t="s">
        <v>42</v>
      </c>
      <c r="I2040" s="1" t="s">
        <v>11</v>
      </c>
      <c r="J2040" s="1" t="s">
        <v>8</v>
      </c>
      <c r="K2040" s="89">
        <v>11800</v>
      </c>
      <c r="L2040" s="3">
        <v>60.53</v>
      </c>
      <c r="M2040" s="3">
        <v>10.23</v>
      </c>
      <c r="N2040" s="3" t="s">
        <v>8</v>
      </c>
      <c r="O2040" s="3" t="s">
        <v>8</v>
      </c>
    </row>
    <row r="2041" spans="1:15" x14ac:dyDescent="0.35">
      <c r="A2041" s="5" t="str">
        <f>Loads[[#This Row],[Date]]&amp;Loads[[#This Row],[Product]]</f>
        <v>44274Product2</v>
      </c>
      <c r="B2041" s="5">
        <f>COUNTIF($A$1:A2041,Loads[[#This Row],[Load]])</f>
        <v>2</v>
      </c>
      <c r="C2041" s="3" t="str">
        <f>Loads[[#This Row],[Load]]&amp;Loads[[#This Row],[Count]]</f>
        <v>44274Product22</v>
      </c>
      <c r="D2041" s="90">
        <v>44274</v>
      </c>
      <c r="E2041" s="143">
        <v>0.15208333333333332</v>
      </c>
      <c r="F2041" s="1" t="s">
        <v>9</v>
      </c>
      <c r="G2041" s="2" t="s">
        <v>13</v>
      </c>
      <c r="H2041" s="2" t="s">
        <v>42</v>
      </c>
      <c r="I2041" s="1" t="s">
        <v>11</v>
      </c>
      <c r="J2041" s="1" t="s">
        <v>8</v>
      </c>
      <c r="K2041" s="89">
        <v>12800</v>
      </c>
      <c r="L2041" s="3">
        <v>62</v>
      </c>
      <c r="M2041" s="3">
        <v>10.96</v>
      </c>
      <c r="N2041" s="3" t="s">
        <v>8</v>
      </c>
      <c r="O2041" s="3" t="s">
        <v>8</v>
      </c>
    </row>
    <row r="2042" spans="1:15" x14ac:dyDescent="0.35">
      <c r="A2042" s="5" t="str">
        <f>Loads[[#This Row],[Date]]&amp;Loads[[#This Row],[Product]]</f>
        <v>44274Product3</v>
      </c>
      <c r="B2042" s="5">
        <f>COUNTIF($A$1:A2042,Loads[[#This Row],[Load]])</f>
        <v>2</v>
      </c>
      <c r="C2042" s="3" t="str">
        <f>Loads[[#This Row],[Load]]&amp;Loads[[#This Row],[Count]]</f>
        <v>44274Product32</v>
      </c>
      <c r="D2042" s="90">
        <v>44274</v>
      </c>
      <c r="E2042" s="143">
        <v>0.28750000000000003</v>
      </c>
      <c r="F2042" s="1" t="s">
        <v>9</v>
      </c>
      <c r="G2042" s="2" t="s">
        <v>14</v>
      </c>
      <c r="H2042" s="2" t="s">
        <v>42</v>
      </c>
      <c r="I2042" s="1" t="s">
        <v>11</v>
      </c>
      <c r="J2042" s="1" t="s">
        <v>8</v>
      </c>
      <c r="K2042" s="89">
        <v>13280</v>
      </c>
      <c r="L2042" s="3">
        <v>58.5</v>
      </c>
      <c r="M2042" s="3">
        <v>10.91</v>
      </c>
      <c r="N2042" s="3" t="s">
        <v>8</v>
      </c>
      <c r="O2042" s="3" t="s">
        <v>8</v>
      </c>
    </row>
    <row r="2043" spans="1:15" x14ac:dyDescent="0.35">
      <c r="A2043" s="5" t="str">
        <f>Loads[[#This Row],[Date]]&amp;Loads[[#This Row],[Product]]</f>
        <v>44274Product2</v>
      </c>
      <c r="B2043" s="5">
        <f>COUNTIF($A$1:A2043,Loads[[#This Row],[Load]])</f>
        <v>3</v>
      </c>
      <c r="C2043" s="3" t="str">
        <f>Loads[[#This Row],[Load]]&amp;Loads[[#This Row],[Count]]</f>
        <v>44274Product23</v>
      </c>
      <c r="D2043" s="90">
        <v>44274</v>
      </c>
      <c r="E2043" s="143">
        <v>0.24791666666666667</v>
      </c>
      <c r="F2043" s="1" t="s">
        <v>9</v>
      </c>
      <c r="G2043" s="2" t="s">
        <v>13</v>
      </c>
      <c r="H2043" s="2" t="s">
        <v>42</v>
      </c>
      <c r="I2043" s="1" t="s">
        <v>11</v>
      </c>
      <c r="J2043" s="1" t="s">
        <v>8</v>
      </c>
      <c r="K2043" s="89">
        <v>16620</v>
      </c>
      <c r="L2043" s="3">
        <v>64.11</v>
      </c>
      <c r="M2043" s="3">
        <v>10.09</v>
      </c>
      <c r="N2043" s="3" t="s">
        <v>8</v>
      </c>
      <c r="O2043" s="3" t="s">
        <v>8</v>
      </c>
    </row>
    <row r="2044" spans="1:15" x14ac:dyDescent="0.35">
      <c r="A2044" s="5" t="str">
        <f>Loads[[#This Row],[Date]]&amp;Loads[[#This Row],[Product]]</f>
        <v>44274Product2</v>
      </c>
      <c r="B2044" s="5">
        <f>COUNTIF($A$1:A2044,Loads[[#This Row],[Load]])</f>
        <v>4</v>
      </c>
      <c r="C2044" s="3" t="str">
        <f>Loads[[#This Row],[Load]]&amp;Loads[[#This Row],[Count]]</f>
        <v>44274Product24</v>
      </c>
      <c r="D2044" s="90">
        <v>44274</v>
      </c>
      <c r="E2044" s="143">
        <v>0.34861111111111115</v>
      </c>
      <c r="F2044" s="1" t="s">
        <v>9</v>
      </c>
      <c r="G2044" s="2" t="s">
        <v>13</v>
      </c>
      <c r="H2044" s="2" t="s">
        <v>42</v>
      </c>
      <c r="I2044" s="1" t="s">
        <v>11</v>
      </c>
      <c r="J2044" s="1" t="s">
        <v>8</v>
      </c>
      <c r="K2044" s="89">
        <v>11300</v>
      </c>
      <c r="L2044" s="3">
        <v>59.54</v>
      </c>
      <c r="M2044" s="3">
        <v>11.25</v>
      </c>
      <c r="N2044" s="3" t="s">
        <v>8</v>
      </c>
      <c r="O2044" s="3" t="s">
        <v>8</v>
      </c>
    </row>
    <row r="2045" spans="1:15" x14ac:dyDescent="0.35">
      <c r="A2045" s="5" t="str">
        <f>Loads[[#This Row],[Date]]&amp;Loads[[#This Row],[Product]]</f>
        <v>44274Product3</v>
      </c>
      <c r="B2045" s="5">
        <f>COUNTIF($A$1:A2045,Loads[[#This Row],[Load]])</f>
        <v>3</v>
      </c>
      <c r="C2045" s="3" t="str">
        <f>Loads[[#This Row],[Load]]&amp;Loads[[#This Row],[Count]]</f>
        <v>44274Product33</v>
      </c>
      <c r="D2045" s="90">
        <v>44274</v>
      </c>
      <c r="E2045" s="143">
        <v>0.4826388888888889</v>
      </c>
      <c r="F2045" s="1" t="s">
        <v>9</v>
      </c>
      <c r="G2045" s="2" t="s">
        <v>14</v>
      </c>
      <c r="H2045" s="2" t="s">
        <v>42</v>
      </c>
      <c r="I2045" s="1" t="s">
        <v>11</v>
      </c>
      <c r="J2045" s="1" t="s">
        <v>8</v>
      </c>
      <c r="K2045" s="89">
        <v>9020</v>
      </c>
      <c r="L2045" s="3">
        <v>57.46</v>
      </c>
      <c r="M2045" s="3">
        <v>10.88</v>
      </c>
      <c r="N2045" s="3" t="s">
        <v>8</v>
      </c>
      <c r="O2045" s="3" t="s">
        <v>8</v>
      </c>
    </row>
    <row r="2046" spans="1:15" x14ac:dyDescent="0.35">
      <c r="A2046" s="5" t="str">
        <f>Loads[[#This Row],[Date]]&amp;Loads[[#This Row],[Product]]</f>
        <v>44274Product2</v>
      </c>
      <c r="B2046" s="5">
        <f>COUNTIF($A$1:A2046,Loads[[#This Row],[Load]])</f>
        <v>5</v>
      </c>
      <c r="C2046" s="3" t="str">
        <f>Loads[[#This Row],[Load]]&amp;Loads[[#This Row],[Count]]</f>
        <v>44274Product25</v>
      </c>
      <c r="D2046" s="90">
        <v>44274</v>
      </c>
      <c r="E2046" s="143">
        <v>0.70763888888888893</v>
      </c>
      <c r="F2046" s="1" t="s">
        <v>9</v>
      </c>
      <c r="G2046" s="2" t="s">
        <v>13</v>
      </c>
      <c r="H2046" s="2" t="s">
        <v>42</v>
      </c>
      <c r="I2046" s="1" t="s">
        <v>11</v>
      </c>
      <c r="J2046" s="1" t="s">
        <v>8</v>
      </c>
      <c r="K2046" s="89">
        <v>10680</v>
      </c>
      <c r="L2046" s="3">
        <v>60.07</v>
      </c>
      <c r="M2046" s="3">
        <v>11</v>
      </c>
      <c r="N2046" s="3" t="s">
        <v>8</v>
      </c>
      <c r="O2046" s="3" t="s">
        <v>8</v>
      </c>
    </row>
    <row r="2047" spans="1:15" x14ac:dyDescent="0.35">
      <c r="A2047" s="5" t="str">
        <f>Loads[[#This Row],[Date]]&amp;Loads[[#This Row],[Product]]</f>
        <v>44274Product2</v>
      </c>
      <c r="B2047" s="5">
        <f>COUNTIF($A$1:A2047,Loads[[#This Row],[Load]])</f>
        <v>6</v>
      </c>
      <c r="C2047" s="3" t="str">
        <f>Loads[[#This Row],[Load]]&amp;Loads[[#This Row],[Count]]</f>
        <v>44274Product26</v>
      </c>
      <c r="D2047" s="90">
        <v>44274</v>
      </c>
      <c r="E2047" s="143">
        <v>0.88124999999999998</v>
      </c>
      <c r="F2047" s="1" t="s">
        <v>9</v>
      </c>
      <c r="G2047" s="2" t="s">
        <v>13</v>
      </c>
      <c r="H2047" s="2" t="s">
        <v>42</v>
      </c>
      <c r="I2047" s="1" t="s">
        <v>11</v>
      </c>
      <c r="J2047" s="1" t="s">
        <v>8</v>
      </c>
      <c r="K2047" s="89">
        <v>10280</v>
      </c>
      <c r="L2047" s="3">
        <v>58.97</v>
      </c>
      <c r="M2047" s="3">
        <v>10.41</v>
      </c>
      <c r="N2047" s="3" t="s">
        <v>8</v>
      </c>
      <c r="O2047" s="3" t="s">
        <v>8</v>
      </c>
    </row>
    <row r="2048" spans="1:15" x14ac:dyDescent="0.35">
      <c r="A2048" s="5" t="str">
        <f>Loads[[#This Row],[Date]]&amp;Loads[[#This Row],[Product]]</f>
        <v>44274Product2</v>
      </c>
      <c r="B2048" s="5">
        <f>COUNTIF($A$1:A2048,Loads[[#This Row],[Load]])</f>
        <v>7</v>
      </c>
      <c r="C2048" s="3" t="str">
        <f>Loads[[#This Row],[Load]]&amp;Loads[[#This Row],[Count]]</f>
        <v>44274Product27</v>
      </c>
      <c r="D2048" s="90">
        <v>44274</v>
      </c>
      <c r="E2048" s="143">
        <v>0.93263888888888891</v>
      </c>
      <c r="F2048" s="1" t="s">
        <v>9</v>
      </c>
      <c r="G2048" s="2" t="s">
        <v>13</v>
      </c>
      <c r="H2048" s="2" t="s">
        <v>42</v>
      </c>
      <c r="I2048" s="1" t="s">
        <v>11</v>
      </c>
      <c r="J2048" s="1" t="s">
        <v>8</v>
      </c>
      <c r="K2048" s="89">
        <v>13120</v>
      </c>
      <c r="L2048" s="3">
        <v>66.150000000000006</v>
      </c>
      <c r="M2048" s="3">
        <v>9.02</v>
      </c>
      <c r="N2048" s="3" t="s">
        <v>8</v>
      </c>
      <c r="O2048" s="3" t="s">
        <v>8</v>
      </c>
    </row>
    <row r="2049" spans="1:15" x14ac:dyDescent="0.35">
      <c r="A2049" s="5" t="str">
        <f>Loads[[#This Row],[Date]]&amp;Loads[[#This Row],[Product]]</f>
        <v>44275Product1</v>
      </c>
      <c r="B2049" s="5">
        <f>COUNTIF($A$1:A2049,Loads[[#This Row],[Load]])</f>
        <v>1</v>
      </c>
      <c r="C2049" s="3" t="str">
        <f>Loads[[#This Row],[Load]]&amp;Loads[[#This Row],[Count]]</f>
        <v>44275Product11</v>
      </c>
      <c r="D2049" s="90">
        <v>44275</v>
      </c>
      <c r="E2049" s="143">
        <v>0.97916666666666663</v>
      </c>
      <c r="F2049" s="1" t="s">
        <v>9</v>
      </c>
      <c r="G2049" s="2" t="s">
        <v>12</v>
      </c>
      <c r="H2049" s="2" t="s">
        <v>42</v>
      </c>
      <c r="I2049" s="1" t="s">
        <v>10</v>
      </c>
      <c r="J2049" s="1">
        <v>680</v>
      </c>
      <c r="K2049" s="89">
        <v>27180</v>
      </c>
      <c r="L2049" s="3">
        <v>8.68</v>
      </c>
      <c r="M2049" s="3">
        <v>21.13</v>
      </c>
      <c r="N2049" s="3" t="s">
        <v>8</v>
      </c>
      <c r="O2049" s="3" t="s">
        <v>8</v>
      </c>
    </row>
    <row r="2050" spans="1:15" x14ac:dyDescent="0.35">
      <c r="A2050" s="5" t="str">
        <f>Loads[[#This Row],[Date]]&amp;Loads[[#This Row],[Product]]</f>
        <v>44275Product1</v>
      </c>
      <c r="B2050" s="5">
        <f>COUNTIF($A$1:A2050,Loads[[#This Row],[Load]])</f>
        <v>2</v>
      </c>
      <c r="C2050" s="3" t="str">
        <f>Loads[[#This Row],[Load]]&amp;Loads[[#This Row],[Count]]</f>
        <v>44275Product12</v>
      </c>
      <c r="D2050" s="90">
        <v>44275</v>
      </c>
      <c r="E2050" s="143">
        <v>2.7777777777777776E-2</v>
      </c>
      <c r="F2050" s="1" t="s">
        <v>9</v>
      </c>
      <c r="G2050" s="2" t="s">
        <v>12</v>
      </c>
      <c r="H2050" s="2" t="s">
        <v>42</v>
      </c>
      <c r="I2050" s="1" t="s">
        <v>11</v>
      </c>
      <c r="J2050" s="1" t="s">
        <v>8</v>
      </c>
      <c r="K2050" s="89">
        <v>13460</v>
      </c>
      <c r="L2050" s="3">
        <v>9.3800000000000008</v>
      </c>
      <c r="M2050" s="3">
        <v>22.55</v>
      </c>
      <c r="N2050" s="3" t="s">
        <v>8</v>
      </c>
      <c r="O2050" s="3" t="s">
        <v>8</v>
      </c>
    </row>
    <row r="2051" spans="1:15" x14ac:dyDescent="0.35">
      <c r="A2051" s="5" t="str">
        <f>Loads[[#This Row],[Date]]&amp;Loads[[#This Row],[Product]]</f>
        <v>44275Product1</v>
      </c>
      <c r="B2051" s="5">
        <f>COUNTIF($A$1:A2051,Loads[[#This Row],[Load]])</f>
        <v>3</v>
      </c>
      <c r="C2051" s="3" t="str">
        <f>Loads[[#This Row],[Load]]&amp;Loads[[#This Row],[Count]]</f>
        <v>44275Product13</v>
      </c>
      <c r="D2051" s="90">
        <v>44275</v>
      </c>
      <c r="E2051" s="143">
        <v>0.14583333333333334</v>
      </c>
      <c r="F2051" s="1" t="s">
        <v>9</v>
      </c>
      <c r="G2051" s="2" t="s">
        <v>12</v>
      </c>
      <c r="H2051" s="2" t="s">
        <v>42</v>
      </c>
      <c r="I2051" s="1" t="s">
        <v>11</v>
      </c>
      <c r="J2051" s="1" t="s">
        <v>8</v>
      </c>
      <c r="K2051" s="89">
        <v>26480</v>
      </c>
      <c r="L2051" s="3">
        <v>9.14</v>
      </c>
      <c r="M2051" s="3">
        <v>22.53</v>
      </c>
      <c r="N2051" s="3" t="s">
        <v>8</v>
      </c>
      <c r="O2051" s="3" t="s">
        <v>8</v>
      </c>
    </row>
    <row r="2052" spans="1:15" x14ac:dyDescent="0.35">
      <c r="A2052" s="5" t="str">
        <f>Loads[[#This Row],[Date]]&amp;Loads[[#This Row],[Product]]</f>
        <v>44275Product1</v>
      </c>
      <c r="B2052" s="5">
        <f>COUNTIF($A$1:A2052,Loads[[#This Row],[Load]])</f>
        <v>4</v>
      </c>
      <c r="C2052" s="3" t="str">
        <f>Loads[[#This Row],[Load]]&amp;Loads[[#This Row],[Count]]</f>
        <v>44275Product14</v>
      </c>
      <c r="D2052" s="90">
        <v>44275</v>
      </c>
      <c r="E2052" s="143">
        <v>0.375</v>
      </c>
      <c r="F2052" s="1" t="s">
        <v>9</v>
      </c>
      <c r="G2052" s="2" t="s">
        <v>12</v>
      </c>
      <c r="H2052" s="2" t="s">
        <v>42</v>
      </c>
      <c r="I2052" s="1" t="s">
        <v>10</v>
      </c>
      <c r="J2052" s="1">
        <v>450</v>
      </c>
      <c r="K2052" s="89">
        <v>17840</v>
      </c>
      <c r="L2052" s="3">
        <v>9.49</v>
      </c>
      <c r="M2052" s="3">
        <v>22.7</v>
      </c>
      <c r="N2052" s="3" t="s">
        <v>8</v>
      </c>
      <c r="O2052" s="3" t="s">
        <v>8</v>
      </c>
    </row>
    <row r="2053" spans="1:15" x14ac:dyDescent="0.35">
      <c r="A2053" s="5" t="str">
        <f>Loads[[#This Row],[Date]]&amp;Loads[[#This Row],[Product]]</f>
        <v>44275Product1</v>
      </c>
      <c r="B2053" s="5">
        <f>COUNTIF($A$1:A2053,Loads[[#This Row],[Load]])</f>
        <v>5</v>
      </c>
      <c r="C2053" s="3" t="str">
        <f>Loads[[#This Row],[Load]]&amp;Loads[[#This Row],[Count]]</f>
        <v>44275Product15</v>
      </c>
      <c r="D2053" s="90">
        <v>44275</v>
      </c>
      <c r="E2053" s="143">
        <v>0.65277777777777779</v>
      </c>
      <c r="F2053" s="1" t="s">
        <v>9</v>
      </c>
      <c r="G2053" s="2" t="s">
        <v>12</v>
      </c>
      <c r="H2053" s="2" t="s">
        <v>42</v>
      </c>
      <c r="I2053" s="1" t="s">
        <v>10</v>
      </c>
      <c r="J2053" s="1">
        <v>450</v>
      </c>
      <c r="K2053" s="89">
        <v>18020</v>
      </c>
      <c r="L2053" s="3">
        <v>9.6999999999999993</v>
      </c>
      <c r="M2053" s="3">
        <v>22.89</v>
      </c>
      <c r="N2053" s="3" t="s">
        <v>8</v>
      </c>
      <c r="O2053" s="3" t="s">
        <v>8</v>
      </c>
    </row>
    <row r="2054" spans="1:15" x14ac:dyDescent="0.35">
      <c r="A2054" s="5" t="str">
        <f>Loads[[#This Row],[Date]]&amp;Loads[[#This Row],[Product]]</f>
        <v>44275Product1</v>
      </c>
      <c r="B2054" s="5">
        <f>COUNTIF($A$1:A2054,Loads[[#This Row],[Load]])</f>
        <v>6</v>
      </c>
      <c r="C2054" s="3" t="str">
        <f>Loads[[#This Row],[Load]]&amp;Loads[[#This Row],[Count]]</f>
        <v>44275Product16</v>
      </c>
      <c r="D2054" s="90">
        <v>44275</v>
      </c>
      <c r="E2054" s="143">
        <v>0.77083333333333337</v>
      </c>
      <c r="F2054" s="1" t="s">
        <v>9</v>
      </c>
      <c r="G2054" s="2" t="s">
        <v>12</v>
      </c>
      <c r="H2054" s="2" t="s">
        <v>42</v>
      </c>
      <c r="I2054" s="1" t="s">
        <v>11</v>
      </c>
      <c r="J2054" s="1" t="s">
        <v>8</v>
      </c>
      <c r="K2054" s="89">
        <v>21180</v>
      </c>
      <c r="L2054" s="3">
        <v>9.7899999999999991</v>
      </c>
      <c r="M2054" s="3">
        <v>23.03</v>
      </c>
      <c r="N2054" s="3" t="s">
        <v>8</v>
      </c>
      <c r="O2054" s="3" t="s">
        <v>8</v>
      </c>
    </row>
    <row r="2055" spans="1:15" x14ac:dyDescent="0.35">
      <c r="A2055" s="5" t="str">
        <f>Loads[[#This Row],[Date]]&amp;Loads[[#This Row],[Product]]</f>
        <v>44275Product8</v>
      </c>
      <c r="B2055" s="5">
        <f>COUNTIF($A$1:A2055,Loads[[#This Row],[Load]])</f>
        <v>1</v>
      </c>
      <c r="C2055" s="3" t="str">
        <f>Loads[[#This Row],[Load]]&amp;Loads[[#This Row],[Count]]</f>
        <v>44275Product81</v>
      </c>
      <c r="D2055" s="90">
        <v>44275</v>
      </c>
      <c r="E2055" s="143">
        <v>0.70138888888888884</v>
      </c>
      <c r="F2055" s="1" t="s">
        <v>9</v>
      </c>
      <c r="G2055" s="2" t="s">
        <v>19</v>
      </c>
      <c r="H2055" s="2" t="s">
        <v>42</v>
      </c>
      <c r="I2055" s="1" t="s">
        <v>11</v>
      </c>
      <c r="J2055" s="1" t="s">
        <v>8</v>
      </c>
      <c r="K2055" s="89">
        <v>11460</v>
      </c>
      <c r="L2055" s="3">
        <v>12.21</v>
      </c>
      <c r="M2055" s="3">
        <v>7.2</v>
      </c>
      <c r="N2055" s="3" t="s">
        <v>8</v>
      </c>
      <c r="O2055" s="3" t="s">
        <v>8</v>
      </c>
    </row>
    <row r="2056" spans="1:15" x14ac:dyDescent="0.35">
      <c r="A2056" s="5" t="str">
        <f>Loads[[#This Row],[Date]]&amp;Loads[[#This Row],[Product]]</f>
        <v>44275Product2</v>
      </c>
      <c r="B2056" s="5">
        <f>COUNTIF($A$1:A2056,Loads[[#This Row],[Load]])</f>
        <v>1</v>
      </c>
      <c r="C2056" s="3" t="str">
        <f>Loads[[#This Row],[Load]]&amp;Loads[[#This Row],[Count]]</f>
        <v>44275Product21</v>
      </c>
      <c r="D2056" s="90">
        <v>44275</v>
      </c>
      <c r="E2056" s="143">
        <v>3.0555555555555555E-2</v>
      </c>
      <c r="F2056" s="1" t="s">
        <v>9</v>
      </c>
      <c r="G2056" s="2" t="s">
        <v>13</v>
      </c>
      <c r="H2056" s="2" t="s">
        <v>42</v>
      </c>
      <c r="I2056" s="1" t="s">
        <v>11</v>
      </c>
      <c r="J2056" s="1" t="s">
        <v>8</v>
      </c>
      <c r="K2056" s="89">
        <v>17400</v>
      </c>
      <c r="L2056" s="3">
        <v>59.15</v>
      </c>
      <c r="M2056" s="3">
        <v>10.67</v>
      </c>
      <c r="N2056" s="3" t="s">
        <v>8</v>
      </c>
      <c r="O2056" s="3" t="s">
        <v>8</v>
      </c>
    </row>
    <row r="2057" spans="1:15" x14ac:dyDescent="0.35">
      <c r="A2057" s="5" t="str">
        <f>Loads[[#This Row],[Date]]&amp;Loads[[#This Row],[Product]]</f>
        <v>44275Product2</v>
      </c>
      <c r="B2057" s="5">
        <f>COUNTIF($A$1:A2057,Loads[[#This Row],[Load]])</f>
        <v>2</v>
      </c>
      <c r="C2057" s="3" t="str">
        <f>Loads[[#This Row],[Load]]&amp;Loads[[#This Row],[Count]]</f>
        <v>44275Product22</v>
      </c>
      <c r="D2057" s="90">
        <v>44275</v>
      </c>
      <c r="E2057" s="143">
        <v>0.27152777777777776</v>
      </c>
      <c r="F2057" s="1" t="s">
        <v>9</v>
      </c>
      <c r="G2057" s="2" t="s">
        <v>13</v>
      </c>
      <c r="H2057" s="2" t="s">
        <v>42</v>
      </c>
      <c r="I2057" s="1" t="s">
        <v>11</v>
      </c>
      <c r="J2057" s="1" t="s">
        <v>8</v>
      </c>
      <c r="K2057" s="89">
        <v>13860</v>
      </c>
      <c r="L2057" s="3">
        <v>60.14</v>
      </c>
      <c r="M2057" s="3">
        <v>9.9700000000000006</v>
      </c>
      <c r="N2057" s="3" t="s">
        <v>8</v>
      </c>
      <c r="O2057" s="3" t="s">
        <v>8</v>
      </c>
    </row>
    <row r="2058" spans="1:15" x14ac:dyDescent="0.35">
      <c r="A2058" s="5" t="str">
        <f>Loads[[#This Row],[Date]]&amp;Loads[[#This Row],[Product]]</f>
        <v>44275Product2</v>
      </c>
      <c r="B2058" s="5">
        <f>COUNTIF($A$1:A2058,Loads[[#This Row],[Load]])</f>
        <v>3</v>
      </c>
      <c r="C2058" s="3" t="str">
        <f>Loads[[#This Row],[Load]]&amp;Loads[[#This Row],[Count]]</f>
        <v>44275Product23</v>
      </c>
      <c r="D2058" s="90">
        <v>44275</v>
      </c>
      <c r="E2058" s="143">
        <v>0.10902777777777778</v>
      </c>
      <c r="F2058" s="1" t="s">
        <v>9</v>
      </c>
      <c r="G2058" s="2" t="s">
        <v>13</v>
      </c>
      <c r="H2058" s="2" t="s">
        <v>42</v>
      </c>
      <c r="I2058" s="1" t="s">
        <v>11</v>
      </c>
      <c r="J2058" s="1" t="s">
        <v>8</v>
      </c>
      <c r="K2058" s="89">
        <v>10660</v>
      </c>
      <c r="L2058" s="3">
        <v>59.97</v>
      </c>
      <c r="M2058" s="3">
        <v>10.08</v>
      </c>
      <c r="N2058" s="3" t="s">
        <v>8</v>
      </c>
      <c r="O2058" s="3" t="s">
        <v>8</v>
      </c>
    </row>
    <row r="2059" spans="1:15" x14ac:dyDescent="0.35">
      <c r="A2059" s="5" t="str">
        <f>Loads[[#This Row],[Date]]&amp;Loads[[#This Row],[Product]]</f>
        <v>44275Product2</v>
      </c>
      <c r="B2059" s="5">
        <f>COUNTIF($A$1:A2059,Loads[[#This Row],[Load]])</f>
        <v>4</v>
      </c>
      <c r="C2059" s="3" t="str">
        <f>Loads[[#This Row],[Load]]&amp;Loads[[#This Row],[Count]]</f>
        <v>44275Product24</v>
      </c>
      <c r="D2059" s="90">
        <v>44275</v>
      </c>
      <c r="E2059" s="143">
        <v>0.10625</v>
      </c>
      <c r="F2059" s="1" t="s">
        <v>9</v>
      </c>
      <c r="G2059" s="2" t="s">
        <v>13</v>
      </c>
      <c r="H2059" s="2" t="s">
        <v>42</v>
      </c>
      <c r="I2059" s="1" t="s">
        <v>11</v>
      </c>
      <c r="J2059" s="1" t="s">
        <v>8</v>
      </c>
      <c r="K2059" s="89">
        <v>12560</v>
      </c>
      <c r="L2059" s="3">
        <v>61.01</v>
      </c>
      <c r="M2059" s="3">
        <v>9.86</v>
      </c>
      <c r="N2059" s="3" t="s">
        <v>8</v>
      </c>
      <c r="O2059" s="3" t="s">
        <v>8</v>
      </c>
    </row>
    <row r="2060" spans="1:15" x14ac:dyDescent="0.35">
      <c r="A2060" s="5" t="str">
        <f>Loads[[#This Row],[Date]]&amp;Loads[[#This Row],[Product]]</f>
        <v>44275Product2</v>
      </c>
      <c r="B2060" s="5">
        <f>COUNTIF($A$1:A2060,Loads[[#This Row],[Load]])</f>
        <v>5</v>
      </c>
      <c r="C2060" s="3" t="str">
        <f>Loads[[#This Row],[Load]]&amp;Loads[[#This Row],[Count]]</f>
        <v>44275Product25</v>
      </c>
      <c r="D2060" s="90">
        <v>44275</v>
      </c>
      <c r="E2060" s="143">
        <v>0.27361111111111108</v>
      </c>
      <c r="F2060" s="1" t="s">
        <v>9</v>
      </c>
      <c r="G2060" s="2" t="s">
        <v>13</v>
      </c>
      <c r="H2060" s="2" t="s">
        <v>42</v>
      </c>
      <c r="I2060" s="1" t="s">
        <v>11</v>
      </c>
      <c r="J2060" s="1" t="s">
        <v>8</v>
      </c>
      <c r="K2060" s="89">
        <v>10780</v>
      </c>
      <c r="L2060" s="3">
        <v>58.97</v>
      </c>
      <c r="M2060" s="3">
        <v>10.41</v>
      </c>
      <c r="N2060" s="3" t="s">
        <v>8</v>
      </c>
      <c r="O2060" s="3" t="s">
        <v>8</v>
      </c>
    </row>
    <row r="2061" spans="1:15" x14ac:dyDescent="0.35">
      <c r="A2061" s="5" t="str">
        <f>Loads[[#This Row],[Date]]&amp;Loads[[#This Row],[Product]]</f>
        <v>44275Product2</v>
      </c>
      <c r="B2061" s="5">
        <f>COUNTIF($A$1:A2061,Loads[[#This Row],[Load]])</f>
        <v>6</v>
      </c>
      <c r="C2061" s="3" t="str">
        <f>Loads[[#This Row],[Load]]&amp;Loads[[#This Row],[Count]]</f>
        <v>44275Product26</v>
      </c>
      <c r="D2061" s="90">
        <v>44275</v>
      </c>
      <c r="E2061" s="143">
        <v>0.3430555555555555</v>
      </c>
      <c r="F2061" s="1" t="s">
        <v>9</v>
      </c>
      <c r="G2061" s="2" t="s">
        <v>13</v>
      </c>
      <c r="H2061" s="2" t="s">
        <v>42</v>
      </c>
      <c r="I2061" s="1" t="s">
        <v>11</v>
      </c>
      <c r="J2061" s="1" t="s">
        <v>8</v>
      </c>
      <c r="K2061" s="89">
        <v>8840</v>
      </c>
      <c r="L2061" s="3">
        <v>63.83</v>
      </c>
      <c r="M2061" s="3">
        <v>9.5</v>
      </c>
      <c r="N2061" s="3" t="s">
        <v>8</v>
      </c>
      <c r="O2061" s="3" t="s">
        <v>8</v>
      </c>
    </row>
    <row r="2062" spans="1:15" x14ac:dyDescent="0.35">
      <c r="A2062" s="5" t="str">
        <f>Loads[[#This Row],[Date]]&amp;Loads[[#This Row],[Product]]</f>
        <v>44275Product2</v>
      </c>
      <c r="B2062" s="5">
        <f>COUNTIF($A$1:A2062,Loads[[#This Row],[Load]])</f>
        <v>7</v>
      </c>
      <c r="C2062" s="3" t="str">
        <f>Loads[[#This Row],[Load]]&amp;Loads[[#This Row],[Count]]</f>
        <v>44275Product27</v>
      </c>
      <c r="D2062" s="90">
        <v>44275</v>
      </c>
      <c r="E2062" s="143">
        <v>0.20347222222222219</v>
      </c>
      <c r="F2062" s="1" t="s">
        <v>9</v>
      </c>
      <c r="G2062" s="2" t="s">
        <v>13</v>
      </c>
      <c r="H2062" s="2" t="s">
        <v>42</v>
      </c>
      <c r="I2062" s="1" t="s">
        <v>11</v>
      </c>
      <c r="J2062" s="1" t="s">
        <v>8</v>
      </c>
      <c r="K2062" s="89">
        <v>16620</v>
      </c>
      <c r="L2062" s="3">
        <v>62.14</v>
      </c>
      <c r="M2062" s="3">
        <v>8.7899999999999991</v>
      </c>
      <c r="N2062" s="3" t="s">
        <v>8</v>
      </c>
      <c r="O2062" s="3" t="s">
        <v>8</v>
      </c>
    </row>
    <row r="2063" spans="1:15" x14ac:dyDescent="0.35">
      <c r="A2063" s="5" t="str">
        <f>Loads[[#This Row],[Date]]&amp;Loads[[#This Row],[Product]]</f>
        <v>44275Product2</v>
      </c>
      <c r="B2063" s="5">
        <f>COUNTIF($A$1:A2063,Loads[[#This Row],[Load]])</f>
        <v>8</v>
      </c>
      <c r="C2063" s="3" t="str">
        <f>Loads[[#This Row],[Load]]&amp;Loads[[#This Row],[Count]]</f>
        <v>44275Product28</v>
      </c>
      <c r="D2063" s="90">
        <v>44275</v>
      </c>
      <c r="E2063" s="143">
        <v>0.54791666666666672</v>
      </c>
      <c r="F2063" s="1" t="s">
        <v>9</v>
      </c>
      <c r="G2063" s="2" t="s">
        <v>13</v>
      </c>
      <c r="H2063" s="2" t="s">
        <v>42</v>
      </c>
      <c r="I2063" s="1" t="s">
        <v>11</v>
      </c>
      <c r="J2063" s="1" t="s">
        <v>8</v>
      </c>
      <c r="K2063" s="89">
        <v>11080</v>
      </c>
      <c r="L2063" s="3">
        <v>60.12</v>
      </c>
      <c r="M2063" s="3">
        <v>10.87</v>
      </c>
      <c r="N2063" s="3" t="s">
        <v>8</v>
      </c>
      <c r="O2063" s="3" t="s">
        <v>8</v>
      </c>
    </row>
    <row r="2064" spans="1:15" x14ac:dyDescent="0.35">
      <c r="A2064" s="5" t="str">
        <f>Loads[[#This Row],[Date]]&amp;Loads[[#This Row],[Product]]</f>
        <v>44275Product3</v>
      </c>
      <c r="B2064" s="5">
        <f>COUNTIF($A$1:A2064,Loads[[#This Row],[Load]])</f>
        <v>1</v>
      </c>
      <c r="C2064" s="3" t="str">
        <f>Loads[[#This Row],[Load]]&amp;Loads[[#This Row],[Count]]</f>
        <v>44275Product31</v>
      </c>
      <c r="D2064" s="90">
        <v>44275</v>
      </c>
      <c r="E2064" s="143">
        <v>0.42986111111111108</v>
      </c>
      <c r="F2064" s="1" t="s">
        <v>9</v>
      </c>
      <c r="G2064" s="2" t="s">
        <v>14</v>
      </c>
      <c r="H2064" s="2" t="s">
        <v>42</v>
      </c>
      <c r="I2064" s="1" t="s">
        <v>11</v>
      </c>
      <c r="J2064" s="1" t="s">
        <v>8</v>
      </c>
      <c r="K2064" s="89">
        <v>11180</v>
      </c>
      <c r="L2064" s="3">
        <v>57.18</v>
      </c>
      <c r="M2064" s="3">
        <v>10.91</v>
      </c>
      <c r="N2064" s="3" t="s">
        <v>8</v>
      </c>
      <c r="O2064" s="3" t="s">
        <v>8</v>
      </c>
    </row>
    <row r="2065" spans="1:15" x14ac:dyDescent="0.35">
      <c r="A2065" s="5" t="str">
        <f>Loads[[#This Row],[Date]]&amp;Loads[[#This Row],[Product]]</f>
        <v>44275Product2</v>
      </c>
      <c r="B2065" s="5">
        <f>COUNTIF($A$1:A2065,Loads[[#This Row],[Load]])</f>
        <v>9</v>
      </c>
      <c r="C2065" s="3" t="str">
        <f>Loads[[#This Row],[Load]]&amp;Loads[[#This Row],[Count]]</f>
        <v>44275Product29</v>
      </c>
      <c r="D2065" s="90">
        <v>44275</v>
      </c>
      <c r="E2065" s="143">
        <v>0.45208333333333334</v>
      </c>
      <c r="F2065" s="1" t="s">
        <v>9</v>
      </c>
      <c r="G2065" s="2" t="s">
        <v>13</v>
      </c>
      <c r="H2065" s="2" t="s">
        <v>42</v>
      </c>
      <c r="I2065" s="1" t="s">
        <v>11</v>
      </c>
      <c r="J2065" s="1" t="s">
        <v>8</v>
      </c>
      <c r="K2065" s="89">
        <v>16020</v>
      </c>
      <c r="L2065" s="3">
        <v>62.65</v>
      </c>
      <c r="M2065" s="3">
        <v>8.9</v>
      </c>
      <c r="N2065" s="3" t="s">
        <v>8</v>
      </c>
      <c r="O2065" s="3" t="s">
        <v>8</v>
      </c>
    </row>
    <row r="2066" spans="1:15" x14ac:dyDescent="0.35">
      <c r="A2066" s="5" t="str">
        <f>Loads[[#This Row],[Date]]&amp;Loads[[#This Row],[Product]]</f>
        <v>44275Product2</v>
      </c>
      <c r="B2066" s="5">
        <f>COUNTIF($A$1:A2066,Loads[[#This Row],[Load]])</f>
        <v>10</v>
      </c>
      <c r="C2066" s="3" t="str">
        <f>Loads[[#This Row],[Load]]&amp;Loads[[#This Row],[Count]]</f>
        <v>44275Product210</v>
      </c>
      <c r="D2066" s="90">
        <v>44275</v>
      </c>
      <c r="E2066" s="143">
        <v>0.50069444444444444</v>
      </c>
      <c r="F2066" s="1" t="s">
        <v>9</v>
      </c>
      <c r="G2066" s="2" t="s">
        <v>13</v>
      </c>
      <c r="H2066" s="2" t="s">
        <v>42</v>
      </c>
      <c r="I2066" s="1" t="s">
        <v>11</v>
      </c>
      <c r="J2066" s="1" t="s">
        <v>8</v>
      </c>
      <c r="K2066" s="89">
        <v>10200</v>
      </c>
      <c r="L2066" s="3">
        <v>58.91</v>
      </c>
      <c r="M2066" s="3">
        <v>10.210000000000001</v>
      </c>
      <c r="N2066" s="3" t="s">
        <v>8</v>
      </c>
      <c r="O2066" s="3" t="s">
        <v>8</v>
      </c>
    </row>
    <row r="2067" spans="1:15" x14ac:dyDescent="0.35">
      <c r="A2067" s="5" t="str">
        <f>Loads[[#This Row],[Date]]&amp;Loads[[#This Row],[Product]]</f>
        <v>44275Product2</v>
      </c>
      <c r="B2067" s="5">
        <f>COUNTIF($A$1:A2067,Loads[[#This Row],[Load]])</f>
        <v>11</v>
      </c>
      <c r="C2067" s="3" t="str">
        <f>Loads[[#This Row],[Load]]&amp;Loads[[#This Row],[Count]]</f>
        <v>44275Product211</v>
      </c>
      <c r="D2067" s="90">
        <v>44275</v>
      </c>
      <c r="E2067" s="143">
        <v>0.69861111111111107</v>
      </c>
      <c r="F2067" s="1" t="s">
        <v>9</v>
      </c>
      <c r="G2067" s="2" t="s">
        <v>13</v>
      </c>
      <c r="H2067" s="2" t="s">
        <v>42</v>
      </c>
      <c r="I2067" s="1" t="s">
        <v>11</v>
      </c>
      <c r="J2067" s="1" t="s">
        <v>8</v>
      </c>
      <c r="K2067" s="89">
        <v>11960</v>
      </c>
      <c r="L2067" s="3">
        <v>58.51</v>
      </c>
      <c r="M2067" s="3">
        <v>11.29</v>
      </c>
      <c r="N2067" s="3" t="s">
        <v>8</v>
      </c>
      <c r="O2067" s="3" t="s">
        <v>8</v>
      </c>
    </row>
    <row r="2068" spans="1:15" x14ac:dyDescent="0.35">
      <c r="A2068" s="5" t="str">
        <f>Loads[[#This Row],[Date]]&amp;Loads[[#This Row],[Product]]</f>
        <v>44275Product2</v>
      </c>
      <c r="B2068" s="5">
        <f>COUNTIF($A$1:A2068,Loads[[#This Row],[Load]])</f>
        <v>12</v>
      </c>
      <c r="C2068" s="3" t="str">
        <f>Loads[[#This Row],[Load]]&amp;Loads[[#This Row],[Count]]</f>
        <v>44275Product212</v>
      </c>
      <c r="D2068" s="90">
        <v>44275</v>
      </c>
      <c r="E2068" s="143">
        <v>0.66249999999999998</v>
      </c>
      <c r="F2068" s="1" t="s">
        <v>9</v>
      </c>
      <c r="G2068" s="2" t="s">
        <v>13</v>
      </c>
      <c r="H2068" s="2" t="s">
        <v>42</v>
      </c>
      <c r="I2068" s="1" t="s">
        <v>11</v>
      </c>
      <c r="J2068" s="1" t="s">
        <v>8</v>
      </c>
      <c r="K2068" s="89">
        <v>17200</v>
      </c>
      <c r="L2068" s="3">
        <v>60.12</v>
      </c>
      <c r="M2068" s="3">
        <v>10.119999999999999</v>
      </c>
      <c r="N2068" s="3" t="s">
        <v>8</v>
      </c>
      <c r="O2068" s="3" t="s">
        <v>8</v>
      </c>
    </row>
    <row r="2069" spans="1:15" x14ac:dyDescent="0.35">
      <c r="A2069" s="5" t="str">
        <f>Loads[[#This Row],[Date]]&amp;Loads[[#This Row],[Product]]</f>
        <v>44275Product2</v>
      </c>
      <c r="B2069" s="5">
        <f>COUNTIF($A$1:A2069,Loads[[#This Row],[Load]])</f>
        <v>13</v>
      </c>
      <c r="C2069" s="3" t="str">
        <f>Loads[[#This Row],[Load]]&amp;Loads[[#This Row],[Count]]</f>
        <v>44275Product213</v>
      </c>
      <c r="D2069" s="90">
        <v>44275</v>
      </c>
      <c r="E2069" s="143">
        <v>0.7270833333333333</v>
      </c>
      <c r="F2069" s="1" t="s">
        <v>9</v>
      </c>
      <c r="G2069" s="2" t="s">
        <v>13</v>
      </c>
      <c r="H2069" s="2" t="s">
        <v>42</v>
      </c>
      <c r="I2069" s="1" t="s">
        <v>11</v>
      </c>
      <c r="J2069" s="1" t="s">
        <v>8</v>
      </c>
      <c r="K2069" s="89">
        <v>10220</v>
      </c>
      <c r="L2069" s="3">
        <v>63.68</v>
      </c>
      <c r="M2069" s="3">
        <v>9.64</v>
      </c>
      <c r="N2069" s="3" t="s">
        <v>8</v>
      </c>
      <c r="O2069" s="3" t="s">
        <v>8</v>
      </c>
    </row>
    <row r="2070" spans="1:15" x14ac:dyDescent="0.35">
      <c r="A2070" s="5" t="str">
        <f>Loads[[#This Row],[Date]]&amp;Loads[[#This Row],[Product]]</f>
        <v>44275Product2</v>
      </c>
      <c r="B2070" s="5">
        <f>COUNTIF($A$1:A2070,Loads[[#This Row],[Load]])</f>
        <v>14</v>
      </c>
      <c r="C2070" s="3" t="str">
        <f>Loads[[#This Row],[Load]]&amp;Loads[[#This Row],[Count]]</f>
        <v>44275Product214</v>
      </c>
      <c r="D2070" s="90">
        <v>44275</v>
      </c>
      <c r="E2070" s="143">
        <v>0.79861111111111116</v>
      </c>
      <c r="F2070" s="1" t="s">
        <v>9</v>
      </c>
      <c r="G2070" s="2" t="s">
        <v>13</v>
      </c>
      <c r="H2070" s="2" t="s">
        <v>42</v>
      </c>
      <c r="I2070" s="1" t="s">
        <v>11</v>
      </c>
      <c r="J2070" s="1" t="s">
        <v>8</v>
      </c>
      <c r="K2070" s="89">
        <v>13120</v>
      </c>
      <c r="L2070" s="3">
        <v>62.2</v>
      </c>
      <c r="M2070" s="3">
        <v>10.67</v>
      </c>
      <c r="N2070" s="3" t="s">
        <v>8</v>
      </c>
      <c r="O2070" s="3" t="s">
        <v>8</v>
      </c>
    </row>
    <row r="2071" spans="1:15" x14ac:dyDescent="0.35">
      <c r="A2071" s="5" t="str">
        <f>Loads[[#This Row],[Date]]&amp;Loads[[#This Row],[Product]]</f>
        <v>44275Product2</v>
      </c>
      <c r="B2071" s="5">
        <f>COUNTIF($A$1:A2071,Loads[[#This Row],[Load]])</f>
        <v>15</v>
      </c>
      <c r="C2071" s="3" t="str">
        <f>Loads[[#This Row],[Load]]&amp;Loads[[#This Row],[Count]]</f>
        <v>44275Product215</v>
      </c>
      <c r="D2071" s="90">
        <v>44275</v>
      </c>
      <c r="E2071" s="143">
        <v>0.8520833333333333</v>
      </c>
      <c r="F2071" s="1" t="s">
        <v>9</v>
      </c>
      <c r="G2071" s="2" t="s">
        <v>13</v>
      </c>
      <c r="H2071" s="2" t="s">
        <v>42</v>
      </c>
      <c r="I2071" s="1" t="s">
        <v>11</v>
      </c>
      <c r="J2071" s="1" t="s">
        <v>8</v>
      </c>
      <c r="K2071" s="89">
        <v>10820</v>
      </c>
      <c r="L2071" s="3">
        <v>61.12</v>
      </c>
      <c r="M2071" s="3">
        <v>10.210000000000001</v>
      </c>
      <c r="N2071" s="3" t="s">
        <v>8</v>
      </c>
      <c r="O2071" s="3" t="s">
        <v>8</v>
      </c>
    </row>
    <row r="2072" spans="1:15" x14ac:dyDescent="0.35">
      <c r="A2072" s="5" t="str">
        <f>Loads[[#This Row],[Date]]&amp;Loads[[#This Row],[Product]]</f>
        <v>44275Product2</v>
      </c>
      <c r="B2072" s="5">
        <f>COUNTIF($A$1:A2072,Loads[[#This Row],[Load]])</f>
        <v>16</v>
      </c>
      <c r="C2072" s="3" t="str">
        <f>Loads[[#This Row],[Load]]&amp;Loads[[#This Row],[Count]]</f>
        <v>44275Product216</v>
      </c>
      <c r="D2072" s="90">
        <v>44275</v>
      </c>
      <c r="E2072" s="143">
        <v>0.90763888888888899</v>
      </c>
      <c r="F2072" s="1" t="s">
        <v>9</v>
      </c>
      <c r="G2072" s="2" t="s">
        <v>13</v>
      </c>
      <c r="H2072" s="2" t="s">
        <v>42</v>
      </c>
      <c r="I2072" s="1" t="s">
        <v>11</v>
      </c>
      <c r="J2072" s="1" t="s">
        <v>8</v>
      </c>
      <c r="K2072" s="89">
        <v>17540</v>
      </c>
      <c r="L2072" s="3">
        <v>61.51</v>
      </c>
      <c r="M2072" s="3">
        <v>10.64</v>
      </c>
      <c r="N2072" s="3" t="s">
        <v>8</v>
      </c>
      <c r="O2072" s="3" t="s">
        <v>8</v>
      </c>
    </row>
    <row r="2073" spans="1:15" x14ac:dyDescent="0.35">
      <c r="A2073" s="5" t="str">
        <f>Loads[[#This Row],[Date]]&amp;Loads[[#This Row],[Product]]</f>
        <v>44275Product2</v>
      </c>
      <c r="B2073" s="5">
        <f>COUNTIF($A$1:A2073,Loads[[#This Row],[Load]])</f>
        <v>17</v>
      </c>
      <c r="C2073" s="3" t="str">
        <f>Loads[[#This Row],[Load]]&amp;Loads[[#This Row],[Count]]</f>
        <v>44275Product217</v>
      </c>
      <c r="D2073" s="90">
        <v>44275</v>
      </c>
      <c r="E2073" s="143">
        <v>0.95486111111111116</v>
      </c>
      <c r="F2073" s="1" t="s">
        <v>9</v>
      </c>
      <c r="G2073" s="2" t="s">
        <v>13</v>
      </c>
      <c r="H2073" s="2" t="s">
        <v>42</v>
      </c>
      <c r="I2073" s="1" t="s">
        <v>11</v>
      </c>
      <c r="J2073" s="1" t="s">
        <v>8</v>
      </c>
      <c r="K2073" s="89">
        <v>9980</v>
      </c>
      <c r="L2073" s="3">
        <v>61.89</v>
      </c>
      <c r="M2073" s="3">
        <v>10.56</v>
      </c>
      <c r="N2073" s="3" t="s">
        <v>8</v>
      </c>
      <c r="O2073" s="3" t="s">
        <v>8</v>
      </c>
    </row>
    <row r="2074" spans="1:15" x14ac:dyDescent="0.35">
      <c r="A2074" s="5" t="str">
        <f>Loads[[#This Row],[Date]]&amp;Loads[[#This Row],[Product]]</f>
        <v>44276Product4</v>
      </c>
      <c r="B2074" s="5">
        <f>COUNTIF($A$1:A2074,Loads[[#This Row],[Load]])</f>
        <v>1</v>
      </c>
      <c r="C2074" s="3" t="str">
        <f>Loads[[#This Row],[Load]]&amp;Loads[[#This Row],[Count]]</f>
        <v>44276Product41</v>
      </c>
      <c r="D2074" s="90">
        <v>44276</v>
      </c>
      <c r="E2074" s="143">
        <v>0.44097222222222227</v>
      </c>
      <c r="F2074" s="1" t="s">
        <v>9</v>
      </c>
      <c r="G2074" s="2" t="s">
        <v>15</v>
      </c>
      <c r="H2074" s="2" t="s">
        <v>42</v>
      </c>
      <c r="I2074" s="1" t="s">
        <v>11</v>
      </c>
      <c r="J2074" s="1" t="s">
        <v>8</v>
      </c>
      <c r="K2074" s="89">
        <v>25140</v>
      </c>
      <c r="L2074" s="3">
        <v>10.75</v>
      </c>
      <c r="M2074" s="3">
        <v>62.45</v>
      </c>
      <c r="N2074" s="3" t="s">
        <v>8</v>
      </c>
      <c r="O2074" s="3" t="s">
        <v>8</v>
      </c>
    </row>
    <row r="2075" spans="1:15" x14ac:dyDescent="0.35">
      <c r="A2075" s="5" t="str">
        <f>Loads[[#This Row],[Date]]&amp;Loads[[#This Row],[Product]]</f>
        <v>44276Product4</v>
      </c>
      <c r="B2075" s="5">
        <f>COUNTIF($A$1:A2075,Loads[[#This Row],[Load]])</f>
        <v>2</v>
      </c>
      <c r="C2075" s="3" t="str">
        <f>Loads[[#This Row],[Load]]&amp;Loads[[#This Row],[Count]]</f>
        <v>44276Product42</v>
      </c>
      <c r="D2075" s="90">
        <v>44276</v>
      </c>
      <c r="E2075" s="143">
        <v>0.47083333333333338</v>
      </c>
      <c r="F2075" s="1" t="s">
        <v>9</v>
      </c>
      <c r="G2075" s="2" t="s">
        <v>15</v>
      </c>
      <c r="H2075" s="2" t="s">
        <v>42</v>
      </c>
      <c r="I2075" s="1" t="s">
        <v>11</v>
      </c>
      <c r="J2075" s="1" t="s">
        <v>8</v>
      </c>
      <c r="K2075" s="89">
        <v>36060</v>
      </c>
      <c r="L2075" s="3">
        <v>9.9499999999999993</v>
      </c>
      <c r="M2075" s="3">
        <v>62.69</v>
      </c>
      <c r="N2075" s="3" t="s">
        <v>8</v>
      </c>
      <c r="O2075" s="3" t="s">
        <v>8</v>
      </c>
    </row>
    <row r="2076" spans="1:15" x14ac:dyDescent="0.35">
      <c r="A2076" s="5" t="str">
        <f>Loads[[#This Row],[Date]]&amp;Loads[[#This Row],[Product]]</f>
        <v>44276Product4</v>
      </c>
      <c r="B2076" s="5">
        <f>COUNTIF($A$1:A2076,Loads[[#This Row],[Load]])</f>
        <v>3</v>
      </c>
      <c r="C2076" s="3" t="str">
        <f>Loads[[#This Row],[Load]]&amp;Loads[[#This Row],[Count]]</f>
        <v>44276Product43</v>
      </c>
      <c r="D2076" s="90">
        <v>44276</v>
      </c>
      <c r="E2076" s="143">
        <v>0.93055555555555547</v>
      </c>
      <c r="F2076" s="1" t="s">
        <v>9</v>
      </c>
      <c r="G2076" s="2" t="s">
        <v>15</v>
      </c>
      <c r="H2076" s="2" t="s">
        <v>42</v>
      </c>
      <c r="I2076" s="1" t="s">
        <v>11</v>
      </c>
      <c r="J2076" s="1" t="s">
        <v>8</v>
      </c>
      <c r="K2076" s="89">
        <v>36340</v>
      </c>
      <c r="L2076" s="3">
        <v>10.27</v>
      </c>
      <c r="M2076" s="3">
        <v>62.55</v>
      </c>
      <c r="N2076" s="3" t="s">
        <v>8</v>
      </c>
      <c r="O2076" s="3" t="s">
        <v>8</v>
      </c>
    </row>
    <row r="2077" spans="1:15" x14ac:dyDescent="0.35">
      <c r="A2077" s="5" t="str">
        <f>Loads[[#This Row],[Date]]&amp;Loads[[#This Row],[Product]]</f>
        <v>44276Product6</v>
      </c>
      <c r="B2077" s="5">
        <f>COUNTIF($A$1:A2077,Loads[[#This Row],[Load]])</f>
        <v>1</v>
      </c>
      <c r="C2077" s="3" t="str">
        <f>Loads[[#This Row],[Load]]&amp;Loads[[#This Row],[Count]]</f>
        <v>44276Product61</v>
      </c>
      <c r="D2077" s="90">
        <v>44276</v>
      </c>
      <c r="E2077" s="143">
        <v>0.25</v>
      </c>
      <c r="F2077" s="1" t="s">
        <v>9</v>
      </c>
      <c r="G2077" s="2" t="s">
        <v>17</v>
      </c>
      <c r="H2077" s="2" t="s">
        <v>42</v>
      </c>
      <c r="I2077" s="1" t="s">
        <v>11</v>
      </c>
      <c r="J2077" s="1" t="s">
        <v>8</v>
      </c>
      <c r="K2077" s="89">
        <v>34660</v>
      </c>
      <c r="L2077" s="3">
        <v>0.08</v>
      </c>
      <c r="M2077" s="3" t="s">
        <v>8</v>
      </c>
      <c r="N2077" s="3">
        <v>1.88</v>
      </c>
      <c r="O2077" s="3" t="s">
        <v>8</v>
      </c>
    </row>
    <row r="2078" spans="1:15" x14ac:dyDescent="0.35">
      <c r="A2078" s="5" t="str">
        <f>Loads[[#This Row],[Date]]&amp;Loads[[#This Row],[Product]]</f>
        <v>44276Product6</v>
      </c>
      <c r="B2078" s="5">
        <f>COUNTIF($A$1:A2078,Loads[[#This Row],[Load]])</f>
        <v>2</v>
      </c>
      <c r="C2078" s="3" t="str">
        <f>Loads[[#This Row],[Load]]&amp;Loads[[#This Row],[Count]]</f>
        <v>44276Product62</v>
      </c>
      <c r="D2078" s="90">
        <v>44276</v>
      </c>
      <c r="E2078" s="143">
        <v>0.51041666666666663</v>
      </c>
      <c r="F2078" s="1" t="s">
        <v>9</v>
      </c>
      <c r="G2078" s="2" t="s">
        <v>17</v>
      </c>
      <c r="H2078" s="2" t="s">
        <v>42</v>
      </c>
      <c r="I2078" s="1" t="s">
        <v>11</v>
      </c>
      <c r="J2078" s="1" t="s">
        <v>8</v>
      </c>
      <c r="K2078" s="89">
        <v>35340</v>
      </c>
      <c r="L2078" s="3">
        <v>0.08</v>
      </c>
      <c r="M2078" s="3" t="s">
        <v>8</v>
      </c>
      <c r="N2078" s="3">
        <v>1.88</v>
      </c>
      <c r="O2078" s="3" t="s">
        <v>8</v>
      </c>
    </row>
    <row r="2079" spans="1:15" x14ac:dyDescent="0.35">
      <c r="A2079" s="5" t="str">
        <f>Loads[[#This Row],[Date]]&amp;Loads[[#This Row],[Product]]</f>
        <v>44276Product1</v>
      </c>
      <c r="B2079" s="5">
        <f>COUNTIF($A$1:A2079,Loads[[#This Row],[Load]])</f>
        <v>1</v>
      </c>
      <c r="C2079" s="3" t="str">
        <f>Loads[[#This Row],[Load]]&amp;Loads[[#This Row],[Count]]</f>
        <v>44276Product11</v>
      </c>
      <c r="D2079" s="90">
        <v>44276</v>
      </c>
      <c r="E2079" s="143">
        <v>0.61458333333333337</v>
      </c>
      <c r="F2079" s="1" t="s">
        <v>9</v>
      </c>
      <c r="G2079" s="2" t="s">
        <v>12</v>
      </c>
      <c r="H2079" s="2" t="s">
        <v>42</v>
      </c>
      <c r="I2079" s="1" t="s">
        <v>11</v>
      </c>
      <c r="J2079" s="1" t="s">
        <v>8</v>
      </c>
      <c r="K2079" s="89">
        <v>27580</v>
      </c>
      <c r="L2079" s="3">
        <v>8.16</v>
      </c>
      <c r="M2079" s="3">
        <v>21.05</v>
      </c>
      <c r="N2079" s="3" t="s">
        <v>8</v>
      </c>
      <c r="O2079" s="3" t="s">
        <v>8</v>
      </c>
    </row>
    <row r="2080" spans="1:15" x14ac:dyDescent="0.35">
      <c r="A2080" s="5" t="str">
        <f>Loads[[#This Row],[Date]]&amp;Loads[[#This Row],[Product]]</f>
        <v>44276Product1</v>
      </c>
      <c r="B2080" s="5">
        <f>COUNTIF($A$1:A2080,Loads[[#This Row],[Load]])</f>
        <v>2</v>
      </c>
      <c r="C2080" s="3" t="str">
        <f>Loads[[#This Row],[Load]]&amp;Loads[[#This Row],[Count]]</f>
        <v>44276Product12</v>
      </c>
      <c r="D2080" s="90">
        <v>44276</v>
      </c>
      <c r="E2080" s="143">
        <v>0.5756944444444444</v>
      </c>
      <c r="F2080" s="1" t="s">
        <v>9</v>
      </c>
      <c r="G2080" s="2" t="s">
        <v>12</v>
      </c>
      <c r="H2080" s="2" t="s">
        <v>42</v>
      </c>
      <c r="I2080" s="1" t="s">
        <v>11</v>
      </c>
      <c r="J2080" s="1" t="s">
        <v>8</v>
      </c>
      <c r="K2080" s="89">
        <v>30880</v>
      </c>
      <c r="L2080" s="3">
        <v>5.8</v>
      </c>
      <c r="M2080" s="3">
        <v>20.85</v>
      </c>
      <c r="N2080" s="3" t="s">
        <v>8</v>
      </c>
      <c r="O2080" s="3" t="s">
        <v>8</v>
      </c>
    </row>
    <row r="2081" spans="1:15" x14ac:dyDescent="0.35">
      <c r="A2081" s="5" t="str">
        <f>Loads[[#This Row],[Date]]&amp;Loads[[#This Row],[Product]]</f>
        <v>44276Product1</v>
      </c>
      <c r="B2081" s="5">
        <f>COUNTIF($A$1:A2081,Loads[[#This Row],[Load]])</f>
        <v>3</v>
      </c>
      <c r="C2081" s="3" t="str">
        <f>Loads[[#This Row],[Load]]&amp;Loads[[#This Row],[Count]]</f>
        <v>44276Product13</v>
      </c>
      <c r="D2081" s="90">
        <v>44276</v>
      </c>
      <c r="E2081" s="143">
        <v>0.49305555555555558</v>
      </c>
      <c r="F2081" s="1" t="s">
        <v>9</v>
      </c>
      <c r="G2081" s="2" t="s">
        <v>12</v>
      </c>
      <c r="H2081" s="2" t="s">
        <v>42</v>
      </c>
      <c r="I2081" s="1" t="s">
        <v>11</v>
      </c>
      <c r="J2081" s="1" t="s">
        <v>8</v>
      </c>
      <c r="K2081" s="89">
        <v>22320</v>
      </c>
      <c r="L2081" s="3">
        <v>5.95</v>
      </c>
      <c r="M2081" s="3">
        <v>21.26</v>
      </c>
      <c r="N2081" s="3" t="s">
        <v>8</v>
      </c>
      <c r="O2081" s="3" t="s">
        <v>8</v>
      </c>
    </row>
    <row r="2082" spans="1:15" x14ac:dyDescent="0.35">
      <c r="A2082" s="5" t="str">
        <f>Loads[[#This Row],[Date]]&amp;Loads[[#This Row],[Product]]</f>
        <v>44276Product1</v>
      </c>
      <c r="B2082" s="5">
        <f>COUNTIF($A$1:A2082,Loads[[#This Row],[Load]])</f>
        <v>4</v>
      </c>
      <c r="C2082" s="3" t="str">
        <f>Loads[[#This Row],[Load]]&amp;Loads[[#This Row],[Count]]</f>
        <v>44276Product14</v>
      </c>
      <c r="D2082" s="90">
        <v>44276</v>
      </c>
      <c r="E2082" s="143">
        <v>0.14930555555555555</v>
      </c>
      <c r="F2082" s="1" t="s">
        <v>9</v>
      </c>
      <c r="G2082" s="2" t="s">
        <v>12</v>
      </c>
      <c r="H2082" s="2" t="s">
        <v>42</v>
      </c>
      <c r="I2082" s="1" t="s">
        <v>11</v>
      </c>
      <c r="J2082" s="1" t="s">
        <v>8</v>
      </c>
      <c r="K2082" s="89">
        <v>20020</v>
      </c>
      <c r="L2082" s="3">
        <v>8.92</v>
      </c>
      <c r="M2082" s="3">
        <v>22.61</v>
      </c>
      <c r="N2082" s="3" t="s">
        <v>8</v>
      </c>
      <c r="O2082" s="3" t="s">
        <v>8</v>
      </c>
    </row>
    <row r="2083" spans="1:15" x14ac:dyDescent="0.35">
      <c r="A2083" s="5" t="str">
        <f>Loads[[#This Row],[Date]]&amp;Loads[[#This Row],[Product]]</f>
        <v>44276Product1</v>
      </c>
      <c r="B2083" s="5">
        <f>COUNTIF($A$1:A2083,Loads[[#This Row],[Load]])</f>
        <v>5</v>
      </c>
      <c r="C2083" s="3" t="str">
        <f>Loads[[#This Row],[Load]]&amp;Loads[[#This Row],[Count]]</f>
        <v>44276Product15</v>
      </c>
      <c r="D2083" s="90">
        <v>44276</v>
      </c>
      <c r="E2083" s="143">
        <v>0.30208333333333331</v>
      </c>
      <c r="F2083" s="1" t="s">
        <v>9</v>
      </c>
      <c r="G2083" s="2" t="s">
        <v>12</v>
      </c>
      <c r="H2083" s="2" t="s">
        <v>42</v>
      </c>
      <c r="I2083" s="1" t="s">
        <v>11</v>
      </c>
      <c r="J2083" s="1" t="s">
        <v>8</v>
      </c>
      <c r="K2083" s="89">
        <v>31000</v>
      </c>
      <c r="L2083" s="3">
        <v>8.85</v>
      </c>
      <c r="M2083" s="3">
        <v>22.95</v>
      </c>
      <c r="N2083" s="3" t="s">
        <v>8</v>
      </c>
      <c r="O2083" s="3" t="s">
        <v>8</v>
      </c>
    </row>
    <row r="2084" spans="1:15" x14ac:dyDescent="0.35">
      <c r="A2084" s="5" t="str">
        <f>Loads[[#This Row],[Date]]&amp;Loads[[#This Row],[Product]]</f>
        <v>44276Product1</v>
      </c>
      <c r="B2084" s="5">
        <f>COUNTIF($A$1:A2084,Loads[[#This Row],[Load]])</f>
        <v>6</v>
      </c>
      <c r="C2084" s="3" t="str">
        <f>Loads[[#This Row],[Load]]&amp;Loads[[#This Row],[Count]]</f>
        <v>44276Product16</v>
      </c>
      <c r="D2084" s="90">
        <v>44276</v>
      </c>
      <c r="E2084" s="143">
        <v>6.9444444444444441E-3</v>
      </c>
      <c r="F2084" s="1" t="s">
        <v>9</v>
      </c>
      <c r="G2084" s="2" t="s">
        <v>12</v>
      </c>
      <c r="H2084" s="2" t="s">
        <v>42</v>
      </c>
      <c r="I2084" s="1" t="s">
        <v>11</v>
      </c>
      <c r="J2084" s="1" t="s">
        <v>8</v>
      </c>
      <c r="K2084" s="89">
        <v>25920</v>
      </c>
      <c r="L2084" s="3">
        <v>8.8699999999999992</v>
      </c>
      <c r="M2084" s="3">
        <v>23.58</v>
      </c>
      <c r="N2084" s="3" t="s">
        <v>8</v>
      </c>
      <c r="O2084" s="3" t="s">
        <v>8</v>
      </c>
    </row>
    <row r="2085" spans="1:15" x14ac:dyDescent="0.35">
      <c r="A2085" s="5" t="str">
        <f>Loads[[#This Row],[Date]]&amp;Loads[[#This Row],[Product]]</f>
        <v>44276Product1</v>
      </c>
      <c r="B2085" s="5">
        <f>COUNTIF($A$1:A2085,Loads[[#This Row],[Load]])</f>
        <v>7</v>
      </c>
      <c r="C2085" s="3" t="str">
        <f>Loads[[#This Row],[Load]]&amp;Loads[[#This Row],[Count]]</f>
        <v>44276Product17</v>
      </c>
      <c r="D2085" s="90">
        <v>44276</v>
      </c>
      <c r="E2085" s="143">
        <v>8.3333333333333329E-2</v>
      </c>
      <c r="F2085" s="1" t="s">
        <v>9</v>
      </c>
      <c r="G2085" s="2" t="s">
        <v>12</v>
      </c>
      <c r="H2085" s="2" t="s">
        <v>42</v>
      </c>
      <c r="I2085" s="1" t="s">
        <v>11</v>
      </c>
      <c r="J2085" s="1" t="s">
        <v>8</v>
      </c>
      <c r="K2085" s="89">
        <v>29080</v>
      </c>
      <c r="L2085" s="3">
        <v>9.6999999999999993</v>
      </c>
      <c r="M2085" s="3">
        <v>23.53</v>
      </c>
      <c r="N2085" s="3" t="s">
        <v>8</v>
      </c>
      <c r="O2085" s="3" t="s">
        <v>8</v>
      </c>
    </row>
    <row r="2086" spans="1:15" x14ac:dyDescent="0.35">
      <c r="A2086" s="5" t="str">
        <f>Loads[[#This Row],[Date]]&amp;Loads[[#This Row],[Product]]</f>
        <v>44276Product1</v>
      </c>
      <c r="B2086" s="5">
        <f>COUNTIF($A$1:A2086,Loads[[#This Row],[Load]])</f>
        <v>8</v>
      </c>
      <c r="C2086" s="3" t="str">
        <f>Loads[[#This Row],[Load]]&amp;Loads[[#This Row],[Count]]</f>
        <v>44276Product18</v>
      </c>
      <c r="D2086" s="90">
        <v>44276</v>
      </c>
      <c r="E2086" s="143">
        <v>0.11805555555555557</v>
      </c>
      <c r="F2086" s="1" t="s">
        <v>9</v>
      </c>
      <c r="G2086" s="2" t="s">
        <v>12</v>
      </c>
      <c r="H2086" s="2" t="s">
        <v>42</v>
      </c>
      <c r="I2086" s="1" t="s">
        <v>11</v>
      </c>
      <c r="J2086" s="1" t="s">
        <v>8</v>
      </c>
      <c r="K2086" s="89">
        <v>24060</v>
      </c>
      <c r="L2086" s="3">
        <v>9.68</v>
      </c>
      <c r="M2086" s="3">
        <v>23.54</v>
      </c>
      <c r="N2086" s="3" t="s">
        <v>8</v>
      </c>
      <c r="O2086" s="3" t="s">
        <v>8</v>
      </c>
    </row>
    <row r="2087" spans="1:15" x14ac:dyDescent="0.35">
      <c r="A2087" s="5" t="str">
        <f>Loads[[#This Row],[Date]]&amp;Loads[[#This Row],[Product]]</f>
        <v>44276Product1</v>
      </c>
      <c r="B2087" s="5">
        <f>COUNTIF($A$1:A2087,Loads[[#This Row],[Load]])</f>
        <v>9</v>
      </c>
      <c r="C2087" s="3" t="str">
        <f>Loads[[#This Row],[Load]]&amp;Loads[[#This Row],[Count]]</f>
        <v>44276Product19</v>
      </c>
      <c r="D2087" s="90">
        <v>44276</v>
      </c>
      <c r="E2087" s="143">
        <v>0.13541666666666666</v>
      </c>
      <c r="F2087" s="1" t="s">
        <v>9</v>
      </c>
      <c r="G2087" s="2" t="s">
        <v>12</v>
      </c>
      <c r="H2087" s="2" t="s">
        <v>42</v>
      </c>
      <c r="I2087" s="1" t="s">
        <v>11</v>
      </c>
      <c r="J2087" s="1" t="s">
        <v>8</v>
      </c>
      <c r="K2087" s="89">
        <v>22600</v>
      </c>
      <c r="L2087" s="3">
        <v>9.65</v>
      </c>
      <c r="M2087" s="3">
        <v>24.24</v>
      </c>
      <c r="N2087" s="3" t="s">
        <v>8</v>
      </c>
      <c r="O2087" s="3" t="s">
        <v>8</v>
      </c>
    </row>
    <row r="2088" spans="1:15" x14ac:dyDescent="0.35">
      <c r="A2088" s="5" t="str">
        <f>Loads[[#This Row],[Date]]&amp;Loads[[#This Row],[Product]]</f>
        <v>44276Product1</v>
      </c>
      <c r="B2088" s="5">
        <f>COUNTIF($A$1:A2088,Loads[[#This Row],[Load]])</f>
        <v>10</v>
      </c>
      <c r="C2088" s="3" t="str">
        <f>Loads[[#This Row],[Load]]&amp;Loads[[#This Row],[Count]]</f>
        <v>44276Product110</v>
      </c>
      <c r="D2088" s="90">
        <v>44276</v>
      </c>
      <c r="E2088" s="143">
        <v>0.21527777777777779</v>
      </c>
      <c r="F2088" s="1" t="s">
        <v>9</v>
      </c>
      <c r="G2088" s="2" t="s">
        <v>12</v>
      </c>
      <c r="H2088" s="2" t="s">
        <v>42</v>
      </c>
      <c r="I2088" s="1" t="s">
        <v>11</v>
      </c>
      <c r="J2088" s="1" t="s">
        <v>8</v>
      </c>
      <c r="K2088" s="89">
        <v>34280</v>
      </c>
      <c r="L2088" s="3">
        <v>8.82</v>
      </c>
      <c r="M2088" s="3">
        <v>23.11</v>
      </c>
      <c r="N2088" s="3" t="s">
        <v>8</v>
      </c>
      <c r="O2088" s="3" t="s">
        <v>8</v>
      </c>
    </row>
    <row r="2089" spans="1:15" x14ac:dyDescent="0.35">
      <c r="A2089" s="5" t="str">
        <f>Loads[[#This Row],[Date]]&amp;Loads[[#This Row],[Product]]</f>
        <v>44276Product1</v>
      </c>
      <c r="B2089" s="5">
        <f>COUNTIF($A$1:A2089,Loads[[#This Row],[Load]])</f>
        <v>11</v>
      </c>
      <c r="C2089" s="3" t="str">
        <f>Loads[[#This Row],[Load]]&amp;Loads[[#This Row],[Count]]</f>
        <v>44276Product111</v>
      </c>
      <c r="D2089" s="90">
        <v>44276</v>
      </c>
      <c r="E2089" s="143">
        <v>0.6875</v>
      </c>
      <c r="F2089" s="1" t="s">
        <v>9</v>
      </c>
      <c r="G2089" s="2" t="s">
        <v>12</v>
      </c>
      <c r="H2089" s="2" t="s">
        <v>42</v>
      </c>
      <c r="I2089" s="1" t="s">
        <v>11</v>
      </c>
      <c r="J2089" s="1" t="s">
        <v>8</v>
      </c>
      <c r="K2089" s="89">
        <v>29980</v>
      </c>
      <c r="L2089" s="3">
        <v>8.0500000000000007</v>
      </c>
      <c r="M2089" s="3">
        <v>21.51</v>
      </c>
      <c r="N2089" s="3" t="s">
        <v>8</v>
      </c>
      <c r="O2089" s="3" t="s">
        <v>8</v>
      </c>
    </row>
    <row r="2090" spans="1:15" x14ac:dyDescent="0.35">
      <c r="A2090" s="5" t="str">
        <f>Loads[[#This Row],[Date]]&amp;Loads[[#This Row],[Product]]</f>
        <v>44276Product1</v>
      </c>
      <c r="B2090" s="5">
        <f>COUNTIF($A$1:A2090,Loads[[#This Row],[Load]])</f>
        <v>12</v>
      </c>
      <c r="C2090" s="3" t="str">
        <f>Loads[[#This Row],[Load]]&amp;Loads[[#This Row],[Count]]</f>
        <v>44276Product112</v>
      </c>
      <c r="D2090" s="90">
        <v>44276</v>
      </c>
      <c r="E2090" s="143">
        <v>0.72916666666666663</v>
      </c>
      <c r="F2090" s="1" t="s">
        <v>9</v>
      </c>
      <c r="G2090" s="2" t="s">
        <v>12</v>
      </c>
      <c r="H2090" s="2" t="s">
        <v>42</v>
      </c>
      <c r="I2090" s="1" t="s">
        <v>11</v>
      </c>
      <c r="J2090" s="1" t="s">
        <v>8</v>
      </c>
      <c r="K2090" s="89">
        <v>29100</v>
      </c>
      <c r="L2090" s="3">
        <v>8.75</v>
      </c>
      <c r="M2090" s="3">
        <v>22.94</v>
      </c>
      <c r="N2090" s="3" t="s">
        <v>8</v>
      </c>
      <c r="O2090" s="3" t="s">
        <v>8</v>
      </c>
    </row>
    <row r="2091" spans="1:15" x14ac:dyDescent="0.35">
      <c r="A2091" s="5" t="str">
        <f>Loads[[#This Row],[Date]]&amp;Loads[[#This Row],[Product]]</f>
        <v>44276Product1</v>
      </c>
      <c r="B2091" s="5">
        <f>COUNTIF($A$1:A2091,Loads[[#This Row],[Load]])</f>
        <v>13</v>
      </c>
      <c r="C2091" s="3" t="str">
        <f>Loads[[#This Row],[Load]]&amp;Loads[[#This Row],[Count]]</f>
        <v>44276Product113</v>
      </c>
      <c r="D2091" s="90">
        <v>44276</v>
      </c>
      <c r="E2091" s="143">
        <v>0.79166666666666663</v>
      </c>
      <c r="F2091" s="1" t="s">
        <v>9</v>
      </c>
      <c r="G2091" s="2" t="s">
        <v>12</v>
      </c>
      <c r="H2091" s="2" t="s">
        <v>42</v>
      </c>
      <c r="I2091" s="1" t="s">
        <v>11</v>
      </c>
      <c r="J2091" s="1" t="s">
        <v>8</v>
      </c>
      <c r="K2091" s="89">
        <v>43520</v>
      </c>
      <c r="L2091" s="3">
        <v>8.68</v>
      </c>
      <c r="M2091" s="3">
        <v>22.34</v>
      </c>
      <c r="N2091" s="3" t="s">
        <v>8</v>
      </c>
      <c r="O2091" s="3" t="s">
        <v>8</v>
      </c>
    </row>
    <row r="2092" spans="1:15" x14ac:dyDescent="0.35">
      <c r="A2092" s="5" t="str">
        <f>Loads[[#This Row],[Date]]&amp;Loads[[#This Row],[Product]]</f>
        <v>44276Product1</v>
      </c>
      <c r="B2092" s="5">
        <f>COUNTIF($A$1:A2092,Loads[[#This Row],[Load]])</f>
        <v>14</v>
      </c>
      <c r="C2092" s="3" t="str">
        <f>Loads[[#This Row],[Load]]&amp;Loads[[#This Row],[Count]]</f>
        <v>44276Product114</v>
      </c>
      <c r="D2092" s="90">
        <v>44276</v>
      </c>
      <c r="E2092" s="143">
        <v>0.85416666666666663</v>
      </c>
      <c r="F2092" s="1" t="s">
        <v>9</v>
      </c>
      <c r="G2092" s="2" t="s">
        <v>12</v>
      </c>
      <c r="H2092" s="2" t="s">
        <v>42</v>
      </c>
      <c r="I2092" s="1" t="s">
        <v>11</v>
      </c>
      <c r="J2092" s="1" t="s">
        <v>8</v>
      </c>
      <c r="K2092" s="89">
        <v>43620</v>
      </c>
      <c r="L2092" s="3">
        <v>8.1</v>
      </c>
      <c r="M2092" s="3">
        <v>22.37</v>
      </c>
      <c r="N2092" s="3" t="s">
        <v>8</v>
      </c>
      <c r="O2092" s="3" t="s">
        <v>8</v>
      </c>
    </row>
    <row r="2093" spans="1:15" x14ac:dyDescent="0.35">
      <c r="A2093" s="5" t="str">
        <f>Loads[[#This Row],[Date]]&amp;Loads[[#This Row],[Product]]</f>
        <v>44276Product1</v>
      </c>
      <c r="B2093" s="5">
        <f>COUNTIF($A$1:A2093,Loads[[#This Row],[Load]])</f>
        <v>15</v>
      </c>
      <c r="C2093" s="3" t="str">
        <f>Loads[[#This Row],[Load]]&amp;Loads[[#This Row],[Count]]</f>
        <v>44276Product115</v>
      </c>
      <c r="D2093" s="90">
        <v>44276</v>
      </c>
      <c r="E2093" s="143">
        <v>0.91666666666666663</v>
      </c>
      <c r="F2093" s="1" t="s">
        <v>9</v>
      </c>
      <c r="G2093" s="2" t="s">
        <v>12</v>
      </c>
      <c r="H2093" s="2" t="s">
        <v>42</v>
      </c>
      <c r="I2093" s="1" t="s">
        <v>11</v>
      </c>
      <c r="J2093" s="1" t="s">
        <v>8</v>
      </c>
      <c r="K2093" s="89">
        <v>20200</v>
      </c>
      <c r="L2093" s="3">
        <v>8.2899999999999991</v>
      </c>
      <c r="M2093" s="3">
        <v>21.03</v>
      </c>
      <c r="N2093" s="3" t="s">
        <v>8</v>
      </c>
      <c r="O2093" s="3" t="s">
        <v>8</v>
      </c>
    </row>
    <row r="2094" spans="1:15" x14ac:dyDescent="0.35">
      <c r="A2094" s="5" t="str">
        <f>Loads[[#This Row],[Date]]&amp;Loads[[#This Row],[Product]]</f>
        <v>44276Product1</v>
      </c>
      <c r="B2094" s="5">
        <f>COUNTIF($A$1:A2094,Loads[[#This Row],[Load]])</f>
        <v>16</v>
      </c>
      <c r="C2094" s="3" t="str">
        <f>Loads[[#This Row],[Load]]&amp;Loads[[#This Row],[Count]]</f>
        <v>44276Product116</v>
      </c>
      <c r="D2094" s="90">
        <v>44276</v>
      </c>
      <c r="E2094" s="143">
        <v>0.9375</v>
      </c>
      <c r="F2094" s="1" t="s">
        <v>9</v>
      </c>
      <c r="G2094" s="2" t="s">
        <v>12</v>
      </c>
      <c r="H2094" s="2" t="s">
        <v>42</v>
      </c>
      <c r="I2094" s="1" t="s">
        <v>11</v>
      </c>
      <c r="J2094" s="1" t="s">
        <v>8</v>
      </c>
      <c r="K2094" s="89">
        <v>19400</v>
      </c>
      <c r="L2094" s="3">
        <v>8.27</v>
      </c>
      <c r="M2094" s="3">
        <v>22.13</v>
      </c>
      <c r="N2094" s="3" t="s">
        <v>8</v>
      </c>
      <c r="O2094" s="3" t="s">
        <v>8</v>
      </c>
    </row>
    <row r="2095" spans="1:15" x14ac:dyDescent="0.35">
      <c r="A2095" s="5" t="str">
        <f>Loads[[#This Row],[Date]]&amp;Loads[[#This Row],[Product]]</f>
        <v>44276Product2</v>
      </c>
      <c r="B2095" s="5">
        <f>COUNTIF($A$1:A2095,Loads[[#This Row],[Load]])</f>
        <v>1</v>
      </c>
      <c r="C2095" s="3" t="str">
        <f>Loads[[#This Row],[Load]]&amp;Loads[[#This Row],[Count]]</f>
        <v>44276Product21</v>
      </c>
      <c r="D2095" s="90">
        <v>44276</v>
      </c>
      <c r="E2095" s="143">
        <v>5.5555555555555558E-3</v>
      </c>
      <c r="F2095" s="1" t="s">
        <v>9</v>
      </c>
      <c r="G2095" s="2" t="s">
        <v>13</v>
      </c>
      <c r="H2095" s="2" t="s">
        <v>42</v>
      </c>
      <c r="I2095" s="1" t="s">
        <v>11</v>
      </c>
      <c r="J2095" s="1" t="s">
        <v>8</v>
      </c>
      <c r="K2095" s="89">
        <v>12520</v>
      </c>
      <c r="L2095" s="3">
        <v>61.51</v>
      </c>
      <c r="M2095" s="3">
        <v>10.64</v>
      </c>
      <c r="N2095" s="3" t="s">
        <v>8</v>
      </c>
      <c r="O2095" s="3" t="s">
        <v>8</v>
      </c>
    </row>
    <row r="2096" spans="1:15" x14ac:dyDescent="0.35">
      <c r="A2096" s="5" t="str">
        <f>Loads[[#This Row],[Date]]&amp;Loads[[#This Row],[Product]]</f>
        <v>44276Product2</v>
      </c>
      <c r="B2096" s="5">
        <f>COUNTIF($A$1:A2096,Loads[[#This Row],[Load]])</f>
        <v>2</v>
      </c>
      <c r="C2096" s="3" t="str">
        <f>Loads[[#This Row],[Load]]&amp;Loads[[#This Row],[Count]]</f>
        <v>44276Product22</v>
      </c>
      <c r="D2096" s="90">
        <v>44276</v>
      </c>
      <c r="E2096" s="143">
        <v>0.18055555555555555</v>
      </c>
      <c r="F2096" s="1" t="s">
        <v>9</v>
      </c>
      <c r="G2096" s="2" t="s">
        <v>13</v>
      </c>
      <c r="H2096" s="2" t="s">
        <v>42</v>
      </c>
      <c r="I2096" s="1" t="s">
        <v>11</v>
      </c>
      <c r="J2096" s="1" t="s">
        <v>8</v>
      </c>
      <c r="K2096" s="89">
        <v>13720</v>
      </c>
      <c r="L2096" s="3">
        <v>63.83</v>
      </c>
      <c r="M2096" s="3">
        <v>9.5</v>
      </c>
      <c r="N2096" s="3" t="s">
        <v>8</v>
      </c>
      <c r="O2096" s="3" t="s">
        <v>8</v>
      </c>
    </row>
    <row r="2097" spans="1:15" x14ac:dyDescent="0.35">
      <c r="A2097" s="5" t="str">
        <f>Loads[[#This Row],[Date]]&amp;Loads[[#This Row],[Product]]</f>
        <v>44276Product2</v>
      </c>
      <c r="B2097" s="5">
        <f>COUNTIF($A$1:A2097,Loads[[#This Row],[Load]])</f>
        <v>3</v>
      </c>
      <c r="C2097" s="3" t="str">
        <f>Loads[[#This Row],[Load]]&amp;Loads[[#This Row],[Count]]</f>
        <v>44276Product23</v>
      </c>
      <c r="D2097" s="90">
        <v>44276</v>
      </c>
      <c r="E2097" s="143">
        <v>0.56597222222222221</v>
      </c>
      <c r="F2097" s="1" t="s">
        <v>9</v>
      </c>
      <c r="G2097" s="2" t="s">
        <v>13</v>
      </c>
      <c r="H2097" s="2" t="s">
        <v>42</v>
      </c>
      <c r="I2097" s="1" t="s">
        <v>11</v>
      </c>
      <c r="J2097" s="1" t="s">
        <v>8</v>
      </c>
      <c r="K2097" s="89">
        <v>11340</v>
      </c>
      <c r="L2097" s="3">
        <v>62.2</v>
      </c>
      <c r="M2097" s="3">
        <v>10.67</v>
      </c>
      <c r="N2097" s="3" t="s">
        <v>8</v>
      </c>
      <c r="O2097" s="3" t="s">
        <v>8</v>
      </c>
    </row>
    <row r="2098" spans="1:15" x14ac:dyDescent="0.35">
      <c r="A2098" s="5" t="str">
        <f>Loads[[#This Row],[Date]]&amp;Loads[[#This Row],[Product]]</f>
        <v>44276Product2</v>
      </c>
      <c r="B2098" s="5">
        <f>COUNTIF($A$1:A2098,Loads[[#This Row],[Load]])</f>
        <v>4</v>
      </c>
      <c r="C2098" s="3" t="str">
        <f>Loads[[#This Row],[Load]]&amp;Loads[[#This Row],[Count]]</f>
        <v>44276Product24</v>
      </c>
      <c r="D2098" s="90">
        <v>44276</v>
      </c>
      <c r="E2098" s="143">
        <v>3.4722222222222224E-2</v>
      </c>
      <c r="F2098" s="1" t="s">
        <v>9</v>
      </c>
      <c r="G2098" s="2" t="s">
        <v>13</v>
      </c>
      <c r="H2098" s="2" t="s">
        <v>42</v>
      </c>
      <c r="I2098" s="1" t="s">
        <v>11</v>
      </c>
      <c r="J2098" s="1" t="s">
        <v>8</v>
      </c>
      <c r="K2098" s="89">
        <v>11640</v>
      </c>
      <c r="L2098" s="3">
        <v>63.7</v>
      </c>
      <c r="M2098" s="3">
        <v>12.87</v>
      </c>
      <c r="N2098" s="3" t="s">
        <v>8</v>
      </c>
      <c r="O2098" s="3" t="s">
        <v>8</v>
      </c>
    </row>
    <row r="2099" spans="1:15" x14ac:dyDescent="0.35">
      <c r="A2099" s="5" t="str">
        <f>Loads[[#This Row],[Date]]&amp;Loads[[#This Row],[Product]]</f>
        <v>44276Product2</v>
      </c>
      <c r="B2099" s="5">
        <f>COUNTIF($A$1:A2099,Loads[[#This Row],[Load]])</f>
        <v>5</v>
      </c>
      <c r="C2099" s="3" t="str">
        <f>Loads[[#This Row],[Load]]&amp;Loads[[#This Row],[Count]]</f>
        <v>44276Product25</v>
      </c>
      <c r="D2099" s="90">
        <v>44276</v>
      </c>
      <c r="E2099" s="143">
        <v>0.1277777777777778</v>
      </c>
      <c r="F2099" s="1" t="s">
        <v>9</v>
      </c>
      <c r="G2099" s="2" t="s">
        <v>13</v>
      </c>
      <c r="H2099" s="2" t="s">
        <v>42</v>
      </c>
      <c r="I2099" s="1" t="s">
        <v>11</v>
      </c>
      <c r="J2099" s="1" t="s">
        <v>8</v>
      </c>
      <c r="K2099" s="89">
        <v>16860</v>
      </c>
      <c r="L2099" s="3">
        <v>61.81</v>
      </c>
      <c r="M2099" s="3">
        <v>8.0399999999999991</v>
      </c>
      <c r="N2099" s="3" t="s">
        <v>8</v>
      </c>
      <c r="O2099" s="3" t="s">
        <v>8</v>
      </c>
    </row>
    <row r="2100" spans="1:15" x14ac:dyDescent="0.35">
      <c r="A2100" s="5" t="str">
        <f>Loads[[#This Row],[Date]]&amp;Loads[[#This Row],[Product]]</f>
        <v>44276Product2</v>
      </c>
      <c r="B2100" s="5">
        <f>COUNTIF($A$1:A2100,Loads[[#This Row],[Load]])</f>
        <v>6</v>
      </c>
      <c r="C2100" s="3" t="str">
        <f>Loads[[#This Row],[Load]]&amp;Loads[[#This Row],[Count]]</f>
        <v>44276Product26</v>
      </c>
      <c r="D2100" s="90">
        <v>44276</v>
      </c>
      <c r="E2100" s="143">
        <v>0.19444444444444445</v>
      </c>
      <c r="F2100" s="1" t="s">
        <v>9</v>
      </c>
      <c r="G2100" s="2" t="s">
        <v>13</v>
      </c>
      <c r="H2100" s="2" t="s">
        <v>42</v>
      </c>
      <c r="I2100" s="1" t="s">
        <v>11</v>
      </c>
      <c r="J2100" s="1" t="s">
        <v>8</v>
      </c>
      <c r="K2100" s="89">
        <v>11400</v>
      </c>
      <c r="L2100" s="3">
        <v>61.89</v>
      </c>
      <c r="M2100" s="3">
        <v>10.56</v>
      </c>
      <c r="N2100" s="3" t="s">
        <v>8</v>
      </c>
      <c r="O2100" s="3" t="s">
        <v>8</v>
      </c>
    </row>
    <row r="2101" spans="1:15" x14ac:dyDescent="0.35">
      <c r="A2101" s="5" t="str">
        <f>Loads[[#This Row],[Date]]&amp;Loads[[#This Row],[Product]]</f>
        <v>44276Product2</v>
      </c>
      <c r="B2101" s="5">
        <f>COUNTIF($A$1:A2101,Loads[[#This Row],[Load]])</f>
        <v>7</v>
      </c>
      <c r="C2101" s="3" t="str">
        <f>Loads[[#This Row],[Load]]&amp;Loads[[#This Row],[Count]]</f>
        <v>44276Product27</v>
      </c>
      <c r="D2101" s="90">
        <v>44276</v>
      </c>
      <c r="E2101" s="143">
        <v>0.30069444444444443</v>
      </c>
      <c r="F2101" s="1" t="s">
        <v>9</v>
      </c>
      <c r="G2101" s="2" t="s">
        <v>13</v>
      </c>
      <c r="H2101" s="2" t="s">
        <v>42</v>
      </c>
      <c r="I2101" s="1" t="s">
        <v>11</v>
      </c>
      <c r="J2101" s="1" t="s">
        <v>8</v>
      </c>
      <c r="K2101" s="89">
        <v>17100</v>
      </c>
      <c r="L2101" s="3">
        <v>57.04</v>
      </c>
      <c r="M2101" s="3">
        <v>11.51</v>
      </c>
      <c r="N2101" s="3" t="s">
        <v>8</v>
      </c>
      <c r="O2101" s="3" t="s">
        <v>8</v>
      </c>
    </row>
    <row r="2102" spans="1:15" x14ac:dyDescent="0.35">
      <c r="A2102" s="5" t="str">
        <f>Loads[[#This Row],[Date]]&amp;Loads[[#This Row],[Product]]</f>
        <v>44276Product2</v>
      </c>
      <c r="B2102" s="5">
        <f>COUNTIF($A$1:A2102,Loads[[#This Row],[Load]])</f>
        <v>8</v>
      </c>
      <c r="C2102" s="3" t="str">
        <f>Loads[[#This Row],[Load]]&amp;Loads[[#This Row],[Count]]</f>
        <v>44276Product28</v>
      </c>
      <c r="D2102" s="90">
        <v>44276</v>
      </c>
      <c r="E2102" s="143">
        <v>0.52083333333333337</v>
      </c>
      <c r="F2102" s="1" t="s">
        <v>9</v>
      </c>
      <c r="G2102" s="2" t="s">
        <v>13</v>
      </c>
      <c r="H2102" s="2" t="s">
        <v>42</v>
      </c>
      <c r="I2102" s="1" t="s">
        <v>11</v>
      </c>
      <c r="J2102" s="1" t="s">
        <v>8</v>
      </c>
      <c r="K2102" s="89">
        <v>9960</v>
      </c>
      <c r="L2102" s="3">
        <v>63.68</v>
      </c>
      <c r="M2102" s="3">
        <v>9.64</v>
      </c>
      <c r="N2102" s="3" t="s">
        <v>8</v>
      </c>
      <c r="O2102" s="3" t="s">
        <v>8</v>
      </c>
    </row>
    <row r="2103" spans="1:15" x14ac:dyDescent="0.35">
      <c r="A2103" s="5" t="str">
        <f>Loads[[#This Row],[Date]]&amp;Loads[[#This Row],[Product]]</f>
        <v>44276Product2</v>
      </c>
      <c r="B2103" s="5">
        <f>COUNTIF($A$1:A2103,Loads[[#This Row],[Load]])</f>
        <v>9</v>
      </c>
      <c r="C2103" s="3" t="str">
        <f>Loads[[#This Row],[Load]]&amp;Loads[[#This Row],[Count]]</f>
        <v>44276Product29</v>
      </c>
      <c r="D2103" s="90">
        <v>44276</v>
      </c>
      <c r="E2103" s="143">
        <v>0.77638888888888891</v>
      </c>
      <c r="F2103" s="1" t="s">
        <v>9</v>
      </c>
      <c r="G2103" s="2" t="s">
        <v>13</v>
      </c>
      <c r="H2103" s="2" t="s">
        <v>42</v>
      </c>
      <c r="I2103" s="1" t="s">
        <v>11</v>
      </c>
      <c r="J2103" s="1" t="s">
        <v>8</v>
      </c>
      <c r="K2103" s="89">
        <v>11600</v>
      </c>
      <c r="L2103" s="3">
        <v>59.59</v>
      </c>
      <c r="M2103" s="3">
        <v>11.62</v>
      </c>
      <c r="N2103" s="3" t="s">
        <v>8</v>
      </c>
      <c r="O2103" s="3" t="s">
        <v>8</v>
      </c>
    </row>
    <row r="2104" spans="1:15" x14ac:dyDescent="0.35">
      <c r="A2104" s="5" t="str">
        <f>Loads[[#This Row],[Date]]&amp;Loads[[#This Row],[Product]]</f>
        <v>44277Product8</v>
      </c>
      <c r="B2104" s="5">
        <f>COUNTIF($A$1:A2104,Loads[[#This Row],[Load]])</f>
        <v>1</v>
      </c>
      <c r="C2104" s="3" t="str">
        <f>Loads[[#This Row],[Load]]&amp;Loads[[#This Row],[Count]]</f>
        <v>44277Product81</v>
      </c>
      <c r="D2104" s="90">
        <v>44277</v>
      </c>
      <c r="E2104" s="143">
        <v>0.45833333333333331</v>
      </c>
      <c r="F2104" s="1" t="s">
        <v>9</v>
      </c>
      <c r="G2104" s="2" t="s">
        <v>19</v>
      </c>
      <c r="H2104" s="2" t="s">
        <v>42</v>
      </c>
      <c r="I2104" s="1" t="s">
        <v>11</v>
      </c>
      <c r="J2104" s="1" t="s">
        <v>8</v>
      </c>
      <c r="K2104" s="89">
        <v>22480</v>
      </c>
      <c r="L2104" s="3">
        <v>10.89</v>
      </c>
      <c r="M2104" s="3">
        <v>7.02</v>
      </c>
      <c r="N2104" s="3" t="s">
        <v>8</v>
      </c>
      <c r="O2104" s="3" t="s">
        <v>8</v>
      </c>
    </row>
    <row r="2105" spans="1:15" x14ac:dyDescent="0.35">
      <c r="A2105" s="5" t="str">
        <f>Loads[[#This Row],[Date]]&amp;Loads[[#This Row],[Product]]</f>
        <v>44277Product6</v>
      </c>
      <c r="B2105" s="5">
        <f>COUNTIF($A$1:A2105,Loads[[#This Row],[Load]])</f>
        <v>1</v>
      </c>
      <c r="C2105" s="3" t="str">
        <f>Loads[[#This Row],[Load]]&amp;Loads[[#This Row],[Count]]</f>
        <v>44277Product61</v>
      </c>
      <c r="D2105" s="90">
        <v>44277</v>
      </c>
      <c r="E2105" s="143">
        <v>0.52083333333333337</v>
      </c>
      <c r="F2105" s="1" t="s">
        <v>9</v>
      </c>
      <c r="G2105" s="2" t="s">
        <v>17</v>
      </c>
      <c r="H2105" s="2" t="s">
        <v>42</v>
      </c>
      <c r="I2105" s="1" t="s">
        <v>11</v>
      </c>
      <c r="J2105" s="1" t="s">
        <v>8</v>
      </c>
      <c r="K2105" s="89">
        <v>36260</v>
      </c>
      <c r="L2105" s="3">
        <v>7.0000000000000007E-2</v>
      </c>
      <c r="M2105" s="3" t="s">
        <v>8</v>
      </c>
      <c r="N2105" s="3">
        <v>1.88</v>
      </c>
      <c r="O2105" s="3" t="s">
        <v>8</v>
      </c>
    </row>
    <row r="2106" spans="1:15" x14ac:dyDescent="0.35">
      <c r="A2106" s="5" t="str">
        <f>Loads[[#This Row],[Date]]&amp;Loads[[#This Row],[Product]]</f>
        <v>44277Product4</v>
      </c>
      <c r="B2106" s="5">
        <f>COUNTIF($A$1:A2106,Loads[[#This Row],[Load]])</f>
        <v>1</v>
      </c>
      <c r="C2106" s="3" t="str">
        <f>Loads[[#This Row],[Load]]&amp;Loads[[#This Row],[Count]]</f>
        <v>44277Product41</v>
      </c>
      <c r="D2106" s="90">
        <v>44277</v>
      </c>
      <c r="E2106" s="143">
        <v>0.75</v>
      </c>
      <c r="F2106" s="1" t="s">
        <v>9</v>
      </c>
      <c r="G2106" s="2" t="s">
        <v>15</v>
      </c>
      <c r="H2106" s="2" t="s">
        <v>42</v>
      </c>
      <c r="I2106" s="1" t="s">
        <v>10</v>
      </c>
      <c r="J2106" s="1">
        <v>100</v>
      </c>
      <c r="K2106" s="89">
        <v>5020</v>
      </c>
      <c r="L2106" s="3">
        <v>9.41</v>
      </c>
      <c r="M2106" s="3">
        <v>64.239999999999995</v>
      </c>
      <c r="N2106" s="3" t="s">
        <v>8</v>
      </c>
      <c r="O2106" s="3" t="s">
        <v>8</v>
      </c>
    </row>
    <row r="2107" spans="1:15" x14ac:dyDescent="0.35">
      <c r="A2107" s="5" t="str">
        <f>Loads[[#This Row],[Date]]&amp;Loads[[#This Row],[Product]]</f>
        <v>44277Product4</v>
      </c>
      <c r="B2107" s="5">
        <f>COUNTIF($A$1:A2107,Loads[[#This Row],[Load]])</f>
        <v>2</v>
      </c>
      <c r="C2107" s="3" t="str">
        <f>Loads[[#This Row],[Load]]&amp;Loads[[#This Row],[Count]]</f>
        <v>44277Product42</v>
      </c>
      <c r="D2107" s="90">
        <v>44277</v>
      </c>
      <c r="E2107" s="143">
        <v>0.9375</v>
      </c>
      <c r="F2107" s="1" t="s">
        <v>9</v>
      </c>
      <c r="G2107" s="2" t="s">
        <v>15</v>
      </c>
      <c r="H2107" s="2" t="s">
        <v>42</v>
      </c>
      <c r="I2107" s="1" t="s">
        <v>0</v>
      </c>
      <c r="J2107" s="1">
        <v>22</v>
      </c>
      <c r="K2107" s="89">
        <v>27180</v>
      </c>
      <c r="L2107" s="3">
        <v>10.65</v>
      </c>
      <c r="M2107" s="3">
        <v>63.03</v>
      </c>
      <c r="N2107" s="3" t="s">
        <v>8</v>
      </c>
      <c r="O2107" s="3" t="s">
        <v>8</v>
      </c>
    </row>
    <row r="2108" spans="1:15" x14ac:dyDescent="0.35">
      <c r="A2108" s="5" t="str">
        <f>Loads[[#This Row],[Date]]&amp;Loads[[#This Row],[Product]]</f>
        <v>44277Product1</v>
      </c>
      <c r="B2108" s="5">
        <f>COUNTIF($A$1:A2108,Loads[[#This Row],[Load]])</f>
        <v>1</v>
      </c>
      <c r="C2108" s="3" t="str">
        <f>Loads[[#This Row],[Load]]&amp;Loads[[#This Row],[Count]]</f>
        <v>44277Product11</v>
      </c>
      <c r="D2108" s="90">
        <v>44277</v>
      </c>
      <c r="E2108" s="143">
        <v>0</v>
      </c>
      <c r="F2108" s="1" t="s">
        <v>9</v>
      </c>
      <c r="G2108" s="2" t="s">
        <v>12</v>
      </c>
      <c r="H2108" s="2" t="s">
        <v>42</v>
      </c>
      <c r="I2108" s="1" t="s">
        <v>11</v>
      </c>
      <c r="J2108" s="1" t="s">
        <v>8</v>
      </c>
      <c r="K2108" s="89">
        <v>23660</v>
      </c>
      <c r="L2108" s="3">
        <v>7.68</v>
      </c>
      <c r="M2108" s="3">
        <v>21.25</v>
      </c>
      <c r="N2108" s="3" t="s">
        <v>8</v>
      </c>
      <c r="O2108" s="3" t="s">
        <v>8</v>
      </c>
    </row>
    <row r="2109" spans="1:15" x14ac:dyDescent="0.35">
      <c r="A2109" s="5" t="str">
        <f>Loads[[#This Row],[Date]]&amp;Loads[[#This Row],[Product]]</f>
        <v>44277Product1</v>
      </c>
      <c r="B2109" s="5">
        <f>COUNTIF($A$1:A2109,Loads[[#This Row],[Load]])</f>
        <v>2</v>
      </c>
      <c r="C2109" s="3" t="str">
        <f>Loads[[#This Row],[Load]]&amp;Loads[[#This Row],[Count]]</f>
        <v>44277Product12</v>
      </c>
      <c r="D2109" s="90">
        <v>44277</v>
      </c>
      <c r="E2109" s="143">
        <v>6.25E-2</v>
      </c>
      <c r="F2109" s="1" t="s">
        <v>9</v>
      </c>
      <c r="G2109" s="2" t="s">
        <v>12</v>
      </c>
      <c r="H2109" s="2" t="s">
        <v>42</v>
      </c>
      <c r="I2109" s="1" t="s">
        <v>11</v>
      </c>
      <c r="J2109" s="1" t="s">
        <v>8</v>
      </c>
      <c r="K2109" s="89">
        <v>22100</v>
      </c>
      <c r="L2109" s="3">
        <v>7.73</v>
      </c>
      <c r="M2109" s="3">
        <v>21.47</v>
      </c>
      <c r="N2109" s="3" t="s">
        <v>8</v>
      </c>
      <c r="O2109" s="3" t="s">
        <v>8</v>
      </c>
    </row>
    <row r="2110" spans="1:15" x14ac:dyDescent="0.35">
      <c r="A2110" s="5" t="str">
        <f>Loads[[#This Row],[Date]]&amp;Loads[[#This Row],[Product]]</f>
        <v>44277Product1</v>
      </c>
      <c r="B2110" s="5">
        <f>COUNTIF($A$1:A2110,Loads[[#This Row],[Load]])</f>
        <v>3</v>
      </c>
      <c r="C2110" s="3" t="str">
        <f>Loads[[#This Row],[Load]]&amp;Loads[[#This Row],[Count]]</f>
        <v>44277Product13</v>
      </c>
      <c r="D2110" s="90">
        <v>44277</v>
      </c>
      <c r="E2110" s="143">
        <v>0.23958333333333334</v>
      </c>
      <c r="F2110" s="1" t="s">
        <v>9</v>
      </c>
      <c r="G2110" s="2" t="s">
        <v>12</v>
      </c>
      <c r="H2110" s="2" t="s">
        <v>42</v>
      </c>
      <c r="I2110" s="1" t="s">
        <v>11</v>
      </c>
      <c r="J2110" s="1" t="s">
        <v>8</v>
      </c>
      <c r="K2110" s="89">
        <v>26680</v>
      </c>
      <c r="L2110" s="3">
        <v>7.79</v>
      </c>
      <c r="M2110" s="3">
        <v>21.61</v>
      </c>
      <c r="N2110" s="3" t="s">
        <v>8</v>
      </c>
      <c r="O2110" s="3" t="s">
        <v>8</v>
      </c>
    </row>
    <row r="2111" spans="1:15" x14ac:dyDescent="0.35">
      <c r="A2111" s="5" t="str">
        <f>Loads[[#This Row],[Date]]&amp;Loads[[#This Row],[Product]]</f>
        <v>44277Product1</v>
      </c>
      <c r="B2111" s="5">
        <f>COUNTIF($A$1:A2111,Loads[[#This Row],[Load]])</f>
        <v>4</v>
      </c>
      <c r="C2111" s="3" t="str">
        <f>Loads[[#This Row],[Load]]&amp;Loads[[#This Row],[Count]]</f>
        <v>44277Product14</v>
      </c>
      <c r="D2111" s="90">
        <v>44277</v>
      </c>
      <c r="E2111" s="143">
        <v>0.27083333333333331</v>
      </c>
      <c r="F2111" s="1" t="s">
        <v>9</v>
      </c>
      <c r="G2111" s="2" t="s">
        <v>12</v>
      </c>
      <c r="H2111" s="2" t="s">
        <v>42</v>
      </c>
      <c r="I2111" s="1" t="s">
        <v>11</v>
      </c>
      <c r="J2111" s="1" t="s">
        <v>8</v>
      </c>
      <c r="K2111" s="89">
        <v>20160</v>
      </c>
      <c r="L2111" s="3">
        <v>9.4600000000000009</v>
      </c>
      <c r="M2111" s="3">
        <v>22.24</v>
      </c>
      <c r="N2111" s="3" t="s">
        <v>8</v>
      </c>
      <c r="O2111" s="3" t="s">
        <v>8</v>
      </c>
    </row>
    <row r="2112" spans="1:15" x14ac:dyDescent="0.35">
      <c r="A2112" s="5" t="str">
        <f>Loads[[#This Row],[Date]]&amp;Loads[[#This Row],[Product]]</f>
        <v>44277Product1</v>
      </c>
      <c r="B2112" s="5">
        <f>COUNTIF($A$1:A2112,Loads[[#This Row],[Load]])</f>
        <v>5</v>
      </c>
      <c r="C2112" s="3" t="str">
        <f>Loads[[#This Row],[Load]]&amp;Loads[[#This Row],[Count]]</f>
        <v>44277Product15</v>
      </c>
      <c r="D2112" s="90">
        <v>44277</v>
      </c>
      <c r="E2112" s="143">
        <v>0.39583333333333331</v>
      </c>
      <c r="F2112" s="1" t="s">
        <v>9</v>
      </c>
      <c r="G2112" s="2" t="s">
        <v>12</v>
      </c>
      <c r="H2112" s="2" t="s">
        <v>42</v>
      </c>
      <c r="I2112" s="1" t="s">
        <v>11</v>
      </c>
      <c r="J2112" s="1" t="s">
        <v>8</v>
      </c>
      <c r="K2112" s="89">
        <v>14140</v>
      </c>
      <c r="L2112" s="3">
        <v>9.15</v>
      </c>
      <c r="M2112" s="3">
        <v>22.08</v>
      </c>
      <c r="N2112" s="3" t="s">
        <v>8</v>
      </c>
      <c r="O2112" s="3" t="s">
        <v>8</v>
      </c>
    </row>
    <row r="2113" spans="1:15" x14ac:dyDescent="0.35">
      <c r="A2113" s="5" t="str">
        <f>Loads[[#This Row],[Date]]&amp;Loads[[#This Row],[Product]]</f>
        <v>44277Product1</v>
      </c>
      <c r="B2113" s="5">
        <f>COUNTIF($A$1:A2113,Loads[[#This Row],[Load]])</f>
        <v>6</v>
      </c>
      <c r="C2113" s="3" t="str">
        <f>Loads[[#This Row],[Load]]&amp;Loads[[#This Row],[Count]]</f>
        <v>44277Product16</v>
      </c>
      <c r="D2113" s="90">
        <v>44277</v>
      </c>
      <c r="E2113" s="143">
        <v>0.49305555555555558</v>
      </c>
      <c r="F2113" s="1" t="s">
        <v>9</v>
      </c>
      <c r="G2113" s="2" t="s">
        <v>12</v>
      </c>
      <c r="H2113" s="2" t="s">
        <v>42</v>
      </c>
      <c r="I2113" s="1" t="s">
        <v>11</v>
      </c>
      <c r="J2113" s="1" t="s">
        <v>8</v>
      </c>
      <c r="K2113" s="89">
        <v>26080</v>
      </c>
      <c r="L2113" s="3">
        <v>8.5299999999999994</v>
      </c>
      <c r="M2113" s="3">
        <v>21.47</v>
      </c>
      <c r="N2113" s="3" t="s">
        <v>8</v>
      </c>
      <c r="O2113" s="3" t="s">
        <v>8</v>
      </c>
    </row>
    <row r="2114" spans="1:15" x14ac:dyDescent="0.35">
      <c r="A2114" s="5" t="str">
        <f>Loads[[#This Row],[Date]]&amp;Loads[[#This Row],[Product]]</f>
        <v>44277Product1</v>
      </c>
      <c r="B2114" s="5">
        <f>COUNTIF($A$1:A2114,Loads[[#This Row],[Load]])</f>
        <v>7</v>
      </c>
      <c r="C2114" s="3" t="str">
        <f>Loads[[#This Row],[Load]]&amp;Loads[[#This Row],[Count]]</f>
        <v>44277Product17</v>
      </c>
      <c r="D2114" s="90">
        <v>44277</v>
      </c>
      <c r="E2114" s="143">
        <v>0.72222222222222221</v>
      </c>
      <c r="F2114" s="1" t="s">
        <v>9</v>
      </c>
      <c r="G2114" s="2" t="s">
        <v>12</v>
      </c>
      <c r="H2114" s="2" t="s">
        <v>42</v>
      </c>
      <c r="I2114" s="1" t="s">
        <v>10</v>
      </c>
      <c r="J2114" s="1">
        <v>900</v>
      </c>
      <c r="K2114" s="89">
        <v>36040</v>
      </c>
      <c r="L2114" s="3">
        <v>8.58</v>
      </c>
      <c r="M2114" s="3">
        <v>21.1</v>
      </c>
      <c r="N2114" s="3" t="s">
        <v>8</v>
      </c>
      <c r="O2114" s="3" t="s">
        <v>8</v>
      </c>
    </row>
    <row r="2115" spans="1:15" x14ac:dyDescent="0.35">
      <c r="A2115" s="5" t="str">
        <f>Loads[[#This Row],[Date]]&amp;Loads[[#This Row],[Product]]</f>
        <v>44277Product1</v>
      </c>
      <c r="B2115" s="5">
        <f>COUNTIF($A$1:A2115,Loads[[#This Row],[Load]])</f>
        <v>8</v>
      </c>
      <c r="C2115" s="3" t="str">
        <f>Loads[[#This Row],[Load]]&amp;Loads[[#This Row],[Count]]</f>
        <v>44277Product18</v>
      </c>
      <c r="D2115" s="90">
        <v>44277</v>
      </c>
      <c r="E2115" s="143">
        <v>0.79861111111111116</v>
      </c>
      <c r="F2115" s="1" t="s">
        <v>9</v>
      </c>
      <c r="G2115" s="2" t="s">
        <v>12</v>
      </c>
      <c r="H2115" s="2" t="s">
        <v>42</v>
      </c>
      <c r="I2115" s="1" t="s">
        <v>10</v>
      </c>
      <c r="J2115" s="1">
        <v>328</v>
      </c>
      <c r="K2115" s="89">
        <v>13060</v>
      </c>
      <c r="L2115" s="3">
        <v>8.2899999999999991</v>
      </c>
      <c r="M2115" s="3">
        <v>21.44</v>
      </c>
      <c r="N2115" s="3" t="s">
        <v>8</v>
      </c>
      <c r="O2115" s="3" t="s">
        <v>8</v>
      </c>
    </row>
    <row r="2116" spans="1:15" x14ac:dyDescent="0.35">
      <c r="A2116" s="5" t="str">
        <f>Loads[[#This Row],[Date]]&amp;Loads[[#This Row],[Product]]</f>
        <v>44277Product1</v>
      </c>
      <c r="B2116" s="5">
        <f>COUNTIF($A$1:A2116,Loads[[#This Row],[Load]])</f>
        <v>9</v>
      </c>
      <c r="C2116" s="3" t="str">
        <f>Loads[[#This Row],[Load]]&amp;Loads[[#This Row],[Count]]</f>
        <v>44277Product19</v>
      </c>
      <c r="D2116" s="90">
        <v>44277</v>
      </c>
      <c r="E2116" s="143">
        <v>0.82638888888888884</v>
      </c>
      <c r="F2116" s="1" t="s">
        <v>9</v>
      </c>
      <c r="G2116" s="2" t="s">
        <v>12</v>
      </c>
      <c r="H2116" s="2" t="s">
        <v>42</v>
      </c>
      <c r="I2116" s="1" t="s">
        <v>11</v>
      </c>
      <c r="J2116" s="1" t="s">
        <v>8</v>
      </c>
      <c r="K2116" s="89">
        <v>22020</v>
      </c>
      <c r="L2116" s="3">
        <v>8.75</v>
      </c>
      <c r="M2116" s="3">
        <v>21.03</v>
      </c>
      <c r="N2116" s="3" t="s">
        <v>8</v>
      </c>
      <c r="O2116" s="3" t="s">
        <v>8</v>
      </c>
    </row>
    <row r="2117" spans="1:15" x14ac:dyDescent="0.35">
      <c r="A2117" s="5" t="str">
        <f>Loads[[#This Row],[Date]]&amp;Loads[[#This Row],[Product]]</f>
        <v>44277Product7</v>
      </c>
      <c r="B2117" s="5">
        <f>COUNTIF($A$1:A2117,Loads[[#This Row],[Load]])</f>
        <v>1</v>
      </c>
      <c r="C2117" s="3" t="str">
        <f>Loads[[#This Row],[Load]]&amp;Loads[[#This Row],[Count]]</f>
        <v>44277Product71</v>
      </c>
      <c r="D2117" s="90">
        <v>44277</v>
      </c>
      <c r="E2117" s="143">
        <v>0.39652777777777781</v>
      </c>
      <c r="F2117" s="1" t="s">
        <v>9</v>
      </c>
      <c r="G2117" s="2" t="s">
        <v>18</v>
      </c>
      <c r="H2117" s="2" t="s">
        <v>42</v>
      </c>
      <c r="I2117" s="1" t="s">
        <v>11</v>
      </c>
      <c r="J2117" s="1" t="s">
        <v>8</v>
      </c>
      <c r="K2117" s="89">
        <v>28120</v>
      </c>
      <c r="L2117" s="3" t="s">
        <v>8</v>
      </c>
      <c r="M2117" s="3">
        <v>21.49</v>
      </c>
      <c r="N2117" s="3" t="s">
        <v>8</v>
      </c>
      <c r="O2117" s="3">
        <v>40.85</v>
      </c>
    </row>
    <row r="2118" spans="1:15" x14ac:dyDescent="0.35">
      <c r="A2118" s="5" t="str">
        <f>Loads[[#This Row],[Date]]&amp;Loads[[#This Row],[Product]]</f>
        <v>44277Product2</v>
      </c>
      <c r="B2118" s="5">
        <f>COUNTIF($A$1:A2118,Loads[[#This Row],[Load]])</f>
        <v>1</v>
      </c>
      <c r="C2118" s="3" t="str">
        <f>Loads[[#This Row],[Load]]&amp;Loads[[#This Row],[Count]]</f>
        <v>44277Product21</v>
      </c>
      <c r="D2118" s="90">
        <v>44277</v>
      </c>
      <c r="E2118" s="143">
        <v>0.34861111111111115</v>
      </c>
      <c r="F2118" s="1" t="s">
        <v>9</v>
      </c>
      <c r="G2118" s="2" t="s">
        <v>13</v>
      </c>
      <c r="H2118" s="2" t="s">
        <v>42</v>
      </c>
      <c r="I2118" s="1" t="s">
        <v>11</v>
      </c>
      <c r="J2118" s="1" t="s">
        <v>8</v>
      </c>
      <c r="K2118" s="89">
        <v>10960</v>
      </c>
      <c r="L2118" s="3">
        <v>63.7</v>
      </c>
      <c r="M2118" s="3">
        <v>12.87</v>
      </c>
      <c r="N2118" s="3" t="s">
        <v>8</v>
      </c>
      <c r="O2118" s="3" t="s">
        <v>8</v>
      </c>
    </row>
    <row r="2119" spans="1:15" x14ac:dyDescent="0.35">
      <c r="A2119" s="5" t="str">
        <f>Loads[[#This Row],[Date]]&amp;Loads[[#This Row],[Product]]</f>
        <v>44277Product3</v>
      </c>
      <c r="B2119" s="5">
        <f>COUNTIF($A$1:A2119,Loads[[#This Row],[Load]])</f>
        <v>1</v>
      </c>
      <c r="C2119" s="3" t="str">
        <f>Loads[[#This Row],[Load]]&amp;Loads[[#This Row],[Count]]</f>
        <v>44277Product31</v>
      </c>
      <c r="D2119" s="90">
        <v>44277</v>
      </c>
      <c r="E2119" s="143">
        <v>0.46527777777777773</v>
      </c>
      <c r="F2119" s="1" t="s">
        <v>9</v>
      </c>
      <c r="G2119" s="2" t="s">
        <v>14</v>
      </c>
      <c r="H2119" s="2" t="s">
        <v>42</v>
      </c>
      <c r="I2119" s="1" t="s">
        <v>11</v>
      </c>
      <c r="J2119" s="1" t="s">
        <v>8</v>
      </c>
      <c r="K2119" s="89">
        <v>11560</v>
      </c>
      <c r="L2119" s="3">
        <v>57.66</v>
      </c>
      <c r="M2119" s="3">
        <v>11.89</v>
      </c>
      <c r="N2119" s="3" t="s">
        <v>8</v>
      </c>
      <c r="O2119" s="3" t="s">
        <v>8</v>
      </c>
    </row>
    <row r="2120" spans="1:15" x14ac:dyDescent="0.35">
      <c r="A2120" s="5" t="str">
        <f>Loads[[#This Row],[Date]]&amp;Loads[[#This Row],[Product]]</f>
        <v>44277Product3</v>
      </c>
      <c r="B2120" s="5">
        <f>COUNTIF($A$1:A2120,Loads[[#This Row],[Load]])</f>
        <v>2</v>
      </c>
      <c r="C2120" s="3" t="str">
        <f>Loads[[#This Row],[Load]]&amp;Loads[[#This Row],[Count]]</f>
        <v>44277Product32</v>
      </c>
      <c r="D2120" s="90">
        <v>44277</v>
      </c>
      <c r="E2120" s="143">
        <v>0.17083333333333331</v>
      </c>
      <c r="F2120" s="1" t="s">
        <v>9</v>
      </c>
      <c r="G2120" s="2" t="s">
        <v>14</v>
      </c>
      <c r="H2120" s="2" t="s">
        <v>42</v>
      </c>
      <c r="I2120" s="1" t="s">
        <v>11</v>
      </c>
      <c r="J2120" s="1" t="s">
        <v>8</v>
      </c>
      <c r="K2120" s="89">
        <v>16600</v>
      </c>
      <c r="L2120" s="3">
        <v>57.04</v>
      </c>
      <c r="M2120" s="3">
        <v>11.51</v>
      </c>
      <c r="N2120" s="3" t="s">
        <v>8</v>
      </c>
      <c r="O2120" s="3" t="s">
        <v>8</v>
      </c>
    </row>
    <row r="2121" spans="1:15" x14ac:dyDescent="0.35">
      <c r="A2121" s="5" t="str">
        <f>Loads[[#This Row],[Date]]&amp;Loads[[#This Row],[Product]]</f>
        <v>44277Product2</v>
      </c>
      <c r="B2121" s="5">
        <f>COUNTIF($A$1:A2121,Loads[[#This Row],[Load]])</f>
        <v>2</v>
      </c>
      <c r="C2121" s="3" t="str">
        <f>Loads[[#This Row],[Load]]&amp;Loads[[#This Row],[Count]]</f>
        <v>44277Product22</v>
      </c>
      <c r="D2121" s="90">
        <v>44277</v>
      </c>
      <c r="E2121" s="143">
        <v>0.26597222222222222</v>
      </c>
      <c r="F2121" s="1" t="s">
        <v>9</v>
      </c>
      <c r="G2121" s="2" t="s">
        <v>13</v>
      </c>
      <c r="H2121" s="2" t="s">
        <v>42</v>
      </c>
      <c r="I2121" s="1" t="s">
        <v>11</v>
      </c>
      <c r="J2121" s="1" t="s">
        <v>8</v>
      </c>
      <c r="K2121" s="89">
        <v>10360</v>
      </c>
      <c r="L2121" s="3">
        <v>61.09</v>
      </c>
      <c r="M2121" s="3">
        <v>7.33</v>
      </c>
      <c r="N2121" s="3" t="s">
        <v>8</v>
      </c>
      <c r="O2121" s="3" t="s">
        <v>8</v>
      </c>
    </row>
    <row r="2122" spans="1:15" x14ac:dyDescent="0.35">
      <c r="A2122" s="5" t="str">
        <f>Loads[[#This Row],[Date]]&amp;Loads[[#This Row],[Product]]</f>
        <v>44277Product2</v>
      </c>
      <c r="B2122" s="5">
        <f>COUNTIF($A$1:A2122,Loads[[#This Row],[Load]])</f>
        <v>3</v>
      </c>
      <c r="C2122" s="3" t="str">
        <f>Loads[[#This Row],[Load]]&amp;Loads[[#This Row],[Count]]</f>
        <v>44277Product23</v>
      </c>
      <c r="D2122" s="90">
        <v>44277</v>
      </c>
      <c r="E2122" s="143">
        <v>0.21666666666666667</v>
      </c>
      <c r="F2122" s="1" t="s">
        <v>9</v>
      </c>
      <c r="G2122" s="2" t="s">
        <v>13</v>
      </c>
      <c r="H2122" s="2" t="s">
        <v>42</v>
      </c>
      <c r="I2122" s="1" t="s">
        <v>11</v>
      </c>
      <c r="J2122" s="1" t="s">
        <v>8</v>
      </c>
      <c r="K2122" s="89">
        <v>11880</v>
      </c>
      <c r="L2122" s="3">
        <v>62.2</v>
      </c>
      <c r="M2122" s="3">
        <v>10.67</v>
      </c>
      <c r="N2122" s="3" t="s">
        <v>8</v>
      </c>
      <c r="O2122" s="3" t="s">
        <v>8</v>
      </c>
    </row>
    <row r="2123" spans="1:15" x14ac:dyDescent="0.35">
      <c r="A2123" s="5" t="str">
        <f>Loads[[#This Row],[Date]]&amp;Loads[[#This Row],[Product]]</f>
        <v>44277Product2</v>
      </c>
      <c r="B2123" s="5">
        <f>COUNTIF($A$1:A2123,Loads[[#This Row],[Load]])</f>
        <v>4</v>
      </c>
      <c r="C2123" s="3" t="str">
        <f>Loads[[#This Row],[Load]]&amp;Loads[[#This Row],[Count]]</f>
        <v>44277Product24</v>
      </c>
      <c r="D2123" s="90">
        <v>44277</v>
      </c>
      <c r="E2123" s="143">
        <v>0.33749999999999997</v>
      </c>
      <c r="F2123" s="1" t="s">
        <v>9</v>
      </c>
      <c r="G2123" s="2" t="s">
        <v>13</v>
      </c>
      <c r="H2123" s="2" t="s">
        <v>42</v>
      </c>
      <c r="I2123" s="1" t="s">
        <v>11</v>
      </c>
      <c r="J2123" s="1" t="s">
        <v>8</v>
      </c>
      <c r="K2123" s="89">
        <v>10080</v>
      </c>
      <c r="L2123" s="3">
        <v>59.59</v>
      </c>
      <c r="M2123" s="3">
        <v>11.62</v>
      </c>
      <c r="N2123" s="3" t="s">
        <v>8</v>
      </c>
      <c r="O2123" s="3" t="s">
        <v>8</v>
      </c>
    </row>
    <row r="2124" spans="1:15" x14ac:dyDescent="0.35">
      <c r="A2124" s="5" t="str">
        <f>Loads[[#This Row],[Date]]&amp;Loads[[#This Row],[Product]]</f>
        <v>44277Product2</v>
      </c>
      <c r="B2124" s="5">
        <f>COUNTIF($A$1:A2124,Loads[[#This Row],[Load]])</f>
        <v>5</v>
      </c>
      <c r="C2124" s="3" t="str">
        <f>Loads[[#This Row],[Load]]&amp;Loads[[#This Row],[Count]]</f>
        <v>44277Product25</v>
      </c>
      <c r="D2124" s="90">
        <v>44277</v>
      </c>
      <c r="E2124" s="143">
        <v>0.44097222222222227</v>
      </c>
      <c r="F2124" s="1" t="s">
        <v>9</v>
      </c>
      <c r="G2124" s="2" t="s">
        <v>13</v>
      </c>
      <c r="H2124" s="2" t="s">
        <v>42</v>
      </c>
      <c r="I2124" s="1" t="s">
        <v>11</v>
      </c>
      <c r="J2124" s="1" t="s">
        <v>8</v>
      </c>
      <c r="K2124" s="89">
        <v>16280</v>
      </c>
      <c r="L2124" s="3">
        <v>62.42</v>
      </c>
      <c r="M2124" s="3">
        <v>9.18</v>
      </c>
      <c r="N2124" s="3" t="s">
        <v>8</v>
      </c>
      <c r="O2124" s="3" t="s">
        <v>8</v>
      </c>
    </row>
    <row r="2125" spans="1:15" x14ac:dyDescent="0.35">
      <c r="A2125" s="5" t="str">
        <f>Loads[[#This Row],[Date]]&amp;Loads[[#This Row],[Product]]</f>
        <v>44277Product2</v>
      </c>
      <c r="B2125" s="5">
        <f>COUNTIF($A$1:A2125,Loads[[#This Row],[Load]])</f>
        <v>6</v>
      </c>
      <c r="C2125" s="3" t="str">
        <f>Loads[[#This Row],[Load]]&amp;Loads[[#This Row],[Count]]</f>
        <v>44277Product26</v>
      </c>
      <c r="D2125" s="90">
        <v>44277</v>
      </c>
      <c r="E2125" s="143">
        <v>0.59097222222222223</v>
      </c>
      <c r="F2125" s="1" t="s">
        <v>9</v>
      </c>
      <c r="G2125" s="2" t="s">
        <v>13</v>
      </c>
      <c r="H2125" s="2" t="s">
        <v>42</v>
      </c>
      <c r="I2125" s="1" t="s">
        <v>11</v>
      </c>
      <c r="J2125" s="1" t="s">
        <v>8</v>
      </c>
      <c r="K2125" s="89">
        <v>12480</v>
      </c>
      <c r="L2125" s="3">
        <v>63.83</v>
      </c>
      <c r="M2125" s="3">
        <v>9.5</v>
      </c>
      <c r="N2125" s="3" t="s">
        <v>8</v>
      </c>
      <c r="O2125" s="3" t="s">
        <v>8</v>
      </c>
    </row>
    <row r="2126" spans="1:15" x14ac:dyDescent="0.35">
      <c r="A2126" s="5" t="str">
        <f>Loads[[#This Row],[Date]]&amp;Loads[[#This Row],[Product]]</f>
        <v>44277Product2</v>
      </c>
      <c r="B2126" s="5">
        <f>COUNTIF($A$1:A2126,Loads[[#This Row],[Load]])</f>
        <v>7</v>
      </c>
      <c r="C2126" s="3" t="str">
        <f>Loads[[#This Row],[Load]]&amp;Loads[[#This Row],[Count]]</f>
        <v>44277Product27</v>
      </c>
      <c r="D2126" s="90">
        <v>44277</v>
      </c>
      <c r="E2126" s="143">
        <v>0.51111111111111118</v>
      </c>
      <c r="F2126" s="1" t="s">
        <v>9</v>
      </c>
      <c r="G2126" s="2" t="s">
        <v>13</v>
      </c>
      <c r="H2126" s="2" t="s">
        <v>42</v>
      </c>
      <c r="I2126" s="1" t="s">
        <v>11</v>
      </c>
      <c r="J2126" s="1" t="s">
        <v>8</v>
      </c>
      <c r="K2126" s="89">
        <v>11260</v>
      </c>
      <c r="L2126" s="3">
        <v>62.48</v>
      </c>
      <c r="M2126" s="3">
        <v>9.1300000000000008</v>
      </c>
      <c r="N2126" s="3" t="s">
        <v>8</v>
      </c>
      <c r="O2126" s="3" t="s">
        <v>8</v>
      </c>
    </row>
    <row r="2127" spans="1:15" x14ac:dyDescent="0.35">
      <c r="A2127" s="5" t="str">
        <f>Loads[[#This Row],[Date]]&amp;Loads[[#This Row],[Product]]</f>
        <v>44277Product2</v>
      </c>
      <c r="B2127" s="5">
        <f>COUNTIF($A$1:A2127,Loads[[#This Row],[Load]])</f>
        <v>8</v>
      </c>
      <c r="C2127" s="3" t="str">
        <f>Loads[[#This Row],[Load]]&amp;Loads[[#This Row],[Count]]</f>
        <v>44277Product28</v>
      </c>
      <c r="D2127" s="90">
        <v>44277</v>
      </c>
      <c r="E2127" s="143">
        <v>0.59027777777777779</v>
      </c>
      <c r="F2127" s="1" t="s">
        <v>9</v>
      </c>
      <c r="G2127" s="2" t="s">
        <v>13</v>
      </c>
      <c r="H2127" s="2" t="s">
        <v>42</v>
      </c>
      <c r="I2127" s="1" t="s">
        <v>11</v>
      </c>
      <c r="J2127" s="1" t="s">
        <v>8</v>
      </c>
      <c r="K2127" s="89">
        <v>11520</v>
      </c>
      <c r="L2127" s="3">
        <v>61.81</v>
      </c>
      <c r="M2127" s="3">
        <v>8.0399999999999991</v>
      </c>
      <c r="N2127" s="3" t="s">
        <v>8</v>
      </c>
      <c r="O2127" s="3" t="s">
        <v>8</v>
      </c>
    </row>
    <row r="2128" spans="1:15" x14ac:dyDescent="0.35">
      <c r="A2128" s="5" t="str">
        <f>Loads[[#This Row],[Date]]&amp;Loads[[#This Row],[Product]]</f>
        <v>44277Product3</v>
      </c>
      <c r="B2128" s="5">
        <f>COUNTIF($A$1:A2128,Loads[[#This Row],[Load]])</f>
        <v>3</v>
      </c>
      <c r="C2128" s="3" t="str">
        <f>Loads[[#This Row],[Load]]&amp;Loads[[#This Row],[Count]]</f>
        <v>44277Product33</v>
      </c>
      <c r="D2128" s="90">
        <v>44277</v>
      </c>
      <c r="E2128" s="143">
        <v>0.86736111111111114</v>
      </c>
      <c r="F2128" s="1" t="s">
        <v>9</v>
      </c>
      <c r="G2128" s="2" t="s">
        <v>14</v>
      </c>
      <c r="H2128" s="2" t="s">
        <v>42</v>
      </c>
      <c r="I2128" s="1" t="s">
        <v>11</v>
      </c>
      <c r="J2128" s="1" t="s">
        <v>8</v>
      </c>
      <c r="K2128" s="89">
        <v>13080</v>
      </c>
      <c r="L2128" s="3">
        <v>58.2</v>
      </c>
      <c r="M2128" s="3">
        <v>10.87</v>
      </c>
      <c r="N2128" s="3" t="s">
        <v>8</v>
      </c>
      <c r="O2128" s="3" t="s">
        <v>8</v>
      </c>
    </row>
    <row r="2129" spans="1:15" x14ac:dyDescent="0.35">
      <c r="A2129" s="5" t="str">
        <f>Loads[[#This Row],[Date]]&amp;Loads[[#This Row],[Product]]</f>
        <v>44277Product2</v>
      </c>
      <c r="B2129" s="5">
        <f>COUNTIF($A$1:A2129,Loads[[#This Row],[Load]])</f>
        <v>9</v>
      </c>
      <c r="C2129" s="3" t="str">
        <f>Loads[[#This Row],[Load]]&amp;Loads[[#This Row],[Count]]</f>
        <v>44277Product29</v>
      </c>
      <c r="D2129" s="90">
        <v>44277</v>
      </c>
      <c r="E2129" s="143">
        <v>0.88194444444444453</v>
      </c>
      <c r="F2129" s="1" t="s">
        <v>9</v>
      </c>
      <c r="G2129" s="2" t="s">
        <v>13</v>
      </c>
      <c r="H2129" s="2" t="s">
        <v>42</v>
      </c>
      <c r="I2129" s="1" t="s">
        <v>11</v>
      </c>
      <c r="J2129" s="1" t="s">
        <v>8</v>
      </c>
      <c r="K2129" s="89">
        <v>12720</v>
      </c>
      <c r="L2129" s="3">
        <v>62.74</v>
      </c>
      <c r="M2129" s="3">
        <v>10.35</v>
      </c>
      <c r="N2129" s="3" t="s">
        <v>8</v>
      </c>
      <c r="O2129" s="3" t="s">
        <v>8</v>
      </c>
    </row>
    <row r="2130" spans="1:15" x14ac:dyDescent="0.35">
      <c r="A2130" s="5" t="str">
        <f>Loads[[#This Row],[Date]]&amp;Loads[[#This Row],[Product]]</f>
        <v>44277Product3</v>
      </c>
      <c r="B2130" s="5">
        <f>COUNTIF($A$1:A2130,Loads[[#This Row],[Load]])</f>
        <v>4</v>
      </c>
      <c r="C2130" s="3" t="str">
        <f>Loads[[#This Row],[Load]]&amp;Loads[[#This Row],[Count]]</f>
        <v>44277Product34</v>
      </c>
      <c r="D2130" s="90">
        <v>44277</v>
      </c>
      <c r="E2130" s="143">
        <v>0.74236111111111114</v>
      </c>
      <c r="F2130" s="1" t="s">
        <v>9</v>
      </c>
      <c r="G2130" s="2" t="s">
        <v>14</v>
      </c>
      <c r="H2130" s="2" t="s">
        <v>42</v>
      </c>
      <c r="I2130" s="1" t="s">
        <v>11</v>
      </c>
      <c r="J2130" s="1" t="s">
        <v>8</v>
      </c>
      <c r="K2130" s="89">
        <v>12040</v>
      </c>
      <c r="L2130" s="3">
        <v>57.29</v>
      </c>
      <c r="M2130" s="3">
        <v>11.56</v>
      </c>
      <c r="N2130" s="3" t="s">
        <v>8</v>
      </c>
      <c r="O2130" s="3" t="s">
        <v>8</v>
      </c>
    </row>
    <row r="2131" spans="1:15" x14ac:dyDescent="0.35">
      <c r="A2131" s="5" t="str">
        <f>Loads[[#This Row],[Date]]&amp;Loads[[#This Row],[Product]]</f>
        <v>44277Product2</v>
      </c>
      <c r="B2131" s="5">
        <f>COUNTIF($A$1:A2131,Loads[[#This Row],[Load]])</f>
        <v>10</v>
      </c>
      <c r="C2131" s="3" t="str">
        <f>Loads[[#This Row],[Load]]&amp;Loads[[#This Row],[Count]]</f>
        <v>44277Product210</v>
      </c>
      <c r="D2131" s="90">
        <v>44277</v>
      </c>
      <c r="E2131" s="143">
        <v>0.70486111111111116</v>
      </c>
      <c r="F2131" s="1" t="s">
        <v>9</v>
      </c>
      <c r="G2131" s="2" t="s">
        <v>13</v>
      </c>
      <c r="H2131" s="2" t="s">
        <v>42</v>
      </c>
      <c r="I2131" s="1" t="s">
        <v>11</v>
      </c>
      <c r="J2131" s="1" t="s">
        <v>8</v>
      </c>
      <c r="K2131" s="89">
        <v>16520</v>
      </c>
      <c r="L2131" s="3">
        <v>61.91</v>
      </c>
      <c r="M2131" s="3">
        <v>9.81</v>
      </c>
      <c r="N2131" s="3" t="s">
        <v>8</v>
      </c>
      <c r="O2131" s="3" t="s">
        <v>8</v>
      </c>
    </row>
    <row r="2132" spans="1:15" x14ac:dyDescent="0.35">
      <c r="A2132" s="5" t="str">
        <f>Loads[[#This Row],[Date]]&amp;Loads[[#This Row],[Product]]</f>
        <v>44278Product7</v>
      </c>
      <c r="B2132" s="5">
        <f>COUNTIF($A$1:A2132,Loads[[#This Row],[Load]])</f>
        <v>1</v>
      </c>
      <c r="C2132" s="3" t="str">
        <f>Loads[[#This Row],[Load]]&amp;Loads[[#This Row],[Count]]</f>
        <v>44278Product71</v>
      </c>
      <c r="D2132" s="90">
        <v>44278</v>
      </c>
      <c r="E2132" s="143">
        <v>4.2361111111111106E-2</v>
      </c>
      <c r="F2132" s="1" t="s">
        <v>9</v>
      </c>
      <c r="G2132" s="2" t="s">
        <v>18</v>
      </c>
      <c r="H2132" s="2" t="s">
        <v>42</v>
      </c>
      <c r="I2132" s="1" t="s">
        <v>11</v>
      </c>
      <c r="J2132" s="1" t="s">
        <v>8</v>
      </c>
      <c r="K2132" s="89">
        <v>28360</v>
      </c>
      <c r="L2132" s="3" t="s">
        <v>8</v>
      </c>
      <c r="M2132" s="3">
        <v>21.98</v>
      </c>
      <c r="N2132" s="3" t="s">
        <v>8</v>
      </c>
      <c r="O2132" s="3">
        <v>44.4</v>
      </c>
    </row>
    <row r="2133" spans="1:15" x14ac:dyDescent="0.35">
      <c r="A2133" s="5" t="str">
        <f>Loads[[#This Row],[Date]]&amp;Loads[[#This Row],[Product]]</f>
        <v>44278Product5</v>
      </c>
      <c r="B2133" s="5">
        <f>COUNTIF($A$1:A2133,Loads[[#This Row],[Load]])</f>
        <v>1</v>
      </c>
      <c r="C2133" s="3" t="str">
        <f>Loads[[#This Row],[Load]]&amp;Loads[[#This Row],[Count]]</f>
        <v>44278Product51</v>
      </c>
      <c r="D2133" s="90">
        <v>44278</v>
      </c>
      <c r="E2133" s="143">
        <v>4.2361111111111106E-2</v>
      </c>
      <c r="F2133" s="1" t="s">
        <v>9</v>
      </c>
      <c r="G2133" s="2" t="s">
        <v>16</v>
      </c>
      <c r="H2133" s="2" t="s">
        <v>42</v>
      </c>
      <c r="I2133" s="1" t="s">
        <v>11</v>
      </c>
      <c r="J2133" s="1" t="s">
        <v>8</v>
      </c>
      <c r="K2133" s="89">
        <v>14560</v>
      </c>
      <c r="L2133" s="3">
        <v>11.48</v>
      </c>
      <c r="N2133" s="3"/>
      <c r="O2133" s="3"/>
    </row>
    <row r="2134" spans="1:15" x14ac:dyDescent="0.35">
      <c r="A2134" s="5" t="str">
        <f>Loads[[#This Row],[Date]]&amp;Loads[[#This Row],[Product]]</f>
        <v>44278Product1</v>
      </c>
      <c r="B2134" s="5">
        <f>COUNTIF($A$1:A2134,Loads[[#This Row],[Load]])</f>
        <v>1</v>
      </c>
      <c r="C2134" s="3" t="str">
        <f>Loads[[#This Row],[Load]]&amp;Loads[[#This Row],[Count]]</f>
        <v>44278Product11</v>
      </c>
      <c r="D2134" s="90">
        <v>44278</v>
      </c>
      <c r="E2134" s="143">
        <v>4.4444444444444446E-2</v>
      </c>
      <c r="F2134" s="1" t="s">
        <v>9</v>
      </c>
      <c r="G2134" s="2" t="s">
        <v>12</v>
      </c>
      <c r="H2134" s="2" t="s">
        <v>42</v>
      </c>
      <c r="I2134" s="1" t="s">
        <v>10</v>
      </c>
      <c r="J2134" s="1">
        <v>925</v>
      </c>
      <c r="K2134" s="89">
        <v>36960</v>
      </c>
      <c r="L2134" s="3">
        <v>9.0500000000000007</v>
      </c>
      <c r="M2134" s="3">
        <v>21</v>
      </c>
      <c r="N2134" s="3" t="s">
        <v>8</v>
      </c>
      <c r="O2134" s="3" t="s">
        <v>8</v>
      </c>
    </row>
    <row r="2135" spans="1:15" x14ac:dyDescent="0.35">
      <c r="A2135" s="5" t="str">
        <f>Loads[[#This Row],[Date]]&amp;Loads[[#This Row],[Product]]</f>
        <v>44278Product1</v>
      </c>
      <c r="B2135" s="5">
        <f>COUNTIF($A$1:A2135,Loads[[#This Row],[Load]])</f>
        <v>2</v>
      </c>
      <c r="C2135" s="3" t="str">
        <f>Loads[[#This Row],[Load]]&amp;Loads[[#This Row],[Count]]</f>
        <v>44278Product12</v>
      </c>
      <c r="D2135" s="90">
        <v>44278</v>
      </c>
      <c r="E2135" s="143">
        <v>4.5138888888888888E-2</v>
      </c>
      <c r="F2135" s="1" t="s">
        <v>9</v>
      </c>
      <c r="G2135" s="2" t="s">
        <v>12</v>
      </c>
      <c r="H2135" s="2" t="s">
        <v>42</v>
      </c>
      <c r="I2135" s="1" t="s">
        <v>10</v>
      </c>
      <c r="J2135" s="1">
        <v>800</v>
      </c>
      <c r="K2135" s="89">
        <v>31860</v>
      </c>
      <c r="L2135" s="3">
        <v>6.92</v>
      </c>
      <c r="M2135" s="3">
        <v>21.47</v>
      </c>
      <c r="N2135" s="3" t="s">
        <v>8</v>
      </c>
      <c r="O2135" s="3" t="s">
        <v>8</v>
      </c>
    </row>
    <row r="2136" spans="1:15" x14ac:dyDescent="0.35">
      <c r="A2136" s="5" t="str">
        <f>Loads[[#This Row],[Date]]&amp;Loads[[#This Row],[Product]]</f>
        <v>44278Product4</v>
      </c>
      <c r="B2136" s="5">
        <f>COUNTIF($A$1:A2136,Loads[[#This Row],[Load]])</f>
        <v>1</v>
      </c>
      <c r="C2136" s="3" t="str">
        <f>Loads[[#This Row],[Load]]&amp;Loads[[#This Row],[Count]]</f>
        <v>44278Product41</v>
      </c>
      <c r="D2136" s="90">
        <v>44278</v>
      </c>
      <c r="E2136" s="143">
        <v>4.7916666666666663E-2</v>
      </c>
      <c r="F2136" s="1" t="s">
        <v>9</v>
      </c>
      <c r="G2136" s="2" t="s">
        <v>15</v>
      </c>
      <c r="H2136" s="2" t="s">
        <v>42</v>
      </c>
      <c r="I2136" s="1" t="s">
        <v>0</v>
      </c>
      <c r="J2136" s="1">
        <v>22</v>
      </c>
      <c r="K2136" s="89">
        <v>27400</v>
      </c>
      <c r="L2136" s="3">
        <v>10.93</v>
      </c>
      <c r="M2136" s="3">
        <v>61.32</v>
      </c>
      <c r="N2136" s="3" t="s">
        <v>8</v>
      </c>
      <c r="O2136" s="3" t="s">
        <v>8</v>
      </c>
    </row>
    <row r="2137" spans="1:15" x14ac:dyDescent="0.35">
      <c r="A2137" s="5" t="str">
        <f>Loads[[#This Row],[Date]]&amp;Loads[[#This Row],[Product]]</f>
        <v>44278Product1</v>
      </c>
      <c r="B2137" s="5">
        <f>COUNTIF($A$1:A2137,Loads[[#This Row],[Load]])</f>
        <v>3</v>
      </c>
      <c r="C2137" s="3" t="str">
        <f>Loads[[#This Row],[Load]]&amp;Loads[[#This Row],[Count]]</f>
        <v>44278Product13</v>
      </c>
      <c r="D2137" s="90">
        <v>44278</v>
      </c>
      <c r="E2137" s="143">
        <v>6.458333333333334E-2</v>
      </c>
      <c r="F2137" s="1" t="s">
        <v>9</v>
      </c>
      <c r="G2137" s="2" t="s">
        <v>12</v>
      </c>
      <c r="H2137" s="2" t="s">
        <v>42</v>
      </c>
      <c r="I2137" s="1" t="s">
        <v>10</v>
      </c>
      <c r="J2137" s="1">
        <v>325</v>
      </c>
      <c r="K2137" s="89">
        <v>13000</v>
      </c>
      <c r="L2137" s="3">
        <v>8.1199999999999992</v>
      </c>
      <c r="M2137" s="3">
        <v>20.25</v>
      </c>
      <c r="N2137" s="3" t="s">
        <v>8</v>
      </c>
      <c r="O2137" s="3" t="s">
        <v>8</v>
      </c>
    </row>
    <row r="2138" spans="1:15" x14ac:dyDescent="0.35">
      <c r="A2138" s="5" t="str">
        <f>Loads[[#This Row],[Date]]&amp;Loads[[#This Row],[Product]]</f>
        <v>44278Product4</v>
      </c>
      <c r="B2138" s="5">
        <f>COUNTIF($A$1:A2138,Loads[[#This Row],[Load]])</f>
        <v>2</v>
      </c>
      <c r="C2138" s="3" t="str">
        <f>Loads[[#This Row],[Load]]&amp;Loads[[#This Row],[Count]]</f>
        <v>44278Product42</v>
      </c>
      <c r="D2138" s="90">
        <v>44278</v>
      </c>
      <c r="E2138" s="143">
        <v>6.5277777777777782E-2</v>
      </c>
      <c r="F2138" s="1" t="s">
        <v>9</v>
      </c>
      <c r="G2138" s="2" t="s">
        <v>15</v>
      </c>
      <c r="H2138" s="2" t="s">
        <v>42</v>
      </c>
      <c r="I2138" s="1" t="s">
        <v>0</v>
      </c>
      <c r="J2138" s="1">
        <v>24</v>
      </c>
      <c r="K2138" s="89">
        <v>29980</v>
      </c>
      <c r="L2138" s="3">
        <v>10.75</v>
      </c>
      <c r="M2138" s="3">
        <v>61.4</v>
      </c>
      <c r="N2138" s="3" t="s">
        <v>8</v>
      </c>
      <c r="O2138" s="3" t="s">
        <v>8</v>
      </c>
    </row>
    <row r="2139" spans="1:15" x14ac:dyDescent="0.35">
      <c r="A2139" s="5" t="str">
        <f>Loads[[#This Row],[Date]]&amp;Loads[[#This Row],[Product]]</f>
        <v>44278Product6</v>
      </c>
      <c r="B2139" s="5">
        <f>COUNTIF($A$1:A2139,Loads[[#This Row],[Load]])</f>
        <v>1</v>
      </c>
      <c r="C2139" s="3" t="str">
        <f>Loads[[#This Row],[Load]]&amp;Loads[[#This Row],[Count]]</f>
        <v>44278Product61</v>
      </c>
      <c r="D2139" s="90">
        <v>44278</v>
      </c>
      <c r="E2139" s="143">
        <v>6.5972222222222224E-2</v>
      </c>
      <c r="F2139" s="1" t="s">
        <v>9</v>
      </c>
      <c r="G2139" s="2" t="s">
        <v>17</v>
      </c>
      <c r="H2139" s="2" t="s">
        <v>42</v>
      </c>
      <c r="I2139" s="1" t="s">
        <v>11</v>
      </c>
      <c r="J2139" s="1" t="s">
        <v>8</v>
      </c>
      <c r="K2139" s="89">
        <v>31580</v>
      </c>
      <c r="L2139" s="3">
        <v>0.7</v>
      </c>
      <c r="M2139" s="3" t="s">
        <v>8</v>
      </c>
      <c r="N2139" s="3">
        <v>1.88</v>
      </c>
      <c r="O2139" s="3" t="s">
        <v>8</v>
      </c>
    </row>
    <row r="2140" spans="1:15" x14ac:dyDescent="0.35">
      <c r="A2140" s="5" t="str">
        <f>Loads[[#This Row],[Date]]&amp;Loads[[#This Row],[Product]]</f>
        <v>44278Product1</v>
      </c>
      <c r="B2140" s="5">
        <f>COUNTIF($A$1:A2140,Loads[[#This Row],[Load]])</f>
        <v>4</v>
      </c>
      <c r="C2140" s="3" t="str">
        <f>Loads[[#This Row],[Load]]&amp;Loads[[#This Row],[Count]]</f>
        <v>44278Product14</v>
      </c>
      <c r="D2140" s="90">
        <v>44278</v>
      </c>
      <c r="E2140" s="143">
        <v>6.6666666666666666E-2</v>
      </c>
      <c r="F2140" s="1" t="s">
        <v>9</v>
      </c>
      <c r="G2140" s="2" t="s">
        <v>12</v>
      </c>
      <c r="H2140" s="2" t="s">
        <v>42</v>
      </c>
      <c r="I2140" s="1" t="s">
        <v>11</v>
      </c>
      <c r="J2140" s="1" t="s">
        <v>8</v>
      </c>
      <c r="K2140" s="89">
        <v>25880</v>
      </c>
      <c r="L2140" s="3">
        <v>8.9600000000000009</v>
      </c>
      <c r="M2140" s="3">
        <v>20.43</v>
      </c>
      <c r="N2140" s="3" t="s">
        <v>8</v>
      </c>
      <c r="O2140" s="3" t="s">
        <v>8</v>
      </c>
    </row>
    <row r="2141" spans="1:15" x14ac:dyDescent="0.35">
      <c r="A2141" s="5" t="str">
        <f>Loads[[#This Row],[Date]]&amp;Loads[[#This Row],[Product]]</f>
        <v>44278Product1</v>
      </c>
      <c r="B2141" s="5">
        <f>COUNTIF($A$1:A2141,Loads[[#This Row],[Load]])</f>
        <v>5</v>
      </c>
      <c r="C2141" s="3" t="str">
        <f>Loads[[#This Row],[Load]]&amp;Loads[[#This Row],[Count]]</f>
        <v>44278Product15</v>
      </c>
      <c r="D2141" s="90">
        <v>44278</v>
      </c>
      <c r="E2141" s="143">
        <v>6.7361111111111108E-2</v>
      </c>
      <c r="F2141" s="1" t="s">
        <v>9</v>
      </c>
      <c r="G2141" s="2" t="s">
        <v>12</v>
      </c>
      <c r="H2141" s="2" t="s">
        <v>42</v>
      </c>
      <c r="I2141" s="1" t="s">
        <v>11</v>
      </c>
      <c r="J2141" s="1" t="s">
        <v>8</v>
      </c>
      <c r="K2141" s="89">
        <v>20540</v>
      </c>
      <c r="L2141" s="3">
        <v>9.5399999999999991</v>
      </c>
      <c r="M2141" s="3">
        <v>20.22</v>
      </c>
      <c r="N2141" s="3" t="s">
        <v>8</v>
      </c>
      <c r="O2141" s="3" t="s">
        <v>8</v>
      </c>
    </row>
    <row r="2142" spans="1:15" x14ac:dyDescent="0.35">
      <c r="A2142" s="5" t="str">
        <f>Loads[[#This Row],[Date]]&amp;Loads[[#This Row],[Product]]</f>
        <v>44278Product1</v>
      </c>
      <c r="B2142" s="5">
        <f>COUNTIF($A$1:A2142,Loads[[#This Row],[Load]])</f>
        <v>6</v>
      </c>
      <c r="C2142" s="3" t="str">
        <f>Loads[[#This Row],[Load]]&amp;Loads[[#This Row],[Count]]</f>
        <v>44278Product16</v>
      </c>
      <c r="D2142" s="90">
        <v>44278</v>
      </c>
      <c r="E2142" s="143">
        <v>6.7361111111111108E-2</v>
      </c>
      <c r="F2142" s="1" t="s">
        <v>9</v>
      </c>
      <c r="G2142" s="2" t="s">
        <v>12</v>
      </c>
      <c r="H2142" s="2" t="s">
        <v>42</v>
      </c>
      <c r="I2142" s="1" t="s">
        <v>11</v>
      </c>
      <c r="J2142" s="1" t="s">
        <v>8</v>
      </c>
      <c r="K2142" s="89">
        <v>30680</v>
      </c>
      <c r="L2142" s="3">
        <v>8.8699999999999992</v>
      </c>
      <c r="M2142" s="3">
        <v>20.11</v>
      </c>
      <c r="N2142" s="3" t="s">
        <v>8</v>
      </c>
      <c r="O2142" s="3" t="s">
        <v>8</v>
      </c>
    </row>
    <row r="2143" spans="1:15" x14ac:dyDescent="0.35">
      <c r="A2143" s="5" t="str">
        <f>Loads[[#This Row],[Date]]&amp;Loads[[#This Row],[Product]]</f>
        <v>44278Product8</v>
      </c>
      <c r="B2143" s="5">
        <f>COUNTIF($A$1:A2143,Loads[[#This Row],[Load]])</f>
        <v>1</v>
      </c>
      <c r="C2143" s="3" t="str">
        <f>Loads[[#This Row],[Load]]&amp;Loads[[#This Row],[Count]]</f>
        <v>44278Product81</v>
      </c>
      <c r="D2143" s="90">
        <v>44278</v>
      </c>
      <c r="E2143" s="143">
        <v>6.805555555555555E-2</v>
      </c>
      <c r="F2143" s="1" t="s">
        <v>9</v>
      </c>
      <c r="G2143" s="2" t="s">
        <v>19</v>
      </c>
      <c r="H2143" s="2" t="s">
        <v>42</v>
      </c>
      <c r="I2143" s="1" t="s">
        <v>11</v>
      </c>
      <c r="J2143" s="1" t="s">
        <v>8</v>
      </c>
      <c r="K2143" s="89">
        <v>17920</v>
      </c>
      <c r="L2143" s="3">
        <v>12.03</v>
      </c>
      <c r="M2143" s="3">
        <v>7.2</v>
      </c>
      <c r="N2143" s="3" t="s">
        <v>8</v>
      </c>
      <c r="O2143" s="3" t="s">
        <v>8</v>
      </c>
    </row>
    <row r="2144" spans="1:15" x14ac:dyDescent="0.35">
      <c r="A2144" s="5" t="str">
        <f>Loads[[#This Row],[Date]]&amp;Loads[[#This Row],[Product]]</f>
        <v>44278Product1</v>
      </c>
      <c r="B2144" s="5">
        <f>COUNTIF($A$1:A2144,Loads[[#This Row],[Load]])</f>
        <v>7</v>
      </c>
      <c r="C2144" s="3" t="str">
        <f>Loads[[#This Row],[Load]]&amp;Loads[[#This Row],[Count]]</f>
        <v>44278Product17</v>
      </c>
      <c r="D2144" s="90">
        <v>44278</v>
      </c>
      <c r="E2144" s="143">
        <v>6.8749999999999992E-2</v>
      </c>
      <c r="F2144" s="1" t="s">
        <v>9</v>
      </c>
      <c r="G2144" s="2" t="s">
        <v>12</v>
      </c>
      <c r="H2144" s="2" t="s">
        <v>42</v>
      </c>
      <c r="I2144" s="1" t="s">
        <v>10</v>
      </c>
      <c r="J2144" s="1">
        <v>770</v>
      </c>
      <c r="K2144" s="89">
        <v>30600</v>
      </c>
      <c r="L2144" s="3">
        <v>8.16</v>
      </c>
      <c r="M2144" s="3">
        <v>21.77</v>
      </c>
      <c r="N2144" s="3" t="s">
        <v>8</v>
      </c>
      <c r="O2144" s="3" t="s">
        <v>8</v>
      </c>
    </row>
    <row r="2145" spans="1:15" x14ac:dyDescent="0.35">
      <c r="A2145" s="5" t="str">
        <f>Loads[[#This Row],[Date]]&amp;Loads[[#This Row],[Product]]</f>
        <v>44278Product1</v>
      </c>
      <c r="B2145" s="5">
        <f>COUNTIF($A$1:A2145,Loads[[#This Row],[Load]])</f>
        <v>8</v>
      </c>
      <c r="C2145" s="3" t="str">
        <f>Loads[[#This Row],[Load]]&amp;Loads[[#This Row],[Count]]</f>
        <v>44278Product18</v>
      </c>
      <c r="D2145" s="90">
        <v>44278</v>
      </c>
      <c r="E2145" s="143">
        <v>6.9444444444444434E-2</v>
      </c>
      <c r="F2145" s="1" t="s">
        <v>9</v>
      </c>
      <c r="G2145" s="2" t="s">
        <v>12</v>
      </c>
      <c r="H2145" s="2" t="s">
        <v>42</v>
      </c>
      <c r="I2145" s="1" t="s">
        <v>11</v>
      </c>
      <c r="J2145" s="1" t="s">
        <v>8</v>
      </c>
      <c r="K2145" s="89">
        <v>17680</v>
      </c>
      <c r="L2145" s="3">
        <v>8.08</v>
      </c>
      <c r="M2145" s="3">
        <v>21.7</v>
      </c>
      <c r="N2145" s="3" t="s">
        <v>8</v>
      </c>
      <c r="O2145" s="3" t="s">
        <v>8</v>
      </c>
    </row>
    <row r="2146" spans="1:15" x14ac:dyDescent="0.35">
      <c r="A2146" s="5" t="str">
        <f>Loads[[#This Row],[Date]]&amp;Loads[[#This Row],[Product]]</f>
        <v>44278Product1</v>
      </c>
      <c r="B2146" s="5">
        <f>COUNTIF($A$1:A2146,Loads[[#This Row],[Load]])</f>
        <v>9</v>
      </c>
      <c r="C2146" s="3" t="str">
        <f>Loads[[#This Row],[Load]]&amp;Loads[[#This Row],[Count]]</f>
        <v>44278Product19</v>
      </c>
      <c r="D2146" s="90">
        <v>44278</v>
      </c>
      <c r="E2146" s="143">
        <v>7.013888888888889E-2</v>
      </c>
      <c r="F2146" s="1" t="s">
        <v>9</v>
      </c>
      <c r="G2146" s="2" t="s">
        <v>12</v>
      </c>
      <c r="H2146" s="2" t="s">
        <v>42</v>
      </c>
      <c r="I2146" s="1" t="s">
        <v>10</v>
      </c>
      <c r="J2146" s="1">
        <v>752</v>
      </c>
      <c r="K2146" s="89">
        <v>29780</v>
      </c>
      <c r="L2146" s="3">
        <v>8.34</v>
      </c>
      <c r="M2146" s="3">
        <v>21.77</v>
      </c>
      <c r="N2146" s="3" t="s">
        <v>8</v>
      </c>
      <c r="O2146" s="3" t="s">
        <v>8</v>
      </c>
    </row>
    <row r="2147" spans="1:15" x14ac:dyDescent="0.35">
      <c r="A2147" s="5" t="str">
        <f>Loads[[#This Row],[Date]]&amp;Loads[[#This Row],[Product]]</f>
        <v>44278Product3</v>
      </c>
      <c r="B2147" s="5">
        <f>COUNTIF($A$1:A2147,Loads[[#This Row],[Load]])</f>
        <v>1</v>
      </c>
      <c r="C2147" s="3" t="str">
        <f>Loads[[#This Row],[Load]]&amp;Loads[[#This Row],[Count]]</f>
        <v>44278Product31</v>
      </c>
      <c r="D2147" s="90">
        <v>44278</v>
      </c>
      <c r="E2147" s="143">
        <v>9.5833333333333326E-2</v>
      </c>
      <c r="F2147" s="1" t="s">
        <v>9</v>
      </c>
      <c r="G2147" s="2" t="s">
        <v>14</v>
      </c>
      <c r="H2147" s="2" t="s">
        <v>42</v>
      </c>
      <c r="I2147" s="1" t="s">
        <v>11</v>
      </c>
      <c r="J2147" s="1" t="s">
        <v>8</v>
      </c>
      <c r="K2147" s="89">
        <v>12720</v>
      </c>
      <c r="L2147" s="3">
        <v>57.66</v>
      </c>
      <c r="M2147" s="3">
        <v>10.87</v>
      </c>
      <c r="N2147" s="3" t="s">
        <v>8</v>
      </c>
      <c r="O2147" s="3" t="s">
        <v>8</v>
      </c>
    </row>
    <row r="2148" spans="1:15" x14ac:dyDescent="0.35">
      <c r="A2148" s="5" t="str">
        <f>Loads[[#This Row],[Date]]&amp;Loads[[#This Row],[Product]]</f>
        <v>44278Product2</v>
      </c>
      <c r="B2148" s="5">
        <f>COUNTIF($A$1:A2148,Loads[[#This Row],[Load]])</f>
        <v>1</v>
      </c>
      <c r="C2148" s="3" t="str">
        <f>Loads[[#This Row],[Load]]&amp;Loads[[#This Row],[Count]]</f>
        <v>44278Product21</v>
      </c>
      <c r="D2148" s="90">
        <v>44278</v>
      </c>
      <c r="E2148" s="143">
        <v>9.6527777777777768E-2</v>
      </c>
      <c r="F2148" s="1" t="s">
        <v>9</v>
      </c>
      <c r="G2148" s="2" t="s">
        <v>13</v>
      </c>
      <c r="H2148" s="2" t="s">
        <v>42</v>
      </c>
      <c r="I2148" s="1" t="s">
        <v>11</v>
      </c>
      <c r="J2148" s="1" t="s">
        <v>8</v>
      </c>
      <c r="K2148" s="89">
        <v>16780</v>
      </c>
      <c r="L2148" s="3">
        <v>61.91</v>
      </c>
      <c r="M2148" s="3">
        <v>11.89</v>
      </c>
      <c r="N2148" s="3" t="s">
        <v>8</v>
      </c>
      <c r="O2148" s="3" t="s">
        <v>8</v>
      </c>
    </row>
    <row r="2149" spans="1:15" x14ac:dyDescent="0.35">
      <c r="A2149" s="5" t="str">
        <f>Loads[[#This Row],[Date]]&amp;Loads[[#This Row],[Product]]</f>
        <v>44278Product3</v>
      </c>
      <c r="B2149" s="5">
        <f>COUNTIF($A$1:A2149,Loads[[#This Row],[Load]])</f>
        <v>2</v>
      </c>
      <c r="C2149" s="3" t="str">
        <f>Loads[[#This Row],[Load]]&amp;Loads[[#This Row],[Count]]</f>
        <v>44278Product32</v>
      </c>
      <c r="D2149" s="90">
        <v>44278</v>
      </c>
      <c r="E2149" s="143">
        <v>9.7222222222222224E-2</v>
      </c>
      <c r="F2149" s="1" t="s">
        <v>9</v>
      </c>
      <c r="G2149" s="2" t="s">
        <v>14</v>
      </c>
      <c r="H2149" s="2" t="s">
        <v>42</v>
      </c>
      <c r="I2149" s="1" t="s">
        <v>11</v>
      </c>
      <c r="J2149" s="1" t="s">
        <v>8</v>
      </c>
      <c r="K2149" s="89">
        <v>12920</v>
      </c>
      <c r="L2149" s="3">
        <v>57.29</v>
      </c>
      <c r="M2149" s="3">
        <v>11.56</v>
      </c>
      <c r="N2149" s="3" t="s">
        <v>8</v>
      </c>
      <c r="O2149" s="3" t="s">
        <v>8</v>
      </c>
    </row>
    <row r="2150" spans="1:15" x14ac:dyDescent="0.35">
      <c r="A2150" s="5" t="str">
        <f>Loads[[#This Row],[Date]]&amp;Loads[[#This Row],[Product]]</f>
        <v>44278Product2</v>
      </c>
      <c r="B2150" s="5">
        <f>COUNTIF($A$1:A2150,Loads[[#This Row],[Load]])</f>
        <v>2</v>
      </c>
      <c r="C2150" s="3" t="str">
        <f>Loads[[#This Row],[Load]]&amp;Loads[[#This Row],[Count]]</f>
        <v>44278Product22</v>
      </c>
      <c r="D2150" s="90">
        <v>44278</v>
      </c>
      <c r="E2150" s="143">
        <v>9.7916666666666666E-2</v>
      </c>
      <c r="F2150" s="1" t="s">
        <v>9</v>
      </c>
      <c r="G2150" s="2" t="s">
        <v>13</v>
      </c>
      <c r="H2150" s="2" t="s">
        <v>42</v>
      </c>
      <c r="I2150" s="1" t="s">
        <v>11</v>
      </c>
      <c r="J2150" s="1" t="s">
        <v>8</v>
      </c>
      <c r="K2150" s="89">
        <v>11420</v>
      </c>
      <c r="L2150" s="3">
        <v>63.43</v>
      </c>
      <c r="M2150" s="3">
        <v>8.51</v>
      </c>
      <c r="N2150" s="3" t="s">
        <v>8</v>
      </c>
      <c r="O2150" s="3" t="s">
        <v>8</v>
      </c>
    </row>
    <row r="2151" spans="1:15" x14ac:dyDescent="0.35">
      <c r="A2151" s="5" t="str">
        <f>Loads[[#This Row],[Date]]&amp;Loads[[#This Row],[Product]]</f>
        <v>44278Product2</v>
      </c>
      <c r="B2151" s="5">
        <f>COUNTIF($A$1:A2151,Loads[[#This Row],[Load]])</f>
        <v>3</v>
      </c>
      <c r="C2151" s="3" t="str">
        <f>Loads[[#This Row],[Load]]&amp;Loads[[#This Row],[Count]]</f>
        <v>44278Product23</v>
      </c>
      <c r="D2151" s="90">
        <v>44278</v>
      </c>
      <c r="E2151" s="143">
        <v>9.8611111111111108E-2</v>
      </c>
      <c r="F2151" s="1" t="s">
        <v>9</v>
      </c>
      <c r="G2151" s="2" t="s">
        <v>13</v>
      </c>
      <c r="H2151" s="2" t="s">
        <v>42</v>
      </c>
      <c r="I2151" s="1" t="s">
        <v>11</v>
      </c>
      <c r="J2151" s="1" t="s">
        <v>8</v>
      </c>
      <c r="K2151" s="89">
        <v>13120</v>
      </c>
      <c r="L2151" s="3">
        <v>60.44</v>
      </c>
      <c r="M2151" s="3">
        <v>9.44</v>
      </c>
      <c r="N2151" s="3" t="s">
        <v>8</v>
      </c>
      <c r="O2151" s="3" t="s">
        <v>8</v>
      </c>
    </row>
    <row r="2152" spans="1:15" x14ac:dyDescent="0.35">
      <c r="A2152" s="5" t="str">
        <f>Loads[[#This Row],[Date]]&amp;Loads[[#This Row],[Product]]</f>
        <v>44278Product2</v>
      </c>
      <c r="B2152" s="5">
        <f>COUNTIF($A$1:A2152,Loads[[#This Row],[Load]])</f>
        <v>4</v>
      </c>
      <c r="C2152" s="3" t="str">
        <f>Loads[[#This Row],[Load]]&amp;Loads[[#This Row],[Count]]</f>
        <v>44278Product24</v>
      </c>
      <c r="D2152" s="90">
        <v>44278</v>
      </c>
      <c r="E2152" s="143">
        <v>9.930555555555555E-2</v>
      </c>
      <c r="F2152" s="1" t="s">
        <v>9</v>
      </c>
      <c r="G2152" s="2" t="s">
        <v>13</v>
      </c>
      <c r="H2152" s="2" t="s">
        <v>42</v>
      </c>
      <c r="I2152" s="1" t="s">
        <v>11</v>
      </c>
      <c r="J2152" s="1" t="s">
        <v>8</v>
      </c>
      <c r="K2152" s="89">
        <v>12420</v>
      </c>
      <c r="L2152" s="3">
        <v>62.74</v>
      </c>
      <c r="M2152" s="3">
        <v>10.35</v>
      </c>
      <c r="N2152" s="3" t="s">
        <v>8</v>
      </c>
      <c r="O2152" s="3" t="s">
        <v>8</v>
      </c>
    </row>
    <row r="2153" spans="1:15" x14ac:dyDescent="0.35">
      <c r="A2153" s="5" t="str">
        <f>Loads[[#This Row],[Date]]&amp;Loads[[#This Row],[Product]]</f>
        <v>44278Product2</v>
      </c>
      <c r="B2153" s="5">
        <f>COUNTIF($A$1:A2153,Loads[[#This Row],[Load]])</f>
        <v>5</v>
      </c>
      <c r="C2153" s="3" t="str">
        <f>Loads[[#This Row],[Load]]&amp;Loads[[#This Row],[Count]]</f>
        <v>44278Product25</v>
      </c>
      <c r="D2153" s="90">
        <v>44278</v>
      </c>
      <c r="E2153" s="143">
        <v>0.10069444444444443</v>
      </c>
      <c r="F2153" s="1" t="s">
        <v>9</v>
      </c>
      <c r="G2153" s="2" t="s">
        <v>13</v>
      </c>
      <c r="H2153" s="2" t="s">
        <v>42</v>
      </c>
      <c r="I2153" s="1" t="s">
        <v>11</v>
      </c>
      <c r="J2153" s="1" t="s">
        <v>8</v>
      </c>
      <c r="K2153" s="89">
        <v>12280</v>
      </c>
      <c r="L2153" s="3">
        <v>63.48</v>
      </c>
      <c r="M2153" s="3">
        <v>8.69</v>
      </c>
      <c r="N2153" s="3" t="s">
        <v>8</v>
      </c>
      <c r="O2153" s="3" t="s">
        <v>8</v>
      </c>
    </row>
    <row r="2154" spans="1:15" x14ac:dyDescent="0.35">
      <c r="A2154" s="5" t="str">
        <f>Loads[[#This Row],[Date]]&amp;Loads[[#This Row],[Product]]</f>
        <v>44278Product3</v>
      </c>
      <c r="B2154" s="5">
        <f>COUNTIF($A$1:A2154,Loads[[#This Row],[Load]])</f>
        <v>3</v>
      </c>
      <c r="C2154" s="3" t="str">
        <f>Loads[[#This Row],[Load]]&amp;Loads[[#This Row],[Count]]</f>
        <v>44278Product33</v>
      </c>
      <c r="D2154" s="90">
        <v>44278</v>
      </c>
      <c r="E2154" s="143">
        <v>0.1013888888888889</v>
      </c>
      <c r="F2154" s="1" t="s">
        <v>9</v>
      </c>
      <c r="G2154" s="2" t="s">
        <v>14</v>
      </c>
      <c r="H2154" s="2" t="s">
        <v>42</v>
      </c>
      <c r="I2154" s="1" t="s">
        <v>11</v>
      </c>
      <c r="J2154" s="1" t="s">
        <v>8</v>
      </c>
      <c r="K2154" s="89">
        <v>13660</v>
      </c>
      <c r="L2154" s="3">
        <v>57.3</v>
      </c>
      <c r="M2154" s="3">
        <v>11.48</v>
      </c>
      <c r="N2154" s="3" t="s">
        <v>8</v>
      </c>
      <c r="O2154" s="3" t="s">
        <v>8</v>
      </c>
    </row>
    <row r="2155" spans="1:15" x14ac:dyDescent="0.35">
      <c r="A2155" s="5" t="str">
        <f>Loads[[#This Row],[Date]]&amp;Loads[[#This Row],[Product]]</f>
        <v>44278Product2</v>
      </c>
      <c r="B2155" s="5">
        <f>COUNTIF($A$1:A2155,Loads[[#This Row],[Load]])</f>
        <v>6</v>
      </c>
      <c r="C2155" s="3" t="str">
        <f>Loads[[#This Row],[Load]]&amp;Loads[[#This Row],[Count]]</f>
        <v>44278Product26</v>
      </c>
      <c r="D2155" s="90">
        <v>44278</v>
      </c>
      <c r="E2155" s="143">
        <v>0.1013888888888889</v>
      </c>
      <c r="F2155" s="1" t="s">
        <v>9</v>
      </c>
      <c r="G2155" s="2" t="s">
        <v>13</v>
      </c>
      <c r="H2155" s="2" t="s">
        <v>42</v>
      </c>
      <c r="I2155" s="1" t="s">
        <v>11</v>
      </c>
      <c r="J2155" s="1" t="s">
        <v>8</v>
      </c>
      <c r="K2155" s="89">
        <v>11980</v>
      </c>
      <c r="L2155" s="3">
        <v>64.55</v>
      </c>
      <c r="M2155" s="3">
        <v>8.5399999999999991</v>
      </c>
      <c r="N2155" s="3" t="s">
        <v>8</v>
      </c>
      <c r="O2155" s="3" t="s">
        <v>8</v>
      </c>
    </row>
    <row r="2156" spans="1:15" x14ac:dyDescent="0.35">
      <c r="A2156" s="5" t="str">
        <f>Loads[[#This Row],[Date]]&amp;Loads[[#This Row],[Product]]</f>
        <v>44278Product3</v>
      </c>
      <c r="B2156" s="5">
        <f>COUNTIF($A$1:A2156,Loads[[#This Row],[Load]])</f>
        <v>4</v>
      </c>
      <c r="C2156" s="3" t="str">
        <f>Loads[[#This Row],[Load]]&amp;Loads[[#This Row],[Count]]</f>
        <v>44278Product34</v>
      </c>
      <c r="D2156" s="90">
        <v>44278</v>
      </c>
      <c r="E2156" s="143">
        <v>0.10208333333333335</v>
      </c>
      <c r="F2156" s="1" t="s">
        <v>9</v>
      </c>
      <c r="G2156" s="2" t="s">
        <v>14</v>
      </c>
      <c r="H2156" s="2" t="s">
        <v>42</v>
      </c>
      <c r="I2156" s="1" t="s">
        <v>11</v>
      </c>
      <c r="J2156" s="1" t="s">
        <v>8</v>
      </c>
      <c r="K2156" s="89">
        <v>11120</v>
      </c>
      <c r="L2156" s="3">
        <v>41.08</v>
      </c>
      <c r="M2156" s="3">
        <v>13.44</v>
      </c>
      <c r="N2156" s="3" t="s">
        <v>8</v>
      </c>
      <c r="O2156" s="3" t="s">
        <v>8</v>
      </c>
    </row>
    <row r="2157" spans="1:15" x14ac:dyDescent="0.35">
      <c r="A2157" s="5" t="str">
        <f>Loads[[#This Row],[Date]]&amp;Loads[[#This Row],[Product]]</f>
        <v>44278Product3</v>
      </c>
      <c r="B2157" s="5">
        <f>COUNTIF($A$1:A2157,Loads[[#This Row],[Load]])</f>
        <v>5</v>
      </c>
      <c r="C2157" s="3" t="str">
        <f>Loads[[#This Row],[Load]]&amp;Loads[[#This Row],[Count]]</f>
        <v>44278Product35</v>
      </c>
      <c r="D2157" s="90">
        <v>44278</v>
      </c>
      <c r="E2157" s="143">
        <v>0.10277777777777779</v>
      </c>
      <c r="F2157" s="1" t="s">
        <v>9</v>
      </c>
      <c r="G2157" s="2" t="s">
        <v>14</v>
      </c>
      <c r="H2157" s="2" t="s">
        <v>42</v>
      </c>
      <c r="I2157" s="1" t="s">
        <v>11</v>
      </c>
      <c r="J2157" s="1" t="s">
        <v>8</v>
      </c>
      <c r="K2157" s="89">
        <v>12460</v>
      </c>
      <c r="L2157" s="3">
        <v>59.26</v>
      </c>
      <c r="M2157" s="3">
        <v>10.27</v>
      </c>
      <c r="N2157" s="3" t="s">
        <v>8</v>
      </c>
      <c r="O2157" s="3" t="s">
        <v>8</v>
      </c>
    </row>
    <row r="2158" spans="1:15" x14ac:dyDescent="0.35">
      <c r="A2158" s="5" t="str">
        <f>Loads[[#This Row],[Date]]&amp;Loads[[#This Row],[Product]]</f>
        <v>44278Product2</v>
      </c>
      <c r="B2158" s="5">
        <f>COUNTIF($A$1:A2158,Loads[[#This Row],[Load]])</f>
        <v>7</v>
      </c>
      <c r="C2158" s="3" t="str">
        <f>Loads[[#This Row],[Load]]&amp;Loads[[#This Row],[Count]]</f>
        <v>44278Product27</v>
      </c>
      <c r="D2158" s="90">
        <v>44278</v>
      </c>
      <c r="E2158" s="143">
        <v>0.10347222222222223</v>
      </c>
      <c r="F2158" s="1" t="s">
        <v>9</v>
      </c>
      <c r="G2158" s="2" t="s">
        <v>13</v>
      </c>
      <c r="H2158" s="2" t="s">
        <v>42</v>
      </c>
      <c r="I2158" s="1" t="s">
        <v>11</v>
      </c>
      <c r="J2158" s="1" t="s">
        <v>8</v>
      </c>
      <c r="K2158" s="89">
        <v>11080</v>
      </c>
      <c r="L2158" s="3">
        <v>62.35</v>
      </c>
      <c r="M2158" s="3">
        <v>9.18</v>
      </c>
      <c r="N2158" s="3" t="s">
        <v>8</v>
      </c>
      <c r="O2158" s="3" t="s">
        <v>8</v>
      </c>
    </row>
    <row r="2159" spans="1:15" x14ac:dyDescent="0.35">
      <c r="A2159" s="5" t="str">
        <f>Loads[[#This Row],[Date]]&amp;Loads[[#This Row],[Product]]</f>
        <v>44278Product2</v>
      </c>
      <c r="B2159" s="5">
        <f>COUNTIF($A$1:A2159,Loads[[#This Row],[Load]])</f>
        <v>8</v>
      </c>
      <c r="C2159" s="3" t="str">
        <f>Loads[[#This Row],[Load]]&amp;Loads[[#This Row],[Count]]</f>
        <v>44278Product28</v>
      </c>
      <c r="D2159" s="90">
        <v>44278</v>
      </c>
      <c r="E2159" s="143">
        <v>0.10347222222222223</v>
      </c>
      <c r="F2159" s="1" t="s">
        <v>9</v>
      </c>
      <c r="G2159" s="2" t="s">
        <v>13</v>
      </c>
      <c r="H2159" s="2" t="s">
        <v>42</v>
      </c>
      <c r="I2159" s="1" t="s">
        <v>11</v>
      </c>
      <c r="J2159" s="1" t="s">
        <v>8</v>
      </c>
      <c r="K2159" s="89">
        <v>17520</v>
      </c>
      <c r="L2159" s="3">
        <v>60.44</v>
      </c>
      <c r="M2159" s="3">
        <v>9.94</v>
      </c>
      <c r="N2159" s="3" t="s">
        <v>8</v>
      </c>
      <c r="O2159" s="3" t="s">
        <v>8</v>
      </c>
    </row>
    <row r="2160" spans="1:15" x14ac:dyDescent="0.35">
      <c r="A2160" s="5" t="str">
        <f>Loads[[#This Row],[Date]]&amp;Loads[[#This Row],[Product]]</f>
        <v>44278Product2</v>
      </c>
      <c r="B2160" s="5">
        <f>COUNTIF($A$1:A2160,Loads[[#This Row],[Load]])</f>
        <v>9</v>
      </c>
      <c r="C2160" s="3" t="str">
        <f>Loads[[#This Row],[Load]]&amp;Loads[[#This Row],[Count]]</f>
        <v>44278Product29</v>
      </c>
      <c r="D2160" s="90">
        <v>44278</v>
      </c>
      <c r="E2160" s="143">
        <v>0.10486111111111111</v>
      </c>
      <c r="F2160" s="1" t="s">
        <v>9</v>
      </c>
      <c r="G2160" s="2" t="s">
        <v>13</v>
      </c>
      <c r="H2160" s="2" t="s">
        <v>42</v>
      </c>
      <c r="I2160" s="1" t="s">
        <v>11</v>
      </c>
      <c r="J2160" s="1" t="s">
        <v>8</v>
      </c>
      <c r="K2160" s="89">
        <v>15340</v>
      </c>
      <c r="L2160" s="3">
        <v>62.17</v>
      </c>
      <c r="M2160" s="3">
        <v>8.6199999999999992</v>
      </c>
      <c r="N2160" s="3" t="s">
        <v>8</v>
      </c>
      <c r="O2160" s="3" t="s">
        <v>8</v>
      </c>
    </row>
    <row r="2161" spans="1:15" x14ac:dyDescent="0.35">
      <c r="A2161" s="5" t="str">
        <f>Loads[[#This Row],[Date]]&amp;Loads[[#This Row],[Product]]</f>
        <v>44278Product2</v>
      </c>
      <c r="B2161" s="5">
        <f>COUNTIF($A$1:A2161,Loads[[#This Row],[Load]])</f>
        <v>10</v>
      </c>
      <c r="C2161" s="3" t="str">
        <f>Loads[[#This Row],[Load]]&amp;Loads[[#This Row],[Count]]</f>
        <v>44278Product210</v>
      </c>
      <c r="D2161" s="90">
        <v>44278</v>
      </c>
      <c r="E2161" s="143">
        <v>0.10625</v>
      </c>
      <c r="F2161" s="1" t="s">
        <v>9</v>
      </c>
      <c r="G2161" s="2" t="s">
        <v>13</v>
      </c>
      <c r="H2161" s="2" t="s">
        <v>42</v>
      </c>
      <c r="I2161" s="1" t="s">
        <v>11</v>
      </c>
      <c r="J2161" s="1" t="s">
        <v>8</v>
      </c>
      <c r="K2161" s="89">
        <v>11500</v>
      </c>
      <c r="L2161" s="3">
        <v>60.12</v>
      </c>
      <c r="M2161" s="3">
        <v>8.57</v>
      </c>
      <c r="N2161" s="3" t="s">
        <v>8</v>
      </c>
      <c r="O2161" s="3" t="s">
        <v>8</v>
      </c>
    </row>
    <row r="2162" spans="1:15" x14ac:dyDescent="0.35">
      <c r="A2162" s="5" t="str">
        <f>Loads[[#This Row],[Date]]&amp;Loads[[#This Row],[Product]]</f>
        <v>44278Product3</v>
      </c>
      <c r="B2162" s="5">
        <f>COUNTIF($A$1:A2162,Loads[[#This Row],[Load]])</f>
        <v>6</v>
      </c>
      <c r="C2162" s="3" t="str">
        <f>Loads[[#This Row],[Load]]&amp;Loads[[#This Row],[Count]]</f>
        <v>44278Product36</v>
      </c>
      <c r="D2162" s="90">
        <v>44278</v>
      </c>
      <c r="E2162" s="143">
        <v>0.10625</v>
      </c>
      <c r="F2162" s="1" t="s">
        <v>9</v>
      </c>
      <c r="G2162" s="2" t="s">
        <v>14</v>
      </c>
      <c r="H2162" s="2" t="s">
        <v>42</v>
      </c>
      <c r="I2162" s="1" t="s">
        <v>11</v>
      </c>
      <c r="J2162" s="1" t="s">
        <v>8</v>
      </c>
      <c r="K2162" s="89">
        <v>9300</v>
      </c>
      <c r="L2162" s="3">
        <v>58.45</v>
      </c>
      <c r="M2162" s="3">
        <v>8.27</v>
      </c>
      <c r="N2162" s="3" t="s">
        <v>8</v>
      </c>
      <c r="O2162" s="3" t="s">
        <v>8</v>
      </c>
    </row>
    <row r="2163" spans="1:15" x14ac:dyDescent="0.35">
      <c r="A2163" s="5" t="str">
        <f>Loads[[#This Row],[Date]]&amp;Loads[[#This Row],[Product]]</f>
        <v>44278Product3</v>
      </c>
      <c r="B2163" s="5">
        <f>COUNTIF($A$1:A2163,Loads[[#This Row],[Load]])</f>
        <v>7</v>
      </c>
      <c r="C2163" s="3" t="str">
        <f>Loads[[#This Row],[Load]]&amp;Loads[[#This Row],[Count]]</f>
        <v>44278Product37</v>
      </c>
      <c r="D2163" s="90">
        <v>44278</v>
      </c>
      <c r="E2163" s="143">
        <v>0.1076388888888889</v>
      </c>
      <c r="F2163" s="1" t="s">
        <v>9</v>
      </c>
      <c r="G2163" s="2" t="s">
        <v>14</v>
      </c>
      <c r="H2163" s="2" t="s">
        <v>42</v>
      </c>
      <c r="I2163" s="1" t="s">
        <v>11</v>
      </c>
      <c r="J2163" s="1" t="s">
        <v>8</v>
      </c>
      <c r="K2163" s="89">
        <v>13800</v>
      </c>
      <c r="L2163" s="3">
        <v>58.34</v>
      </c>
      <c r="M2163" s="3">
        <v>8.35</v>
      </c>
      <c r="N2163" s="3" t="s">
        <v>8</v>
      </c>
      <c r="O2163" s="3" t="s">
        <v>8</v>
      </c>
    </row>
    <row r="2164" spans="1:15" x14ac:dyDescent="0.35">
      <c r="A2164" s="5" t="str">
        <f>Loads[[#This Row],[Date]]&amp;Loads[[#This Row],[Product]]</f>
        <v>44278Product2</v>
      </c>
      <c r="B2164" s="5">
        <f>COUNTIF($A$1:A2164,Loads[[#This Row],[Load]])</f>
        <v>11</v>
      </c>
      <c r="C2164" s="3" t="str">
        <f>Loads[[#This Row],[Load]]&amp;Loads[[#This Row],[Count]]</f>
        <v>44278Product211</v>
      </c>
      <c r="D2164" s="90">
        <v>44278</v>
      </c>
      <c r="E2164" s="143">
        <v>0.10833333333333334</v>
      </c>
      <c r="F2164" s="1" t="s">
        <v>9</v>
      </c>
      <c r="G2164" s="2" t="s">
        <v>13</v>
      </c>
      <c r="H2164" s="2" t="s">
        <v>42</v>
      </c>
      <c r="I2164" s="1" t="s">
        <v>11</v>
      </c>
      <c r="J2164" s="1" t="s">
        <v>8</v>
      </c>
      <c r="K2164" s="89">
        <v>9000</v>
      </c>
      <c r="L2164" s="3">
        <v>60.65</v>
      </c>
      <c r="M2164" s="3">
        <v>7.59</v>
      </c>
      <c r="N2164" s="3" t="s">
        <v>8</v>
      </c>
      <c r="O2164" s="3" t="s">
        <v>8</v>
      </c>
    </row>
    <row r="2165" spans="1:15" x14ac:dyDescent="0.35">
      <c r="A2165" s="5" t="str">
        <f>Loads[[#This Row],[Date]]&amp;Loads[[#This Row],[Product]]</f>
        <v>44278Product3</v>
      </c>
      <c r="B2165" s="5">
        <f>COUNTIF($A$1:A2165,Loads[[#This Row],[Load]])</f>
        <v>8</v>
      </c>
      <c r="C2165" s="3" t="str">
        <f>Loads[[#This Row],[Load]]&amp;Loads[[#This Row],[Count]]</f>
        <v>44278Product38</v>
      </c>
      <c r="D2165" s="90">
        <v>44278</v>
      </c>
      <c r="E2165" s="143">
        <v>0.11041666666666666</v>
      </c>
      <c r="F2165" s="1" t="s">
        <v>9</v>
      </c>
      <c r="G2165" s="2" t="s">
        <v>14</v>
      </c>
      <c r="H2165" s="2" t="s">
        <v>42</v>
      </c>
      <c r="I2165" s="1" t="s">
        <v>11</v>
      </c>
      <c r="J2165" s="1" t="s">
        <v>8</v>
      </c>
      <c r="K2165" s="89">
        <v>11260</v>
      </c>
      <c r="L2165" s="3">
        <v>58.7</v>
      </c>
      <c r="M2165" s="3">
        <v>11.3</v>
      </c>
      <c r="N2165" s="3" t="s">
        <v>8</v>
      </c>
      <c r="O2165" s="3" t="s">
        <v>8</v>
      </c>
    </row>
    <row r="2166" spans="1:15" x14ac:dyDescent="0.35">
      <c r="A2166" s="5" t="str">
        <f>Loads[[#This Row],[Date]]&amp;Loads[[#This Row],[Product]]</f>
        <v>44278Product3</v>
      </c>
      <c r="B2166" s="5">
        <f>COUNTIF($A$1:A2166,Loads[[#This Row],[Load]])</f>
        <v>9</v>
      </c>
      <c r="C2166" s="3" t="str">
        <f>Loads[[#This Row],[Load]]&amp;Loads[[#This Row],[Count]]</f>
        <v>44278Product39</v>
      </c>
      <c r="D2166" s="90">
        <v>44278</v>
      </c>
      <c r="E2166" s="143">
        <v>0.1111111111111111</v>
      </c>
      <c r="F2166" s="1" t="s">
        <v>9</v>
      </c>
      <c r="G2166" s="2" t="s">
        <v>14</v>
      </c>
      <c r="H2166" s="2" t="s">
        <v>42</v>
      </c>
      <c r="I2166" s="1" t="s">
        <v>11</v>
      </c>
      <c r="J2166" s="1" t="s">
        <v>8</v>
      </c>
      <c r="K2166" s="89">
        <v>11340</v>
      </c>
      <c r="L2166" s="3">
        <v>58.34</v>
      </c>
      <c r="M2166" s="3">
        <v>8.35</v>
      </c>
      <c r="N2166" s="3" t="s">
        <v>8</v>
      </c>
      <c r="O2166" s="3" t="s">
        <v>8</v>
      </c>
    </row>
    <row r="2167" spans="1:15" x14ac:dyDescent="0.35">
      <c r="A2167" s="5" t="str">
        <f>Loads[[#This Row],[Date]]&amp;Loads[[#This Row],[Product]]</f>
        <v>44279Product1</v>
      </c>
      <c r="B2167" s="5">
        <f>COUNTIF($A$1:A2167,Loads[[#This Row],[Load]])</f>
        <v>1</v>
      </c>
      <c r="C2167" s="3" t="str">
        <f>Loads[[#This Row],[Load]]&amp;Loads[[#This Row],[Count]]</f>
        <v>44279Product11</v>
      </c>
      <c r="D2167" s="90">
        <v>44279</v>
      </c>
      <c r="E2167" s="143">
        <v>0.31527777777777777</v>
      </c>
      <c r="F2167" s="1" t="s">
        <v>9</v>
      </c>
      <c r="G2167" s="2" t="s">
        <v>12</v>
      </c>
      <c r="H2167" s="2" t="s">
        <v>42</v>
      </c>
      <c r="I2167" s="1" t="s">
        <v>11</v>
      </c>
      <c r="J2167" s="1" t="s">
        <v>8</v>
      </c>
      <c r="K2167" s="89">
        <v>30420</v>
      </c>
      <c r="L2167" s="3">
        <v>8.43</v>
      </c>
      <c r="M2167" s="3">
        <v>20.9</v>
      </c>
      <c r="N2167" s="3" t="s">
        <v>8</v>
      </c>
      <c r="O2167" s="3" t="s">
        <v>8</v>
      </c>
    </row>
    <row r="2168" spans="1:15" ht="12.75" customHeight="1" x14ac:dyDescent="0.35">
      <c r="A2168" s="5" t="str">
        <f>Loads[[#This Row],[Date]]&amp;Loads[[#This Row],[Product]]</f>
        <v>44279Product6</v>
      </c>
      <c r="B2168" s="5">
        <f>COUNTIF($A$1:A2168,Loads[[#This Row],[Load]])</f>
        <v>1</v>
      </c>
      <c r="C2168" s="3" t="str">
        <f>Loads[[#This Row],[Load]]&amp;Loads[[#This Row],[Count]]</f>
        <v>44279Product61</v>
      </c>
      <c r="D2168" s="90">
        <v>44279</v>
      </c>
      <c r="E2168" s="143">
        <v>0.31597222222222221</v>
      </c>
      <c r="F2168" s="1" t="s">
        <v>9</v>
      </c>
      <c r="G2168" s="2" t="s">
        <v>17</v>
      </c>
      <c r="H2168" s="2" t="s">
        <v>42</v>
      </c>
      <c r="I2168" s="1" t="s">
        <v>11</v>
      </c>
      <c r="J2168" s="1" t="s">
        <v>8</v>
      </c>
      <c r="K2168" s="89">
        <v>34780</v>
      </c>
      <c r="L2168" s="3">
        <v>7.0000000000000007E-2</v>
      </c>
      <c r="M2168" s="3" t="s">
        <v>8</v>
      </c>
      <c r="N2168" s="3">
        <v>1.94</v>
      </c>
      <c r="O2168" s="3" t="s">
        <v>8</v>
      </c>
    </row>
    <row r="2169" spans="1:15" ht="12.75" customHeight="1" x14ac:dyDescent="0.35">
      <c r="A2169" s="5" t="str">
        <f>Loads[[#This Row],[Date]]&amp;Loads[[#This Row],[Product]]</f>
        <v>44279Product4</v>
      </c>
      <c r="B2169" s="5">
        <f>COUNTIF($A$1:A2169,Loads[[#This Row],[Load]])</f>
        <v>1</v>
      </c>
      <c r="C2169" s="3" t="str">
        <f>Loads[[#This Row],[Load]]&amp;Loads[[#This Row],[Count]]</f>
        <v>44279Product41</v>
      </c>
      <c r="D2169" s="90">
        <v>44279</v>
      </c>
      <c r="E2169" s="143">
        <v>0.31597222222222221</v>
      </c>
      <c r="F2169" s="1" t="s">
        <v>9</v>
      </c>
      <c r="G2169" s="2" t="s">
        <v>15</v>
      </c>
      <c r="H2169" s="2" t="s">
        <v>42</v>
      </c>
      <c r="I2169" s="1" t="s">
        <v>0</v>
      </c>
      <c r="J2169" s="1">
        <v>24</v>
      </c>
      <c r="K2169" s="89">
        <v>29260</v>
      </c>
      <c r="L2169" s="3">
        <v>8.6199999999999992</v>
      </c>
      <c r="M2169" s="3">
        <v>60.76</v>
      </c>
      <c r="N2169" s="3" t="s">
        <v>8</v>
      </c>
      <c r="O2169" s="3" t="s">
        <v>8</v>
      </c>
    </row>
    <row r="2170" spans="1:15" ht="12.75" customHeight="1" x14ac:dyDescent="0.35">
      <c r="A2170" s="5" t="str">
        <f>Loads[[#This Row],[Date]]&amp;Loads[[#This Row],[Product]]</f>
        <v>44279Product1</v>
      </c>
      <c r="B2170" s="5">
        <f>COUNTIF($A$1:A2170,Loads[[#This Row],[Load]])</f>
        <v>2</v>
      </c>
      <c r="C2170" s="3" t="str">
        <f>Loads[[#This Row],[Load]]&amp;Loads[[#This Row],[Count]]</f>
        <v>44279Product12</v>
      </c>
      <c r="D2170" s="90">
        <v>44279</v>
      </c>
      <c r="E2170" s="143">
        <v>0.31666666666666665</v>
      </c>
      <c r="F2170" s="1" t="s">
        <v>9</v>
      </c>
      <c r="G2170" s="2" t="s">
        <v>12</v>
      </c>
      <c r="H2170" s="2" t="s">
        <v>42</v>
      </c>
      <c r="I2170" s="1" t="s">
        <v>10</v>
      </c>
      <c r="J2170" s="1">
        <v>800</v>
      </c>
      <c r="K2170" s="89">
        <v>31700</v>
      </c>
      <c r="L2170" s="3">
        <v>6.55</v>
      </c>
      <c r="M2170" s="3">
        <v>21.55</v>
      </c>
      <c r="N2170" s="3" t="s">
        <v>8</v>
      </c>
      <c r="O2170" s="3" t="s">
        <v>8</v>
      </c>
    </row>
    <row r="2171" spans="1:15" ht="12.75" customHeight="1" x14ac:dyDescent="0.35">
      <c r="A2171" s="5" t="str">
        <f>Loads[[#This Row],[Date]]&amp;Loads[[#This Row],[Product]]</f>
        <v>44279Product4</v>
      </c>
      <c r="B2171" s="5">
        <f>COUNTIF($A$1:A2171,Loads[[#This Row],[Load]])</f>
        <v>2</v>
      </c>
      <c r="C2171" s="3" t="str">
        <f>Loads[[#This Row],[Load]]&amp;Loads[[#This Row],[Count]]</f>
        <v>44279Product42</v>
      </c>
      <c r="D2171" s="90">
        <v>44279</v>
      </c>
      <c r="E2171" s="143">
        <v>0.99375000000000002</v>
      </c>
      <c r="F2171" s="1" t="s">
        <v>9</v>
      </c>
      <c r="G2171" s="2" t="s">
        <v>15</v>
      </c>
      <c r="H2171" s="2" t="s">
        <v>42</v>
      </c>
      <c r="I2171" s="1" t="s">
        <v>11</v>
      </c>
      <c r="J2171" s="1" t="s">
        <v>8</v>
      </c>
      <c r="K2171" s="89">
        <v>24300</v>
      </c>
      <c r="L2171" s="3">
        <v>10.28</v>
      </c>
      <c r="M2171" s="3">
        <v>62.14</v>
      </c>
      <c r="N2171" s="3" t="s">
        <v>8</v>
      </c>
      <c r="O2171" s="3" t="s">
        <v>8</v>
      </c>
    </row>
    <row r="2172" spans="1:15" ht="12.75" customHeight="1" x14ac:dyDescent="0.35">
      <c r="A2172" s="5" t="str">
        <f>Loads[[#This Row],[Date]]&amp;Loads[[#This Row],[Product]]</f>
        <v>44279Product1</v>
      </c>
      <c r="B2172" s="5">
        <f>COUNTIF($A$1:A2172,Loads[[#This Row],[Load]])</f>
        <v>3</v>
      </c>
      <c r="C2172" s="3" t="str">
        <f>Loads[[#This Row],[Load]]&amp;Loads[[#This Row],[Count]]</f>
        <v>44279Product13</v>
      </c>
      <c r="D2172" s="90">
        <v>44279</v>
      </c>
      <c r="E2172" s="143">
        <v>0.99513888888888891</v>
      </c>
      <c r="F2172" s="1" t="s">
        <v>9</v>
      </c>
      <c r="G2172" s="2" t="s">
        <v>12</v>
      </c>
      <c r="H2172" s="2" t="s">
        <v>42</v>
      </c>
      <c r="I2172" s="1" t="s">
        <v>10</v>
      </c>
      <c r="J2172" s="1">
        <v>800</v>
      </c>
      <c r="K2172" s="89">
        <v>30880</v>
      </c>
      <c r="L2172" s="3">
        <v>8.5</v>
      </c>
      <c r="M2172" s="3">
        <v>20.8</v>
      </c>
      <c r="N2172" s="3" t="s">
        <v>8</v>
      </c>
      <c r="O2172" s="3" t="s">
        <v>8</v>
      </c>
    </row>
    <row r="2173" spans="1:15" ht="12.75" customHeight="1" x14ac:dyDescent="0.35">
      <c r="A2173" s="5" t="str">
        <f>Loads[[#This Row],[Date]]&amp;Loads[[#This Row],[Product]]</f>
        <v>44279Product1</v>
      </c>
      <c r="B2173" s="5">
        <f>COUNTIF($A$1:A2173,Loads[[#This Row],[Load]])</f>
        <v>4</v>
      </c>
      <c r="C2173" s="3" t="str">
        <f>Loads[[#This Row],[Load]]&amp;Loads[[#This Row],[Count]]</f>
        <v>44279Product14</v>
      </c>
      <c r="D2173" s="90">
        <v>44279</v>
      </c>
      <c r="E2173" s="143">
        <v>0.99583333333333324</v>
      </c>
      <c r="F2173" s="1" t="s">
        <v>9</v>
      </c>
      <c r="G2173" s="2" t="s">
        <v>12</v>
      </c>
      <c r="H2173" s="2" t="s">
        <v>42</v>
      </c>
      <c r="I2173" s="1" t="s">
        <v>11</v>
      </c>
      <c r="J2173" s="1" t="s">
        <v>8</v>
      </c>
      <c r="K2173" s="89">
        <v>33700</v>
      </c>
      <c r="L2173" s="3">
        <v>6.82</v>
      </c>
      <c r="M2173" s="3">
        <v>20.62</v>
      </c>
      <c r="N2173" s="3" t="s">
        <v>8</v>
      </c>
      <c r="O2173" s="3" t="s">
        <v>8</v>
      </c>
    </row>
    <row r="2174" spans="1:15" ht="12.75" customHeight="1" x14ac:dyDescent="0.35">
      <c r="A2174" s="5" t="str">
        <f>Loads[[#This Row],[Date]]&amp;Loads[[#This Row],[Product]]</f>
        <v>44279Product1</v>
      </c>
      <c r="B2174" s="5">
        <f>COUNTIF($A$1:A2174,Loads[[#This Row],[Load]])</f>
        <v>5</v>
      </c>
      <c r="C2174" s="3" t="str">
        <f>Loads[[#This Row],[Load]]&amp;Loads[[#This Row],[Count]]</f>
        <v>44279Product15</v>
      </c>
      <c r="D2174" s="90">
        <v>44279</v>
      </c>
      <c r="E2174" s="143">
        <v>0.99652777777777779</v>
      </c>
      <c r="F2174" s="1" t="s">
        <v>9</v>
      </c>
      <c r="G2174" s="2" t="s">
        <v>12</v>
      </c>
      <c r="H2174" s="2" t="s">
        <v>42</v>
      </c>
      <c r="I2174" s="1" t="s">
        <v>10</v>
      </c>
      <c r="J2174" s="1">
        <v>650</v>
      </c>
      <c r="K2174" s="89">
        <v>25860</v>
      </c>
      <c r="L2174" s="3">
        <v>9.23</v>
      </c>
      <c r="M2174" s="3">
        <v>20.76</v>
      </c>
      <c r="N2174" s="3" t="s">
        <v>8</v>
      </c>
      <c r="O2174" s="3" t="s">
        <v>8</v>
      </c>
    </row>
    <row r="2175" spans="1:15" x14ac:dyDescent="0.35">
      <c r="A2175" s="5" t="str">
        <f>Loads[[#This Row],[Date]]&amp;Loads[[#This Row],[Product]]</f>
        <v>44279Product4</v>
      </c>
      <c r="B2175" s="5">
        <f>COUNTIF($A$1:A2175,Loads[[#This Row],[Load]])</f>
        <v>3</v>
      </c>
      <c r="C2175" s="3" t="str">
        <f>Loads[[#This Row],[Load]]&amp;Loads[[#This Row],[Count]]</f>
        <v>44279Product43</v>
      </c>
      <c r="D2175" s="90">
        <v>44279</v>
      </c>
      <c r="E2175" s="143">
        <v>0.99652777777777779</v>
      </c>
      <c r="F2175" s="1" t="s">
        <v>9</v>
      </c>
      <c r="G2175" s="2" t="s">
        <v>15</v>
      </c>
      <c r="H2175" s="2" t="s">
        <v>42</v>
      </c>
      <c r="I2175" s="1" t="s">
        <v>11</v>
      </c>
      <c r="J2175" s="1" t="s">
        <v>8</v>
      </c>
      <c r="K2175" s="89">
        <v>31160</v>
      </c>
      <c r="L2175" s="3">
        <v>9.02</v>
      </c>
      <c r="M2175" s="3">
        <v>63.4</v>
      </c>
      <c r="N2175" s="3" t="s">
        <v>8</v>
      </c>
      <c r="O2175" s="3" t="s">
        <v>8</v>
      </c>
    </row>
    <row r="2176" spans="1:15" x14ac:dyDescent="0.35">
      <c r="A2176" s="5" t="str">
        <f>Loads[[#This Row],[Date]]&amp;Loads[[#This Row],[Product]]</f>
        <v>44279Product1</v>
      </c>
      <c r="B2176" s="5">
        <f>COUNTIF($A$1:A2176,Loads[[#This Row],[Load]])</f>
        <v>6</v>
      </c>
      <c r="C2176" s="3" t="str">
        <f>Loads[[#This Row],[Load]]&amp;Loads[[#This Row],[Count]]</f>
        <v>44279Product16</v>
      </c>
      <c r="D2176" s="90">
        <v>44279</v>
      </c>
      <c r="E2176" s="143">
        <v>0.99791666666666667</v>
      </c>
      <c r="F2176" s="1" t="s">
        <v>9</v>
      </c>
      <c r="G2176" s="2" t="s">
        <v>12</v>
      </c>
      <c r="H2176" s="2" t="s">
        <v>42</v>
      </c>
      <c r="I2176" s="1" t="s">
        <v>10</v>
      </c>
      <c r="J2176" s="1">
        <v>760</v>
      </c>
      <c r="K2176" s="89">
        <v>30320</v>
      </c>
      <c r="L2176" s="3">
        <v>8.77</v>
      </c>
      <c r="M2176" s="3">
        <v>21.01</v>
      </c>
      <c r="N2176" s="3" t="s">
        <v>8</v>
      </c>
      <c r="O2176" s="3" t="s">
        <v>8</v>
      </c>
    </row>
    <row r="2177" spans="1:15" x14ac:dyDescent="0.35">
      <c r="A2177" s="5" t="str">
        <f>Loads[[#This Row],[Date]]&amp;Loads[[#This Row],[Product]]</f>
        <v>44279Product4</v>
      </c>
      <c r="B2177" s="5">
        <f>COUNTIF($A$1:A2177,Loads[[#This Row],[Load]])</f>
        <v>4</v>
      </c>
      <c r="C2177" s="3" t="str">
        <f>Loads[[#This Row],[Load]]&amp;Loads[[#This Row],[Count]]</f>
        <v>44279Product44</v>
      </c>
      <c r="D2177" s="90">
        <v>44279</v>
      </c>
      <c r="E2177" s="143">
        <v>0.99791666666666667</v>
      </c>
      <c r="F2177" s="1" t="s">
        <v>9</v>
      </c>
      <c r="G2177" s="2" t="s">
        <v>15</v>
      </c>
      <c r="H2177" s="2" t="s">
        <v>42</v>
      </c>
      <c r="I2177" s="1" t="s">
        <v>11</v>
      </c>
      <c r="J2177" s="1" t="s">
        <v>8</v>
      </c>
      <c r="K2177" s="89">
        <v>29940</v>
      </c>
      <c r="L2177" s="3">
        <v>8.99</v>
      </c>
      <c r="M2177" s="3">
        <v>63.16</v>
      </c>
      <c r="N2177" s="3" t="s">
        <v>8</v>
      </c>
      <c r="O2177" s="3" t="s">
        <v>8</v>
      </c>
    </row>
    <row r="2178" spans="1:15" x14ac:dyDescent="0.35">
      <c r="A2178" s="5" t="str">
        <f>Loads[[#This Row],[Date]]&amp;Loads[[#This Row],[Product]]</f>
        <v>44279Product8</v>
      </c>
      <c r="B2178" s="5">
        <f>COUNTIF($A$1:A2178,Loads[[#This Row],[Load]])</f>
        <v>1</v>
      </c>
      <c r="C2178" s="3" t="str">
        <f>Loads[[#This Row],[Load]]&amp;Loads[[#This Row],[Count]]</f>
        <v>44279Product81</v>
      </c>
      <c r="D2178" s="90">
        <v>44279</v>
      </c>
      <c r="E2178" s="143">
        <v>0.99861111111111101</v>
      </c>
      <c r="F2178" s="1" t="s">
        <v>9</v>
      </c>
      <c r="G2178" s="2" t="s">
        <v>19</v>
      </c>
      <c r="H2178" s="2" t="s">
        <v>42</v>
      </c>
      <c r="I2178" s="1" t="s">
        <v>11</v>
      </c>
      <c r="J2178" s="1" t="s">
        <v>8</v>
      </c>
      <c r="K2178" s="89">
        <v>12840</v>
      </c>
      <c r="L2178" s="3">
        <v>11.32</v>
      </c>
      <c r="M2178" s="3">
        <v>7.02</v>
      </c>
      <c r="N2178" s="3" t="s">
        <v>8</v>
      </c>
      <c r="O2178" s="3" t="s">
        <v>8</v>
      </c>
    </row>
    <row r="2179" spans="1:15" x14ac:dyDescent="0.35">
      <c r="A2179" s="5" t="str">
        <f>Loads[[#This Row],[Date]]&amp;Loads[[#This Row],[Product]]</f>
        <v>44279Product6</v>
      </c>
      <c r="B2179" s="5">
        <f>COUNTIF($A$1:A2179,Loads[[#This Row],[Load]])</f>
        <v>2</v>
      </c>
      <c r="C2179" s="3" t="str">
        <f>Loads[[#This Row],[Load]]&amp;Loads[[#This Row],[Count]]</f>
        <v>44279Product62</v>
      </c>
      <c r="D2179" s="90">
        <v>44279</v>
      </c>
      <c r="E2179" s="143">
        <v>0.99930555555555556</v>
      </c>
      <c r="F2179" s="1" t="s">
        <v>9</v>
      </c>
      <c r="G2179" s="2" t="s">
        <v>17</v>
      </c>
      <c r="H2179" s="2" t="s">
        <v>42</v>
      </c>
      <c r="I2179" s="1" t="s">
        <v>11</v>
      </c>
      <c r="J2179" s="1" t="s">
        <v>8</v>
      </c>
      <c r="K2179" s="89">
        <v>34280</v>
      </c>
      <c r="L2179" s="3">
        <v>7.0000000000000007E-2</v>
      </c>
      <c r="M2179" s="3" t="s">
        <v>8</v>
      </c>
      <c r="N2179" s="3">
        <v>1.94</v>
      </c>
      <c r="O2179" s="3" t="s">
        <v>8</v>
      </c>
    </row>
    <row r="2180" spans="1:15" x14ac:dyDescent="0.35">
      <c r="A2180" s="5" t="str">
        <f>Loads[[#This Row],[Date]]&amp;Loads[[#This Row],[Product]]</f>
        <v>44279Product7</v>
      </c>
      <c r="B2180" s="5">
        <f>COUNTIF($A$1:A2180,Loads[[#This Row],[Load]])</f>
        <v>1</v>
      </c>
      <c r="C2180" s="3" t="str">
        <f>Loads[[#This Row],[Load]]&amp;Loads[[#This Row],[Count]]</f>
        <v>44279Product71</v>
      </c>
      <c r="D2180" s="90">
        <v>44279</v>
      </c>
      <c r="E2180" s="143">
        <v>0</v>
      </c>
      <c r="F2180" s="1" t="s">
        <v>9</v>
      </c>
      <c r="G2180" s="2" t="s">
        <v>18</v>
      </c>
      <c r="H2180" s="2" t="s">
        <v>42</v>
      </c>
      <c r="I2180" s="1" t="s">
        <v>11</v>
      </c>
      <c r="J2180" s="1" t="s">
        <v>8</v>
      </c>
      <c r="K2180" s="89">
        <v>23380</v>
      </c>
      <c r="L2180" s="3" t="s">
        <v>8</v>
      </c>
      <c r="M2180" s="3">
        <v>24</v>
      </c>
      <c r="N2180" s="3" t="s">
        <v>8</v>
      </c>
      <c r="O2180" s="3">
        <v>45.62</v>
      </c>
    </row>
    <row r="2181" spans="1:15" x14ac:dyDescent="0.35">
      <c r="A2181" s="5" t="str">
        <f>Loads[[#This Row],[Date]]&amp;Loads[[#This Row],[Product]]</f>
        <v>44279Product1</v>
      </c>
      <c r="B2181" s="5">
        <f>COUNTIF($A$1:A2181,Loads[[#This Row],[Load]])</f>
        <v>7</v>
      </c>
      <c r="C2181" s="3" t="str">
        <f>Loads[[#This Row],[Load]]&amp;Loads[[#This Row],[Count]]</f>
        <v>44279Product17</v>
      </c>
      <c r="D2181" s="90">
        <v>44279</v>
      </c>
      <c r="E2181" s="143">
        <v>6.9444444444444447E-4</v>
      </c>
      <c r="F2181" s="1" t="s">
        <v>9</v>
      </c>
      <c r="G2181" s="2" t="s">
        <v>12</v>
      </c>
      <c r="H2181" s="2" t="s">
        <v>42</v>
      </c>
      <c r="I2181" s="1" t="s">
        <v>11</v>
      </c>
      <c r="J2181" s="1" t="s">
        <v>8</v>
      </c>
      <c r="K2181" s="89">
        <v>33820</v>
      </c>
      <c r="L2181" s="3">
        <v>7.13</v>
      </c>
      <c r="M2181" s="3">
        <v>20.93</v>
      </c>
      <c r="N2181" s="3" t="s">
        <v>8</v>
      </c>
      <c r="O2181" s="3" t="s">
        <v>8</v>
      </c>
    </row>
    <row r="2182" spans="1:15" x14ac:dyDescent="0.35">
      <c r="A2182" s="5" t="str">
        <f>Loads[[#This Row],[Date]]&amp;Loads[[#This Row],[Product]]</f>
        <v>44279Product8</v>
      </c>
      <c r="B2182" s="5">
        <f>COUNTIF($A$1:A2182,Loads[[#This Row],[Load]])</f>
        <v>2</v>
      </c>
      <c r="C2182" s="3" t="str">
        <f>Loads[[#This Row],[Load]]&amp;Loads[[#This Row],[Count]]</f>
        <v>44279Product82</v>
      </c>
      <c r="D2182" s="90">
        <v>44279</v>
      </c>
      <c r="E2182" s="143">
        <v>3.472222222222222E-3</v>
      </c>
      <c r="F2182" s="1" t="s">
        <v>9</v>
      </c>
      <c r="G2182" s="2" t="s">
        <v>19</v>
      </c>
      <c r="H2182" s="2" t="s">
        <v>42</v>
      </c>
      <c r="I2182" s="1" t="s">
        <v>11</v>
      </c>
      <c r="J2182" s="1" t="s">
        <v>8</v>
      </c>
      <c r="K2182" s="89">
        <v>12000</v>
      </c>
      <c r="L2182" s="3">
        <v>11.38</v>
      </c>
      <c r="M2182" s="3">
        <v>7.02</v>
      </c>
      <c r="N2182" s="3" t="s">
        <v>8</v>
      </c>
      <c r="O2182" s="3" t="s">
        <v>8</v>
      </c>
    </row>
    <row r="2183" spans="1:15" x14ac:dyDescent="0.35">
      <c r="A2183" s="5" t="str">
        <f>Loads[[#This Row],[Date]]&amp;Loads[[#This Row],[Product]]</f>
        <v>44279Product1</v>
      </c>
      <c r="B2183" s="5">
        <f>COUNTIF($A$1:A2183,Loads[[#This Row],[Load]])</f>
        <v>8</v>
      </c>
      <c r="C2183" s="3" t="str">
        <f>Loads[[#This Row],[Load]]&amp;Loads[[#This Row],[Count]]</f>
        <v>44279Product18</v>
      </c>
      <c r="D2183" s="90">
        <v>44279</v>
      </c>
      <c r="E2183" s="143">
        <v>4.1666666666666666E-3</v>
      </c>
      <c r="F2183" s="1" t="s">
        <v>9</v>
      </c>
      <c r="G2183" s="2" t="s">
        <v>12</v>
      </c>
      <c r="H2183" s="2" t="s">
        <v>42</v>
      </c>
      <c r="I2183" s="1" t="s">
        <v>10</v>
      </c>
      <c r="J2183" s="1">
        <v>175</v>
      </c>
      <c r="K2183" s="89">
        <v>6960</v>
      </c>
      <c r="L2183" s="3">
        <v>8.16</v>
      </c>
      <c r="M2183" s="3">
        <v>21.87</v>
      </c>
      <c r="N2183" s="3" t="s">
        <v>8</v>
      </c>
      <c r="O2183" s="3" t="s">
        <v>8</v>
      </c>
    </row>
    <row r="2184" spans="1:15" x14ac:dyDescent="0.35">
      <c r="A2184" s="5" t="str">
        <f>Loads[[#This Row],[Date]]&amp;Loads[[#This Row],[Product]]</f>
        <v>44279Product3</v>
      </c>
      <c r="B2184" s="5">
        <f>COUNTIF($A$1:A2184,Loads[[#This Row],[Load]])</f>
        <v>1</v>
      </c>
      <c r="C2184" s="3" t="str">
        <f>Loads[[#This Row],[Load]]&amp;Loads[[#This Row],[Count]]</f>
        <v>44279Product31</v>
      </c>
      <c r="D2184" s="90">
        <v>44279</v>
      </c>
      <c r="E2184" s="143">
        <v>9.5138888888888884E-2</v>
      </c>
      <c r="F2184" s="1" t="s">
        <v>9</v>
      </c>
      <c r="G2184" s="2" t="s">
        <v>14</v>
      </c>
      <c r="H2184" s="2" t="s">
        <v>42</v>
      </c>
      <c r="I2184" s="1" t="s">
        <v>11</v>
      </c>
      <c r="J2184" s="1" t="s">
        <v>8</v>
      </c>
      <c r="K2184" s="89">
        <v>12440</v>
      </c>
      <c r="L2184" s="3">
        <v>57.89</v>
      </c>
      <c r="M2184" s="3">
        <v>9.48</v>
      </c>
      <c r="N2184" s="3" t="s">
        <v>8</v>
      </c>
      <c r="O2184" s="3" t="s">
        <v>8</v>
      </c>
    </row>
    <row r="2185" spans="1:15" x14ac:dyDescent="0.35">
      <c r="A2185" s="5" t="str">
        <f>Loads[[#This Row],[Date]]&amp;Loads[[#This Row],[Product]]</f>
        <v>44279Product2</v>
      </c>
      <c r="B2185" s="5">
        <f>COUNTIF($A$1:A2185,Loads[[#This Row],[Load]])</f>
        <v>1</v>
      </c>
      <c r="C2185" s="3" t="str">
        <f>Loads[[#This Row],[Load]]&amp;Loads[[#This Row],[Count]]</f>
        <v>44279Product21</v>
      </c>
      <c r="D2185" s="90">
        <v>44279</v>
      </c>
      <c r="E2185" s="143">
        <v>9.5833333333333326E-2</v>
      </c>
      <c r="F2185" s="1" t="s">
        <v>9</v>
      </c>
      <c r="G2185" s="2" t="s">
        <v>13</v>
      </c>
      <c r="H2185" s="2" t="s">
        <v>42</v>
      </c>
      <c r="I2185" s="1" t="s">
        <v>11</v>
      </c>
      <c r="J2185" s="1" t="s">
        <v>8</v>
      </c>
      <c r="K2185" s="89">
        <v>17600</v>
      </c>
      <c r="L2185" s="3">
        <v>62.64</v>
      </c>
      <c r="M2185" s="3">
        <v>8.4499999999999993</v>
      </c>
      <c r="N2185" s="3" t="s">
        <v>8</v>
      </c>
      <c r="O2185" s="3" t="s">
        <v>8</v>
      </c>
    </row>
    <row r="2186" spans="1:15" x14ac:dyDescent="0.35">
      <c r="A2186" s="5" t="str">
        <f>Loads[[#This Row],[Date]]&amp;Loads[[#This Row],[Product]]</f>
        <v>44279Product2</v>
      </c>
      <c r="B2186" s="5">
        <f>COUNTIF($A$1:A2186,Loads[[#This Row],[Load]])</f>
        <v>2</v>
      </c>
      <c r="C2186" s="3" t="str">
        <f>Loads[[#This Row],[Load]]&amp;Loads[[#This Row],[Count]]</f>
        <v>44279Product22</v>
      </c>
      <c r="D2186" s="90">
        <v>44279</v>
      </c>
      <c r="E2186" s="143">
        <v>9.6527777777777768E-2</v>
      </c>
      <c r="F2186" s="1" t="s">
        <v>9</v>
      </c>
      <c r="G2186" s="2" t="s">
        <v>13</v>
      </c>
      <c r="H2186" s="2" t="s">
        <v>42</v>
      </c>
      <c r="I2186" s="1" t="s">
        <v>11</v>
      </c>
      <c r="J2186" s="1" t="s">
        <v>8</v>
      </c>
      <c r="K2186" s="89">
        <v>12780</v>
      </c>
      <c r="L2186" s="3">
        <v>60.02</v>
      </c>
      <c r="M2186" s="3">
        <v>8.4499999999999993</v>
      </c>
      <c r="N2186" s="3" t="s">
        <v>8</v>
      </c>
      <c r="O2186" s="3" t="s">
        <v>8</v>
      </c>
    </row>
    <row r="2187" spans="1:15" x14ac:dyDescent="0.35">
      <c r="A2187" s="5" t="str">
        <f>Loads[[#This Row],[Date]]&amp;Loads[[#This Row],[Product]]</f>
        <v>44279Product2</v>
      </c>
      <c r="B2187" s="5">
        <f>COUNTIF($A$1:A2187,Loads[[#This Row],[Load]])</f>
        <v>3</v>
      </c>
      <c r="C2187" s="3" t="str">
        <f>Loads[[#This Row],[Load]]&amp;Loads[[#This Row],[Count]]</f>
        <v>44279Product23</v>
      </c>
      <c r="D2187" s="90">
        <v>44279</v>
      </c>
      <c r="E2187" s="143">
        <v>9.6527777777777768E-2</v>
      </c>
      <c r="F2187" s="1" t="s">
        <v>9</v>
      </c>
      <c r="G2187" s="2" t="s">
        <v>13</v>
      </c>
      <c r="H2187" s="2" t="s">
        <v>42</v>
      </c>
      <c r="I2187" s="1" t="s">
        <v>11</v>
      </c>
      <c r="J2187" s="1" t="s">
        <v>8</v>
      </c>
      <c r="K2187" s="89">
        <v>12720</v>
      </c>
      <c r="L2187" s="3">
        <v>61.02</v>
      </c>
      <c r="M2187" s="3">
        <v>7.77</v>
      </c>
      <c r="N2187" s="3" t="s">
        <v>8</v>
      </c>
      <c r="O2187" s="3" t="s">
        <v>8</v>
      </c>
    </row>
    <row r="2188" spans="1:15" x14ac:dyDescent="0.35">
      <c r="A2188" s="5" t="str">
        <f>Loads[[#This Row],[Date]]&amp;Loads[[#This Row],[Product]]</f>
        <v>44279Product3</v>
      </c>
      <c r="B2188" s="5">
        <f>COUNTIF($A$1:A2188,Loads[[#This Row],[Load]])</f>
        <v>2</v>
      </c>
      <c r="C2188" s="3" t="str">
        <f>Loads[[#This Row],[Load]]&amp;Loads[[#This Row],[Count]]</f>
        <v>44279Product32</v>
      </c>
      <c r="D2188" s="90">
        <v>44279</v>
      </c>
      <c r="E2188" s="143">
        <v>9.7222222222222224E-2</v>
      </c>
      <c r="F2188" s="1" t="s">
        <v>9</v>
      </c>
      <c r="G2188" s="2" t="s">
        <v>14</v>
      </c>
      <c r="H2188" s="2" t="s">
        <v>42</v>
      </c>
      <c r="I2188" s="1" t="s">
        <v>11</v>
      </c>
      <c r="J2188" s="1" t="s">
        <v>8</v>
      </c>
      <c r="K2188" s="89">
        <v>12500</v>
      </c>
      <c r="L2188" s="3">
        <v>58.04</v>
      </c>
      <c r="M2188" s="3">
        <v>11.53</v>
      </c>
      <c r="N2188" s="3" t="s">
        <v>8</v>
      </c>
      <c r="O2188" s="3" t="s">
        <v>8</v>
      </c>
    </row>
    <row r="2189" spans="1:15" x14ac:dyDescent="0.35">
      <c r="A2189" s="5" t="str">
        <f>Loads[[#This Row],[Date]]&amp;Loads[[#This Row],[Product]]</f>
        <v>44279Product2</v>
      </c>
      <c r="B2189" s="5">
        <f>COUNTIF($A$1:A2189,Loads[[#This Row],[Load]])</f>
        <v>4</v>
      </c>
      <c r="C2189" s="3" t="str">
        <f>Loads[[#This Row],[Load]]&amp;Loads[[#This Row],[Count]]</f>
        <v>44279Product24</v>
      </c>
      <c r="D2189" s="90">
        <v>44279</v>
      </c>
      <c r="E2189" s="143">
        <v>0.1013888888888889</v>
      </c>
      <c r="F2189" s="1" t="s">
        <v>9</v>
      </c>
      <c r="G2189" s="2" t="s">
        <v>13</v>
      </c>
      <c r="H2189" s="2" t="s">
        <v>42</v>
      </c>
      <c r="I2189" s="1" t="s">
        <v>11</v>
      </c>
      <c r="J2189" s="1" t="s">
        <v>8</v>
      </c>
      <c r="K2189" s="89">
        <v>10440</v>
      </c>
      <c r="L2189" s="3">
        <v>60.1</v>
      </c>
      <c r="M2189" s="3">
        <v>9.2200000000000006</v>
      </c>
      <c r="N2189" s="3" t="s">
        <v>8</v>
      </c>
      <c r="O2189" s="3" t="s">
        <v>8</v>
      </c>
    </row>
    <row r="2190" spans="1:15" x14ac:dyDescent="0.35">
      <c r="A2190" s="5" t="str">
        <f>Loads[[#This Row],[Date]]&amp;Loads[[#This Row],[Product]]</f>
        <v>44279Product3</v>
      </c>
      <c r="B2190" s="5">
        <f>COUNTIF($A$1:A2190,Loads[[#This Row],[Load]])</f>
        <v>3</v>
      </c>
      <c r="C2190" s="3" t="str">
        <f>Loads[[#This Row],[Load]]&amp;Loads[[#This Row],[Count]]</f>
        <v>44279Product33</v>
      </c>
      <c r="D2190" s="90">
        <v>44279</v>
      </c>
      <c r="E2190" s="143">
        <v>0.10208333333333335</v>
      </c>
      <c r="F2190" s="1" t="s">
        <v>9</v>
      </c>
      <c r="G2190" s="2" t="s">
        <v>14</v>
      </c>
      <c r="H2190" s="2" t="s">
        <v>42</v>
      </c>
      <c r="I2190" s="1" t="s">
        <v>11</v>
      </c>
      <c r="J2190" s="1" t="s">
        <v>8</v>
      </c>
      <c r="K2190" s="89">
        <v>11740</v>
      </c>
      <c r="L2190" s="3">
        <v>58.02</v>
      </c>
      <c r="M2190" s="3">
        <v>10.82</v>
      </c>
      <c r="N2190" s="3" t="s">
        <v>8</v>
      </c>
      <c r="O2190" s="3" t="s">
        <v>8</v>
      </c>
    </row>
    <row r="2191" spans="1:15" x14ac:dyDescent="0.35">
      <c r="A2191" s="5" t="str">
        <f>Loads[[#This Row],[Date]]&amp;Loads[[#This Row],[Product]]</f>
        <v>44279Product2</v>
      </c>
      <c r="B2191" s="5">
        <f>COUNTIF($A$1:A2191,Loads[[#This Row],[Load]])</f>
        <v>5</v>
      </c>
      <c r="C2191" s="3" t="str">
        <f>Loads[[#This Row],[Load]]&amp;Loads[[#This Row],[Count]]</f>
        <v>44279Product25</v>
      </c>
      <c r="D2191" s="90">
        <v>44279</v>
      </c>
      <c r="E2191" s="143">
        <v>0.10277777777777779</v>
      </c>
      <c r="F2191" s="1" t="s">
        <v>9</v>
      </c>
      <c r="G2191" s="2" t="s">
        <v>13</v>
      </c>
      <c r="H2191" s="2" t="s">
        <v>42</v>
      </c>
      <c r="I2191" s="1" t="s">
        <v>11</v>
      </c>
      <c r="J2191" s="1" t="s">
        <v>8</v>
      </c>
      <c r="K2191" s="89">
        <v>16000</v>
      </c>
      <c r="L2191" s="3">
        <v>59.57</v>
      </c>
      <c r="M2191" s="3">
        <v>8.7100000000000009</v>
      </c>
      <c r="N2191" s="3" t="s">
        <v>8</v>
      </c>
      <c r="O2191" s="3" t="s">
        <v>8</v>
      </c>
    </row>
    <row r="2192" spans="1:15" x14ac:dyDescent="0.35">
      <c r="A2192" s="5" t="str">
        <f>Loads[[#This Row],[Date]]&amp;Loads[[#This Row],[Product]]</f>
        <v>44279Product2</v>
      </c>
      <c r="B2192" s="5">
        <f>COUNTIF($A$1:A2192,Loads[[#This Row],[Load]])</f>
        <v>6</v>
      </c>
      <c r="C2192" s="3" t="str">
        <f>Loads[[#This Row],[Load]]&amp;Loads[[#This Row],[Count]]</f>
        <v>44279Product26</v>
      </c>
      <c r="D2192" s="90">
        <v>44279</v>
      </c>
      <c r="E2192" s="143">
        <v>0.10347222222222223</v>
      </c>
      <c r="F2192" s="1" t="s">
        <v>9</v>
      </c>
      <c r="G2192" s="2" t="s">
        <v>13</v>
      </c>
      <c r="H2192" s="2" t="s">
        <v>42</v>
      </c>
      <c r="I2192" s="1" t="s">
        <v>11</v>
      </c>
      <c r="J2192" s="1" t="s">
        <v>8</v>
      </c>
      <c r="K2192" s="89">
        <v>11100</v>
      </c>
      <c r="L2192" s="3">
        <v>62.47</v>
      </c>
      <c r="M2192" s="3">
        <v>9.3000000000000007</v>
      </c>
      <c r="N2192" s="3" t="s">
        <v>8</v>
      </c>
      <c r="O2192" s="3" t="s">
        <v>8</v>
      </c>
    </row>
    <row r="2193" spans="1:15" x14ac:dyDescent="0.35">
      <c r="A2193" s="5" t="str">
        <f>Loads[[#This Row],[Date]]&amp;Loads[[#This Row],[Product]]</f>
        <v>44279Product2</v>
      </c>
      <c r="B2193" s="5">
        <f>COUNTIF($A$1:A2193,Loads[[#This Row],[Load]])</f>
        <v>7</v>
      </c>
      <c r="C2193" s="3" t="str">
        <f>Loads[[#This Row],[Load]]&amp;Loads[[#This Row],[Count]]</f>
        <v>44279Product27</v>
      </c>
      <c r="D2193" s="90">
        <v>44279</v>
      </c>
      <c r="E2193" s="143">
        <v>0.10416666666666667</v>
      </c>
      <c r="F2193" s="1" t="s">
        <v>9</v>
      </c>
      <c r="G2193" s="2" t="s">
        <v>13</v>
      </c>
      <c r="H2193" s="2" t="s">
        <v>42</v>
      </c>
      <c r="I2193" s="1" t="s">
        <v>11</v>
      </c>
      <c r="J2193" s="1" t="s">
        <v>8</v>
      </c>
      <c r="K2193" s="89">
        <v>8840</v>
      </c>
      <c r="L2193" s="3">
        <v>60.29</v>
      </c>
      <c r="M2193" s="3">
        <v>9.67</v>
      </c>
      <c r="N2193" s="3" t="s">
        <v>8</v>
      </c>
      <c r="O2193" s="3" t="s">
        <v>8</v>
      </c>
    </row>
    <row r="2194" spans="1:15" x14ac:dyDescent="0.35">
      <c r="A2194" s="5" t="str">
        <f>Loads[[#This Row],[Date]]&amp;Loads[[#This Row],[Product]]</f>
        <v>44279Product2</v>
      </c>
      <c r="B2194" s="5">
        <f>COUNTIF($A$1:A2194,Loads[[#This Row],[Load]])</f>
        <v>8</v>
      </c>
      <c r="C2194" s="3" t="str">
        <f>Loads[[#This Row],[Load]]&amp;Loads[[#This Row],[Count]]</f>
        <v>44279Product28</v>
      </c>
      <c r="D2194" s="90">
        <v>44279</v>
      </c>
      <c r="E2194" s="143">
        <v>0.10416666666666667</v>
      </c>
      <c r="F2194" s="1" t="s">
        <v>9</v>
      </c>
      <c r="G2194" s="2" t="s">
        <v>13</v>
      </c>
      <c r="H2194" s="2" t="s">
        <v>42</v>
      </c>
      <c r="I2194" s="1" t="s">
        <v>11</v>
      </c>
      <c r="J2194" s="1" t="s">
        <v>8</v>
      </c>
      <c r="K2194" s="89">
        <v>11260</v>
      </c>
      <c r="L2194" s="3">
        <v>61.57</v>
      </c>
      <c r="M2194" s="3">
        <v>8.9</v>
      </c>
      <c r="N2194" s="3" t="s">
        <v>8</v>
      </c>
      <c r="O2194" s="3" t="s">
        <v>8</v>
      </c>
    </row>
    <row r="2195" spans="1:15" x14ac:dyDescent="0.35">
      <c r="A2195" s="5" t="str">
        <f>Loads[[#This Row],[Date]]&amp;Loads[[#This Row],[Product]]</f>
        <v>44279Product3</v>
      </c>
      <c r="B2195" s="5">
        <f>COUNTIF($A$1:A2195,Loads[[#This Row],[Load]])</f>
        <v>4</v>
      </c>
      <c r="C2195" s="3" t="str">
        <f>Loads[[#This Row],[Load]]&amp;Loads[[#This Row],[Count]]</f>
        <v>44279Product34</v>
      </c>
      <c r="D2195" s="90">
        <v>44279</v>
      </c>
      <c r="E2195" s="143">
        <v>0.10486111111111111</v>
      </c>
      <c r="F2195" s="1" t="s">
        <v>9</v>
      </c>
      <c r="G2195" s="2" t="s">
        <v>14</v>
      </c>
      <c r="H2195" s="2" t="s">
        <v>42</v>
      </c>
      <c r="I2195" s="1" t="s">
        <v>11</v>
      </c>
      <c r="J2195" s="1" t="s">
        <v>8</v>
      </c>
      <c r="K2195" s="89">
        <v>10280</v>
      </c>
      <c r="L2195" s="3">
        <v>56.45</v>
      </c>
      <c r="M2195" s="3">
        <v>8.82</v>
      </c>
      <c r="N2195" s="3" t="s">
        <v>8</v>
      </c>
      <c r="O2195" s="3" t="s">
        <v>8</v>
      </c>
    </row>
    <row r="2196" spans="1:15" x14ac:dyDescent="0.35">
      <c r="A2196" s="5" t="str">
        <f>Loads[[#This Row],[Date]]&amp;Loads[[#This Row],[Product]]</f>
        <v>44279Product3</v>
      </c>
      <c r="B2196" s="5">
        <f>COUNTIF($A$1:A2196,Loads[[#This Row],[Load]])</f>
        <v>5</v>
      </c>
      <c r="C2196" s="3" t="str">
        <f>Loads[[#This Row],[Load]]&amp;Loads[[#This Row],[Count]]</f>
        <v>44279Product35</v>
      </c>
      <c r="D2196" s="90">
        <v>44279</v>
      </c>
      <c r="E2196" s="143">
        <v>0.10555555555555556</v>
      </c>
      <c r="F2196" s="1" t="s">
        <v>9</v>
      </c>
      <c r="G2196" s="2" t="s">
        <v>14</v>
      </c>
      <c r="H2196" s="2" t="s">
        <v>42</v>
      </c>
      <c r="I2196" s="1" t="s">
        <v>11</v>
      </c>
      <c r="J2196" s="1" t="s">
        <v>8</v>
      </c>
      <c r="K2196" s="89">
        <v>11280</v>
      </c>
      <c r="L2196" s="3">
        <v>58.3</v>
      </c>
      <c r="M2196" s="3">
        <v>11.25</v>
      </c>
      <c r="N2196" s="3" t="s">
        <v>8</v>
      </c>
      <c r="O2196" s="3" t="s">
        <v>8</v>
      </c>
    </row>
    <row r="2197" spans="1:15" x14ac:dyDescent="0.35">
      <c r="A2197" s="5" t="str">
        <f>Loads[[#This Row],[Date]]&amp;Loads[[#This Row],[Product]]</f>
        <v>44279Product2</v>
      </c>
      <c r="B2197" s="5">
        <f>COUNTIF($A$1:A2197,Loads[[#This Row],[Load]])</f>
        <v>9</v>
      </c>
      <c r="C2197" s="3" t="str">
        <f>Loads[[#This Row],[Load]]&amp;Loads[[#This Row],[Count]]</f>
        <v>44279Product29</v>
      </c>
      <c r="D2197" s="90">
        <v>44279</v>
      </c>
      <c r="E2197" s="143">
        <v>0.10694444444444444</v>
      </c>
      <c r="F2197" s="1" t="s">
        <v>9</v>
      </c>
      <c r="G2197" s="2" t="s">
        <v>13</v>
      </c>
      <c r="H2197" s="2" t="s">
        <v>42</v>
      </c>
      <c r="I2197" s="1" t="s">
        <v>11</v>
      </c>
      <c r="J2197" s="1" t="s">
        <v>8</v>
      </c>
      <c r="K2197" s="89">
        <v>14640</v>
      </c>
      <c r="L2197" s="3">
        <v>60.91</v>
      </c>
      <c r="M2197" s="3">
        <v>9.1300000000000008</v>
      </c>
      <c r="N2197" s="3" t="s">
        <v>8</v>
      </c>
      <c r="O2197" s="3" t="s">
        <v>8</v>
      </c>
    </row>
    <row r="2198" spans="1:15" x14ac:dyDescent="0.35">
      <c r="A2198" s="5" t="str">
        <f>Loads[[#This Row],[Date]]&amp;Loads[[#This Row],[Product]]</f>
        <v>44279Product2</v>
      </c>
      <c r="B2198" s="5">
        <f>COUNTIF($A$1:A2198,Loads[[#This Row],[Load]])</f>
        <v>10</v>
      </c>
      <c r="C2198" s="3" t="str">
        <f>Loads[[#This Row],[Load]]&amp;Loads[[#This Row],[Count]]</f>
        <v>44279Product210</v>
      </c>
      <c r="D2198" s="90">
        <v>44279</v>
      </c>
      <c r="E2198" s="143">
        <v>0.1076388888888889</v>
      </c>
      <c r="F2198" s="1" t="s">
        <v>9</v>
      </c>
      <c r="G2198" s="2" t="s">
        <v>13</v>
      </c>
      <c r="H2198" s="2" t="s">
        <v>42</v>
      </c>
      <c r="I2198" s="1" t="s">
        <v>11</v>
      </c>
      <c r="J2198" s="1" t="s">
        <v>8</v>
      </c>
      <c r="K2198" s="89">
        <v>11980</v>
      </c>
      <c r="L2198" s="3">
        <v>62.45</v>
      </c>
      <c r="M2198" s="3">
        <v>9.3000000000000007</v>
      </c>
      <c r="N2198" s="3" t="s">
        <v>8</v>
      </c>
      <c r="O2198" s="3" t="s">
        <v>8</v>
      </c>
    </row>
    <row r="2199" spans="1:15" x14ac:dyDescent="0.35">
      <c r="A2199" s="5" t="str">
        <f>Loads[[#This Row],[Date]]&amp;Loads[[#This Row],[Product]]</f>
        <v>44279Product2</v>
      </c>
      <c r="B2199" s="5">
        <f>COUNTIF($A$1:A2199,Loads[[#This Row],[Load]])</f>
        <v>11</v>
      </c>
      <c r="C2199" s="3" t="str">
        <f>Loads[[#This Row],[Load]]&amp;Loads[[#This Row],[Count]]</f>
        <v>44279Product211</v>
      </c>
      <c r="D2199" s="90">
        <v>44279</v>
      </c>
      <c r="E2199" s="143">
        <v>0.1076388888888889</v>
      </c>
      <c r="F2199" s="1" t="s">
        <v>9</v>
      </c>
      <c r="G2199" s="2" t="s">
        <v>13</v>
      </c>
      <c r="H2199" s="2" t="s">
        <v>42</v>
      </c>
      <c r="I2199" s="1" t="s">
        <v>11</v>
      </c>
      <c r="J2199" s="1" t="s">
        <v>8</v>
      </c>
      <c r="K2199" s="89">
        <v>17580</v>
      </c>
      <c r="L2199" s="3">
        <v>61.12</v>
      </c>
      <c r="M2199" s="3">
        <v>10.35</v>
      </c>
      <c r="N2199" s="3" t="s">
        <v>8</v>
      </c>
      <c r="O2199" s="3" t="s">
        <v>8</v>
      </c>
    </row>
    <row r="2200" spans="1:15" x14ac:dyDescent="0.35">
      <c r="A2200" s="5" t="str">
        <f>Loads[[#This Row],[Date]]&amp;Loads[[#This Row],[Product]]</f>
        <v>44279Product2</v>
      </c>
      <c r="B2200" s="5">
        <f>COUNTIF($A$1:A2200,Loads[[#This Row],[Load]])</f>
        <v>12</v>
      </c>
      <c r="C2200" s="3" t="str">
        <f>Loads[[#This Row],[Load]]&amp;Loads[[#This Row],[Count]]</f>
        <v>44279Product212</v>
      </c>
      <c r="D2200" s="90">
        <v>44279</v>
      </c>
      <c r="E2200" s="143">
        <v>0.11180555555555556</v>
      </c>
      <c r="F2200" s="1" t="s">
        <v>9</v>
      </c>
      <c r="G2200" s="2" t="s">
        <v>13</v>
      </c>
      <c r="H2200" s="2" t="s">
        <v>42</v>
      </c>
      <c r="I2200" s="1" t="s">
        <v>11</v>
      </c>
      <c r="J2200" s="1" t="s">
        <v>8</v>
      </c>
      <c r="K2200" s="89">
        <v>10800</v>
      </c>
      <c r="L2200" s="3">
        <v>60.3</v>
      </c>
      <c r="M2200" s="3">
        <v>8.8800000000000008</v>
      </c>
      <c r="N2200" s="3" t="s">
        <v>8</v>
      </c>
      <c r="O2200" s="3" t="s">
        <v>8</v>
      </c>
    </row>
    <row r="2201" spans="1:15" x14ac:dyDescent="0.35">
      <c r="A2201" s="5" t="str">
        <f>Loads[[#This Row],[Date]]&amp;Loads[[#This Row],[Product]]</f>
        <v>44279Product2</v>
      </c>
      <c r="B2201" s="5">
        <f>COUNTIF($A$1:A2201,Loads[[#This Row],[Load]])</f>
        <v>13</v>
      </c>
      <c r="C2201" s="3" t="str">
        <f>Loads[[#This Row],[Load]]&amp;Loads[[#This Row],[Count]]</f>
        <v>44279Product213</v>
      </c>
      <c r="D2201" s="90">
        <v>44279</v>
      </c>
      <c r="E2201" s="143">
        <v>0.1125</v>
      </c>
      <c r="F2201" s="1" t="s">
        <v>9</v>
      </c>
      <c r="G2201" s="2" t="s">
        <v>13</v>
      </c>
      <c r="H2201" s="2" t="s">
        <v>42</v>
      </c>
      <c r="I2201" s="1" t="s">
        <v>11</v>
      </c>
      <c r="J2201" s="1" t="s">
        <v>8</v>
      </c>
      <c r="K2201" s="89">
        <v>10200</v>
      </c>
      <c r="L2201" s="3">
        <v>61.1</v>
      </c>
      <c r="M2201" s="3">
        <v>9.75</v>
      </c>
      <c r="N2201" s="3" t="s">
        <v>8</v>
      </c>
      <c r="O2201" s="3" t="s">
        <v>8</v>
      </c>
    </row>
    <row r="2202" spans="1:15" x14ac:dyDescent="0.35">
      <c r="A2202" s="5" t="str">
        <f>Loads[[#This Row],[Date]]&amp;Loads[[#This Row],[Product]]</f>
        <v>44280Product1</v>
      </c>
      <c r="B2202" s="5">
        <f>COUNTIF($A$1:A2202,Loads[[#This Row],[Load]])</f>
        <v>1</v>
      </c>
      <c r="C2202" s="3" t="str">
        <f>Loads[[#This Row],[Load]]&amp;Loads[[#This Row],[Count]]</f>
        <v>44280Product11</v>
      </c>
      <c r="D2202" s="90">
        <v>44280</v>
      </c>
      <c r="E2202" s="143">
        <v>0.31319444444444444</v>
      </c>
      <c r="F2202" s="1" t="s">
        <v>9</v>
      </c>
      <c r="G2202" s="2" t="s">
        <v>12</v>
      </c>
      <c r="H2202" s="2" t="s">
        <v>42</v>
      </c>
      <c r="I2202" s="1" t="s">
        <v>11</v>
      </c>
      <c r="J2202" s="1" t="s">
        <v>8</v>
      </c>
      <c r="K2202" s="89">
        <v>24220</v>
      </c>
      <c r="L2202" s="3">
        <v>9.15</v>
      </c>
      <c r="M2202" s="3">
        <v>22.64</v>
      </c>
      <c r="N2202" s="3" t="s">
        <v>8</v>
      </c>
      <c r="O2202" s="3" t="s">
        <v>8</v>
      </c>
    </row>
    <row r="2203" spans="1:15" x14ac:dyDescent="0.35">
      <c r="A2203" s="5" t="str">
        <f>Loads[[#This Row],[Date]]&amp;Loads[[#This Row],[Product]]</f>
        <v>44280Product1</v>
      </c>
      <c r="B2203" s="5">
        <f>COUNTIF($A$1:A2203,Loads[[#This Row],[Load]])</f>
        <v>2</v>
      </c>
      <c r="C2203" s="3" t="str">
        <f>Loads[[#This Row],[Load]]&amp;Loads[[#This Row],[Count]]</f>
        <v>44280Product12</v>
      </c>
      <c r="D2203" s="90">
        <v>44280</v>
      </c>
      <c r="E2203" s="143">
        <v>0.31388888888888888</v>
      </c>
      <c r="F2203" s="1" t="s">
        <v>9</v>
      </c>
      <c r="G2203" s="2" t="s">
        <v>12</v>
      </c>
      <c r="H2203" s="2" t="s">
        <v>42</v>
      </c>
      <c r="I2203" s="1" t="s">
        <v>11</v>
      </c>
      <c r="J2203" s="1" t="s">
        <v>8</v>
      </c>
      <c r="K2203" s="89">
        <v>18040</v>
      </c>
      <c r="L2203" s="3">
        <v>6.18</v>
      </c>
      <c r="M2203" s="3">
        <v>21.12</v>
      </c>
      <c r="N2203" s="3" t="s">
        <v>8</v>
      </c>
      <c r="O2203" s="3" t="s">
        <v>8</v>
      </c>
    </row>
    <row r="2204" spans="1:15" x14ac:dyDescent="0.35">
      <c r="A2204" s="5" t="str">
        <f>Loads[[#This Row],[Date]]&amp;Loads[[#This Row],[Product]]</f>
        <v>44280Product4</v>
      </c>
      <c r="B2204" s="5">
        <f>COUNTIF($A$1:A2204,Loads[[#This Row],[Load]])</f>
        <v>1</v>
      </c>
      <c r="C2204" s="3" t="str">
        <f>Loads[[#This Row],[Load]]&amp;Loads[[#This Row],[Count]]</f>
        <v>44280Product41</v>
      </c>
      <c r="D2204" s="90">
        <v>44280</v>
      </c>
      <c r="E2204" s="143">
        <v>0.31527777777777777</v>
      </c>
      <c r="F2204" s="1" t="s">
        <v>9</v>
      </c>
      <c r="G2204" s="2" t="s">
        <v>15</v>
      </c>
      <c r="H2204" s="2" t="s">
        <v>42</v>
      </c>
      <c r="I2204" s="1" t="s">
        <v>11</v>
      </c>
      <c r="J2204" s="1" t="s">
        <v>8</v>
      </c>
      <c r="K2204" s="89">
        <v>30280</v>
      </c>
      <c r="L2204" s="3">
        <v>10.4</v>
      </c>
      <c r="M2204" s="3">
        <v>61.97</v>
      </c>
      <c r="N2204" s="3" t="s">
        <v>8</v>
      </c>
      <c r="O2204" s="3" t="s">
        <v>8</v>
      </c>
    </row>
    <row r="2205" spans="1:15" x14ac:dyDescent="0.35">
      <c r="A2205" s="5" t="str">
        <f>Loads[[#This Row],[Date]]&amp;Loads[[#This Row],[Product]]</f>
        <v>44280Product1</v>
      </c>
      <c r="B2205" s="5">
        <f>COUNTIF($A$1:A2205,Loads[[#This Row],[Load]])</f>
        <v>3</v>
      </c>
      <c r="C2205" s="3" t="str">
        <f>Loads[[#This Row],[Load]]&amp;Loads[[#This Row],[Count]]</f>
        <v>44280Product13</v>
      </c>
      <c r="D2205" s="90">
        <v>44280</v>
      </c>
      <c r="E2205" s="143">
        <v>0.31597222222222221</v>
      </c>
      <c r="F2205" s="1" t="s">
        <v>9</v>
      </c>
      <c r="G2205" s="2" t="s">
        <v>12</v>
      </c>
      <c r="H2205" s="2" t="s">
        <v>42</v>
      </c>
      <c r="I2205" s="1" t="s">
        <v>11</v>
      </c>
      <c r="J2205" s="1" t="s">
        <v>8</v>
      </c>
      <c r="K2205" s="89">
        <v>19300</v>
      </c>
      <c r="L2205" s="3">
        <v>6.18</v>
      </c>
      <c r="M2205" s="3">
        <v>21.26</v>
      </c>
      <c r="N2205" s="3" t="s">
        <v>8</v>
      </c>
      <c r="O2205" s="3" t="s">
        <v>8</v>
      </c>
    </row>
    <row r="2206" spans="1:15" x14ac:dyDescent="0.35">
      <c r="A2206" s="5" t="str">
        <f>Loads[[#This Row],[Date]]&amp;Loads[[#This Row],[Product]]</f>
        <v>44280Product1</v>
      </c>
      <c r="B2206" s="5">
        <f>COUNTIF($A$1:A2206,Loads[[#This Row],[Load]])</f>
        <v>4</v>
      </c>
      <c r="C2206" s="3" t="str">
        <f>Loads[[#This Row],[Load]]&amp;Loads[[#This Row],[Count]]</f>
        <v>44280Product14</v>
      </c>
      <c r="D2206" s="90">
        <v>44280</v>
      </c>
      <c r="E2206" s="143">
        <v>0.31597222222222221</v>
      </c>
      <c r="F2206" s="1" t="s">
        <v>9</v>
      </c>
      <c r="G2206" s="2" t="s">
        <v>12</v>
      </c>
      <c r="H2206" s="2" t="s">
        <v>42</v>
      </c>
      <c r="I2206" s="1" t="s">
        <v>10</v>
      </c>
      <c r="J2206" s="1">
        <v>797</v>
      </c>
      <c r="K2206" s="89">
        <v>31780</v>
      </c>
      <c r="L2206" s="3">
        <v>6.54</v>
      </c>
      <c r="M2206" s="3">
        <v>20.94</v>
      </c>
      <c r="N2206" s="3" t="s">
        <v>8</v>
      </c>
      <c r="O2206" s="3" t="s">
        <v>8</v>
      </c>
    </row>
    <row r="2207" spans="1:15" x14ac:dyDescent="0.35">
      <c r="A2207" s="5" t="str">
        <f>Loads[[#This Row],[Date]]&amp;Loads[[#This Row],[Product]]</f>
        <v>44280Product1</v>
      </c>
      <c r="B2207" s="5">
        <f>COUNTIF($A$1:A2207,Loads[[#This Row],[Load]])</f>
        <v>5</v>
      </c>
      <c r="C2207" s="3" t="str">
        <f>Loads[[#This Row],[Load]]&amp;Loads[[#This Row],[Count]]</f>
        <v>44280Product15</v>
      </c>
      <c r="D2207" s="90">
        <v>44280</v>
      </c>
      <c r="E2207" s="143">
        <v>0.98472222222222217</v>
      </c>
      <c r="F2207" s="1" t="s">
        <v>9</v>
      </c>
      <c r="G2207" s="2" t="s">
        <v>12</v>
      </c>
      <c r="H2207" s="2" t="s">
        <v>42</v>
      </c>
      <c r="I2207" s="1" t="s">
        <v>11</v>
      </c>
      <c r="J2207" s="1" t="s">
        <v>8</v>
      </c>
      <c r="K2207" s="89">
        <v>20640</v>
      </c>
      <c r="L2207" s="3">
        <v>8.09</v>
      </c>
      <c r="M2207" s="3">
        <v>21.94</v>
      </c>
      <c r="N2207" s="3" t="s">
        <v>8</v>
      </c>
      <c r="O2207" s="3" t="s">
        <v>8</v>
      </c>
    </row>
    <row r="2208" spans="1:15" x14ac:dyDescent="0.35">
      <c r="A2208" s="5" t="str">
        <f>Loads[[#This Row],[Date]]&amp;Loads[[#This Row],[Product]]</f>
        <v>44280Product1</v>
      </c>
      <c r="B2208" s="5">
        <f>COUNTIF($A$1:A2208,Loads[[#This Row],[Load]])</f>
        <v>6</v>
      </c>
      <c r="C2208" s="3" t="str">
        <f>Loads[[#This Row],[Load]]&amp;Loads[[#This Row],[Count]]</f>
        <v>44280Product16</v>
      </c>
      <c r="D2208" s="90">
        <v>44280</v>
      </c>
      <c r="E2208" s="143">
        <v>0.98541666666666661</v>
      </c>
      <c r="F2208" s="1" t="s">
        <v>9</v>
      </c>
      <c r="G2208" s="2" t="s">
        <v>12</v>
      </c>
      <c r="H2208" s="2" t="s">
        <v>42</v>
      </c>
      <c r="I2208" s="1" t="s">
        <v>10</v>
      </c>
      <c r="J2208" s="1">
        <v>787</v>
      </c>
      <c r="K2208" s="89">
        <v>31220</v>
      </c>
      <c r="L2208" s="3">
        <v>4.7</v>
      </c>
      <c r="M2208" s="3">
        <v>23.65</v>
      </c>
      <c r="N2208" s="3" t="s">
        <v>8</v>
      </c>
      <c r="O2208" s="3" t="s">
        <v>8</v>
      </c>
    </row>
    <row r="2209" spans="1:15" x14ac:dyDescent="0.35">
      <c r="A2209" s="5" t="str">
        <f>Loads[[#This Row],[Date]]&amp;Loads[[#This Row],[Product]]</f>
        <v>44280Product1</v>
      </c>
      <c r="B2209" s="5">
        <f>COUNTIF($A$1:A2209,Loads[[#This Row],[Load]])</f>
        <v>7</v>
      </c>
      <c r="C2209" s="3" t="str">
        <f>Loads[[#This Row],[Load]]&amp;Loads[[#This Row],[Count]]</f>
        <v>44280Product17</v>
      </c>
      <c r="D2209" s="90">
        <v>44280</v>
      </c>
      <c r="E2209" s="143">
        <v>0.98611111111111116</v>
      </c>
      <c r="F2209" s="1" t="s">
        <v>9</v>
      </c>
      <c r="G2209" s="2" t="s">
        <v>12</v>
      </c>
      <c r="H2209" s="2" t="s">
        <v>42</v>
      </c>
      <c r="I2209" s="1" t="s">
        <v>11</v>
      </c>
      <c r="J2209" s="1" t="s">
        <v>8</v>
      </c>
      <c r="K2209" s="89">
        <v>12120</v>
      </c>
      <c r="L2209" s="3">
        <v>8.14</v>
      </c>
      <c r="M2209" s="3">
        <v>21.54</v>
      </c>
      <c r="N2209" s="3" t="s">
        <v>8</v>
      </c>
      <c r="O2209" s="3" t="s">
        <v>8</v>
      </c>
    </row>
    <row r="2210" spans="1:15" x14ac:dyDescent="0.35">
      <c r="A2210" s="5" t="str">
        <f>Loads[[#This Row],[Date]]&amp;Loads[[#This Row],[Product]]</f>
        <v>44280Product1</v>
      </c>
      <c r="B2210" s="5">
        <f>COUNTIF($A$1:A2210,Loads[[#This Row],[Load]])</f>
        <v>8</v>
      </c>
      <c r="C2210" s="3" t="str">
        <f>Loads[[#This Row],[Load]]&amp;Loads[[#This Row],[Count]]</f>
        <v>44280Product18</v>
      </c>
      <c r="D2210" s="90">
        <v>44280</v>
      </c>
      <c r="E2210" s="143">
        <v>0.9868055555555556</v>
      </c>
      <c r="F2210" s="1" t="s">
        <v>9</v>
      </c>
      <c r="G2210" s="2" t="s">
        <v>12</v>
      </c>
      <c r="H2210" s="2" t="s">
        <v>42</v>
      </c>
      <c r="I2210" s="1" t="s">
        <v>11</v>
      </c>
      <c r="J2210" s="1" t="s">
        <v>8</v>
      </c>
      <c r="K2210" s="89">
        <v>20460</v>
      </c>
      <c r="L2210" s="3">
        <v>9.7100000000000009</v>
      </c>
      <c r="M2210" s="3">
        <v>20.89</v>
      </c>
      <c r="N2210" s="3" t="s">
        <v>8</v>
      </c>
      <c r="O2210" s="3" t="s">
        <v>8</v>
      </c>
    </row>
    <row r="2211" spans="1:15" x14ac:dyDescent="0.35">
      <c r="A2211" s="5" t="str">
        <f>Loads[[#This Row],[Date]]&amp;Loads[[#This Row],[Product]]</f>
        <v>44280Product8</v>
      </c>
      <c r="B2211" s="5">
        <f>COUNTIF($A$1:A2211,Loads[[#This Row],[Load]])</f>
        <v>1</v>
      </c>
      <c r="C2211" s="3" t="str">
        <f>Loads[[#This Row],[Load]]&amp;Loads[[#This Row],[Count]]</f>
        <v>44280Product81</v>
      </c>
      <c r="D2211" s="90">
        <v>44280</v>
      </c>
      <c r="E2211" s="143">
        <v>0.99097222222222225</v>
      </c>
      <c r="F2211" s="1" t="s">
        <v>9</v>
      </c>
      <c r="G2211" s="2" t="s">
        <v>19</v>
      </c>
      <c r="H2211" s="2" t="s">
        <v>42</v>
      </c>
      <c r="I2211" s="1" t="s">
        <v>11</v>
      </c>
      <c r="J2211" s="1" t="s">
        <v>8</v>
      </c>
      <c r="K2211" s="89">
        <v>12000</v>
      </c>
      <c r="L2211" s="3">
        <v>12.11</v>
      </c>
      <c r="M2211" s="3">
        <v>7.2</v>
      </c>
      <c r="N2211" s="3" t="s">
        <v>8</v>
      </c>
      <c r="O2211" s="3" t="s">
        <v>8</v>
      </c>
    </row>
    <row r="2212" spans="1:15" x14ac:dyDescent="0.35">
      <c r="A2212" s="5" t="str">
        <f>Loads[[#This Row],[Date]]&amp;Loads[[#This Row],[Product]]</f>
        <v>44280Product1</v>
      </c>
      <c r="B2212" s="5">
        <f>COUNTIF($A$1:A2212,Loads[[#This Row],[Load]])</f>
        <v>9</v>
      </c>
      <c r="C2212" s="3" t="str">
        <f>Loads[[#This Row],[Load]]&amp;Loads[[#This Row],[Count]]</f>
        <v>44280Product19</v>
      </c>
      <c r="D2212" s="90">
        <v>44280</v>
      </c>
      <c r="E2212" s="143">
        <v>0.9916666666666667</v>
      </c>
      <c r="F2212" s="1" t="s">
        <v>9</v>
      </c>
      <c r="G2212" s="2" t="s">
        <v>12</v>
      </c>
      <c r="H2212" s="2" t="s">
        <v>42</v>
      </c>
      <c r="I2212" s="1" t="s">
        <v>11</v>
      </c>
      <c r="J2212" s="1" t="s">
        <v>8</v>
      </c>
      <c r="K2212" s="89">
        <v>19940</v>
      </c>
      <c r="L2212" s="3">
        <v>10.96</v>
      </c>
      <c r="M2212" s="3">
        <v>21.95</v>
      </c>
      <c r="N2212" s="3" t="s">
        <v>8</v>
      </c>
      <c r="O2212" s="3" t="s">
        <v>8</v>
      </c>
    </row>
    <row r="2213" spans="1:15" x14ac:dyDescent="0.35">
      <c r="A2213" s="5" t="str">
        <f>Loads[[#This Row],[Date]]&amp;Loads[[#This Row],[Product]]</f>
        <v>44280Product6</v>
      </c>
      <c r="B2213" s="5">
        <f>COUNTIF($A$1:A2213,Loads[[#This Row],[Load]])</f>
        <v>1</v>
      </c>
      <c r="C2213" s="3" t="str">
        <f>Loads[[#This Row],[Load]]&amp;Loads[[#This Row],[Count]]</f>
        <v>44280Product61</v>
      </c>
      <c r="D2213" s="90">
        <v>44280</v>
      </c>
      <c r="E2213" s="143">
        <v>0.99375000000000002</v>
      </c>
      <c r="F2213" s="1" t="s">
        <v>9</v>
      </c>
      <c r="G2213" s="2" t="s">
        <v>17</v>
      </c>
      <c r="H2213" s="2" t="s">
        <v>42</v>
      </c>
      <c r="I2213" s="1" t="s">
        <v>11</v>
      </c>
      <c r="J2213" s="1" t="s">
        <v>8</v>
      </c>
      <c r="K2213" s="89">
        <v>33240</v>
      </c>
      <c r="L2213" s="3">
        <v>0.08</v>
      </c>
      <c r="M2213" s="3" t="s">
        <v>8</v>
      </c>
      <c r="N2213" s="3">
        <v>2.56</v>
      </c>
      <c r="O2213" s="3" t="s">
        <v>8</v>
      </c>
    </row>
    <row r="2214" spans="1:15" x14ac:dyDescent="0.35">
      <c r="A2214" s="5" t="str">
        <f>Loads[[#This Row],[Date]]&amp;Loads[[#This Row],[Product]]</f>
        <v>44280Product1</v>
      </c>
      <c r="B2214" s="5">
        <f>COUNTIF($A$1:A2214,Loads[[#This Row],[Load]])</f>
        <v>10</v>
      </c>
      <c r="C2214" s="3" t="str">
        <f>Loads[[#This Row],[Load]]&amp;Loads[[#This Row],[Count]]</f>
        <v>44280Product110</v>
      </c>
      <c r="D2214" s="90">
        <v>44280</v>
      </c>
      <c r="E2214" s="143">
        <v>0.99444444444444446</v>
      </c>
      <c r="F2214" s="1" t="s">
        <v>9</v>
      </c>
      <c r="G2214" s="2" t="s">
        <v>12</v>
      </c>
      <c r="H2214" s="2" t="s">
        <v>42</v>
      </c>
      <c r="I2214" s="1" t="s">
        <v>10</v>
      </c>
      <c r="J2214" s="1">
        <v>475</v>
      </c>
      <c r="K2214" s="89">
        <v>18040</v>
      </c>
      <c r="L2214" s="3">
        <v>10.52</v>
      </c>
      <c r="M2214" s="3">
        <v>22.73</v>
      </c>
      <c r="N2214" s="3" t="s">
        <v>8</v>
      </c>
      <c r="O2214" s="3" t="s">
        <v>8</v>
      </c>
    </row>
    <row r="2215" spans="1:15" x14ac:dyDescent="0.35">
      <c r="A2215" s="5" t="str">
        <f>Loads[[#This Row],[Date]]&amp;Loads[[#This Row],[Product]]</f>
        <v>44280Product4</v>
      </c>
      <c r="B2215" s="5">
        <f>COUNTIF($A$1:A2215,Loads[[#This Row],[Load]])</f>
        <v>2</v>
      </c>
      <c r="C2215" s="3" t="str">
        <f>Loads[[#This Row],[Load]]&amp;Loads[[#This Row],[Count]]</f>
        <v>44280Product42</v>
      </c>
      <c r="D2215" s="90">
        <v>44280</v>
      </c>
      <c r="E2215" s="143">
        <v>0.99583333333333324</v>
      </c>
      <c r="F2215" s="1" t="s">
        <v>9</v>
      </c>
      <c r="G2215" s="2" t="s">
        <v>15</v>
      </c>
      <c r="H2215" s="2" t="s">
        <v>42</v>
      </c>
      <c r="I2215" s="1" t="s">
        <v>11</v>
      </c>
      <c r="J2215" s="1" t="s">
        <v>8</v>
      </c>
      <c r="K2215" s="89">
        <v>21700</v>
      </c>
      <c r="L2215" s="3">
        <v>10.4</v>
      </c>
      <c r="M2215" s="3">
        <v>61.97</v>
      </c>
      <c r="N2215" s="3" t="s">
        <v>8</v>
      </c>
      <c r="O2215" s="3" t="s">
        <v>8</v>
      </c>
    </row>
    <row r="2216" spans="1:15" x14ac:dyDescent="0.35">
      <c r="A2216" s="5" t="str">
        <f>Loads[[#This Row],[Date]]&amp;Loads[[#This Row],[Product]]</f>
        <v>44280Product4</v>
      </c>
      <c r="B2216" s="5">
        <f>COUNTIF($A$1:A2216,Loads[[#This Row],[Load]])</f>
        <v>3</v>
      </c>
      <c r="C2216" s="3" t="str">
        <f>Loads[[#This Row],[Load]]&amp;Loads[[#This Row],[Count]]</f>
        <v>44280Product43</v>
      </c>
      <c r="D2216" s="90">
        <v>44280</v>
      </c>
      <c r="E2216" s="143">
        <v>0.99652777777777779</v>
      </c>
      <c r="F2216" s="1" t="s">
        <v>9</v>
      </c>
      <c r="G2216" s="2" t="s">
        <v>15</v>
      </c>
      <c r="H2216" s="2" t="s">
        <v>42</v>
      </c>
      <c r="I2216" s="1" t="s">
        <v>10</v>
      </c>
      <c r="J2216" s="1">
        <v>284</v>
      </c>
      <c r="K2216" s="89">
        <v>14220</v>
      </c>
      <c r="L2216" s="3">
        <v>9.9700000000000006</v>
      </c>
      <c r="M2216" s="3">
        <v>63.49</v>
      </c>
      <c r="N2216" s="3" t="s">
        <v>8</v>
      </c>
      <c r="O2216" s="3" t="s">
        <v>8</v>
      </c>
    </row>
    <row r="2217" spans="1:15" x14ac:dyDescent="0.35">
      <c r="A2217" s="5" t="str">
        <f>Loads[[#This Row],[Date]]&amp;Loads[[#This Row],[Product]]</f>
        <v>44280Product1</v>
      </c>
      <c r="B2217" s="5">
        <f>COUNTIF($A$1:A2217,Loads[[#This Row],[Load]])</f>
        <v>11</v>
      </c>
      <c r="C2217" s="3" t="str">
        <f>Loads[[#This Row],[Load]]&amp;Loads[[#This Row],[Count]]</f>
        <v>44280Product111</v>
      </c>
      <c r="D2217" s="90">
        <v>44280</v>
      </c>
      <c r="E2217" s="143">
        <v>0.99722222222222223</v>
      </c>
      <c r="F2217" s="1" t="s">
        <v>9</v>
      </c>
      <c r="G2217" s="2" t="s">
        <v>12</v>
      </c>
      <c r="H2217" s="2" t="s">
        <v>42</v>
      </c>
      <c r="I2217" s="1" t="s">
        <v>11</v>
      </c>
      <c r="J2217" s="1" t="s">
        <v>8</v>
      </c>
      <c r="K2217" s="89">
        <v>33360</v>
      </c>
      <c r="L2217" s="3">
        <v>9.11</v>
      </c>
      <c r="M2217" s="3">
        <v>23.35</v>
      </c>
      <c r="N2217" s="3" t="s">
        <v>8</v>
      </c>
      <c r="O2217" s="3" t="s">
        <v>8</v>
      </c>
    </row>
    <row r="2218" spans="1:15" x14ac:dyDescent="0.35">
      <c r="A2218" s="5" t="str">
        <f>Loads[[#This Row],[Date]]&amp;Loads[[#This Row],[Product]]</f>
        <v>44280Product2</v>
      </c>
      <c r="B2218" s="5">
        <f>COUNTIF($A$1:A2218,Loads[[#This Row],[Load]])</f>
        <v>1</v>
      </c>
      <c r="C2218" s="3" t="str">
        <f>Loads[[#This Row],[Load]]&amp;Loads[[#This Row],[Count]]</f>
        <v>44280Product21</v>
      </c>
      <c r="D2218" s="90">
        <v>44280</v>
      </c>
      <c r="E2218" s="143">
        <v>8.1944444444444445E-2</v>
      </c>
      <c r="F2218" s="1" t="s">
        <v>9</v>
      </c>
      <c r="G2218" s="2" t="s">
        <v>13</v>
      </c>
      <c r="H2218" s="2" t="s">
        <v>42</v>
      </c>
      <c r="I2218" s="1" t="s">
        <v>11</v>
      </c>
      <c r="J2218" s="1" t="s">
        <v>8</v>
      </c>
      <c r="K2218" s="89">
        <v>11640</v>
      </c>
      <c r="L2218" s="3">
        <v>60.6</v>
      </c>
      <c r="M2218" s="3">
        <v>8.49</v>
      </c>
      <c r="N2218" s="3" t="s">
        <v>8</v>
      </c>
      <c r="O2218" s="3" t="s">
        <v>8</v>
      </c>
    </row>
    <row r="2219" spans="1:15" x14ac:dyDescent="0.35">
      <c r="A2219" s="5" t="str">
        <f>Loads[[#This Row],[Date]]&amp;Loads[[#This Row],[Product]]</f>
        <v>44280Product2</v>
      </c>
      <c r="B2219" s="5">
        <f>COUNTIF($A$1:A2219,Loads[[#This Row],[Load]])</f>
        <v>2</v>
      </c>
      <c r="C2219" s="3" t="str">
        <f>Loads[[#This Row],[Load]]&amp;Loads[[#This Row],[Count]]</f>
        <v>44280Product22</v>
      </c>
      <c r="D2219" s="90">
        <v>44280</v>
      </c>
      <c r="E2219" s="143">
        <v>8.4027777777777771E-2</v>
      </c>
      <c r="F2219" s="1" t="s">
        <v>9</v>
      </c>
      <c r="G2219" s="2" t="s">
        <v>13</v>
      </c>
      <c r="H2219" s="2" t="s">
        <v>42</v>
      </c>
      <c r="I2219" s="1" t="s">
        <v>11</v>
      </c>
      <c r="J2219" s="1" t="s">
        <v>8</v>
      </c>
      <c r="K2219" s="89">
        <v>17180</v>
      </c>
      <c r="L2219" s="3">
        <v>60.76</v>
      </c>
      <c r="M2219" s="3">
        <v>8.56</v>
      </c>
      <c r="N2219" s="3" t="s">
        <v>8</v>
      </c>
      <c r="O2219" s="3" t="s">
        <v>8</v>
      </c>
    </row>
    <row r="2220" spans="1:15" x14ac:dyDescent="0.35">
      <c r="A2220" s="5" t="str">
        <f>Loads[[#This Row],[Date]]&amp;Loads[[#This Row],[Product]]</f>
        <v>44280Product3</v>
      </c>
      <c r="B2220" s="5">
        <f>COUNTIF($A$1:A2220,Loads[[#This Row],[Load]])</f>
        <v>1</v>
      </c>
      <c r="C2220" s="3" t="str">
        <f>Loads[[#This Row],[Load]]&amp;Loads[[#This Row],[Count]]</f>
        <v>44280Product31</v>
      </c>
      <c r="D2220" s="90">
        <v>44280</v>
      </c>
      <c r="E2220" s="143">
        <v>8.4722222222222213E-2</v>
      </c>
      <c r="F2220" s="1" t="s">
        <v>9</v>
      </c>
      <c r="G2220" s="2" t="s">
        <v>14</v>
      </c>
      <c r="H2220" s="2" t="s">
        <v>42</v>
      </c>
      <c r="I2220" s="1" t="s">
        <v>11</v>
      </c>
      <c r="J2220" s="1" t="s">
        <v>8</v>
      </c>
      <c r="K2220" s="89">
        <v>12260</v>
      </c>
      <c r="L2220" s="3">
        <v>58.17</v>
      </c>
      <c r="M2220" s="3">
        <v>11.3</v>
      </c>
      <c r="N2220" s="3" t="s">
        <v>8</v>
      </c>
      <c r="O2220" s="3" t="s">
        <v>8</v>
      </c>
    </row>
    <row r="2221" spans="1:15" x14ac:dyDescent="0.35">
      <c r="A2221" s="5" t="str">
        <f>Loads[[#This Row],[Date]]&amp;Loads[[#This Row],[Product]]</f>
        <v>44280Product3</v>
      </c>
      <c r="B2221" s="5">
        <f>COUNTIF($A$1:A2221,Loads[[#This Row],[Load]])</f>
        <v>2</v>
      </c>
      <c r="C2221" s="3" t="str">
        <f>Loads[[#This Row],[Load]]&amp;Loads[[#This Row],[Count]]</f>
        <v>44280Product32</v>
      </c>
      <c r="D2221" s="90">
        <v>44280</v>
      </c>
      <c r="E2221" s="143">
        <v>8.5416666666666655E-2</v>
      </c>
      <c r="F2221" s="1" t="s">
        <v>9</v>
      </c>
      <c r="G2221" s="2" t="s">
        <v>14</v>
      </c>
      <c r="H2221" s="2" t="s">
        <v>42</v>
      </c>
      <c r="I2221" s="1" t="s">
        <v>11</v>
      </c>
      <c r="J2221" s="1" t="s">
        <v>8</v>
      </c>
      <c r="K2221" s="89">
        <v>10920</v>
      </c>
      <c r="L2221" s="3">
        <v>57.96</v>
      </c>
      <c r="M2221" s="3">
        <v>11.47</v>
      </c>
      <c r="N2221" s="3" t="s">
        <v>8</v>
      </c>
      <c r="O2221" s="3" t="s">
        <v>8</v>
      </c>
    </row>
    <row r="2222" spans="1:15" x14ac:dyDescent="0.35">
      <c r="A2222" s="5" t="str">
        <f>Loads[[#This Row],[Date]]&amp;Loads[[#This Row],[Product]]</f>
        <v>44280Product2</v>
      </c>
      <c r="B2222" s="5">
        <f>COUNTIF($A$1:A2222,Loads[[#This Row],[Load]])</f>
        <v>3</v>
      </c>
      <c r="C2222" s="3" t="str">
        <f>Loads[[#This Row],[Load]]&amp;Loads[[#This Row],[Count]]</f>
        <v>44280Product23</v>
      </c>
      <c r="D2222" s="90">
        <v>44280</v>
      </c>
      <c r="E2222" s="143">
        <v>8.6111111111111124E-2</v>
      </c>
      <c r="F2222" s="1" t="s">
        <v>9</v>
      </c>
      <c r="G2222" s="2" t="s">
        <v>13</v>
      </c>
      <c r="H2222" s="2" t="s">
        <v>42</v>
      </c>
      <c r="I2222" s="1" t="s">
        <v>11</v>
      </c>
      <c r="J2222" s="1" t="s">
        <v>8</v>
      </c>
      <c r="K2222" s="89">
        <v>12360</v>
      </c>
      <c r="L2222" s="3">
        <v>59.95</v>
      </c>
      <c r="M2222" s="3">
        <v>9.24</v>
      </c>
      <c r="N2222" s="3" t="s">
        <v>8</v>
      </c>
      <c r="O2222" s="3" t="s">
        <v>8</v>
      </c>
    </row>
    <row r="2223" spans="1:15" x14ac:dyDescent="0.35">
      <c r="A2223" s="5" t="str">
        <f>Loads[[#This Row],[Date]]&amp;Loads[[#This Row],[Product]]</f>
        <v>44280Product3</v>
      </c>
      <c r="B2223" s="5">
        <f>COUNTIF($A$1:A2223,Loads[[#This Row],[Load]])</f>
        <v>3</v>
      </c>
      <c r="C2223" s="3" t="str">
        <f>Loads[[#This Row],[Load]]&amp;Loads[[#This Row],[Count]]</f>
        <v>44280Product33</v>
      </c>
      <c r="D2223" s="90">
        <v>44280</v>
      </c>
      <c r="E2223" s="143">
        <v>8.6805555555555566E-2</v>
      </c>
      <c r="F2223" s="1" t="s">
        <v>9</v>
      </c>
      <c r="G2223" s="2" t="s">
        <v>14</v>
      </c>
      <c r="H2223" s="2" t="s">
        <v>42</v>
      </c>
      <c r="I2223" s="1" t="s">
        <v>11</v>
      </c>
      <c r="J2223" s="1" t="s">
        <v>8</v>
      </c>
      <c r="K2223" s="89">
        <v>12580</v>
      </c>
      <c r="L2223" s="3">
        <v>58.59</v>
      </c>
      <c r="M2223" s="3">
        <v>10.98</v>
      </c>
      <c r="N2223" s="3" t="s">
        <v>8</v>
      </c>
      <c r="O2223" s="3" t="s">
        <v>8</v>
      </c>
    </row>
    <row r="2224" spans="1:15" x14ac:dyDescent="0.35">
      <c r="A2224" s="5" t="str">
        <f>Loads[[#This Row],[Date]]&amp;Loads[[#This Row],[Product]]</f>
        <v>44280Product2</v>
      </c>
      <c r="B2224" s="5">
        <f>COUNTIF($A$1:A2224,Loads[[#This Row],[Load]])</f>
        <v>4</v>
      </c>
      <c r="C2224" s="3" t="str">
        <f>Loads[[#This Row],[Load]]&amp;Loads[[#This Row],[Count]]</f>
        <v>44280Product24</v>
      </c>
      <c r="D2224" s="90">
        <v>44280</v>
      </c>
      <c r="E2224" s="143">
        <v>0.10416666666666667</v>
      </c>
      <c r="F2224" s="1" t="s">
        <v>9</v>
      </c>
      <c r="G2224" s="2" t="s">
        <v>13</v>
      </c>
      <c r="H2224" s="2" t="s">
        <v>42</v>
      </c>
      <c r="I2224" s="1" t="s">
        <v>11</v>
      </c>
      <c r="J2224" s="1" t="s">
        <v>8</v>
      </c>
      <c r="K2224" s="89">
        <v>12500</v>
      </c>
      <c r="L2224" s="3">
        <v>61.92</v>
      </c>
      <c r="M2224" s="3">
        <v>6.6</v>
      </c>
      <c r="N2224" s="3" t="s">
        <v>8</v>
      </c>
      <c r="O2224" s="3" t="s">
        <v>8</v>
      </c>
    </row>
    <row r="2225" spans="1:15" x14ac:dyDescent="0.35">
      <c r="A2225" s="5" t="str">
        <f>Loads[[#This Row],[Date]]&amp;Loads[[#This Row],[Product]]</f>
        <v>44280Product2</v>
      </c>
      <c r="B2225" s="5">
        <f>COUNTIF($A$1:A2225,Loads[[#This Row],[Load]])</f>
        <v>5</v>
      </c>
      <c r="C2225" s="3" t="str">
        <f>Loads[[#This Row],[Load]]&amp;Loads[[#This Row],[Count]]</f>
        <v>44280Product25</v>
      </c>
      <c r="D2225" s="90">
        <v>44280</v>
      </c>
      <c r="E2225" s="143">
        <v>0.10486111111111111</v>
      </c>
      <c r="F2225" s="1" t="s">
        <v>9</v>
      </c>
      <c r="G2225" s="2" t="s">
        <v>13</v>
      </c>
      <c r="H2225" s="2" t="s">
        <v>42</v>
      </c>
      <c r="I2225" s="1" t="s">
        <v>11</v>
      </c>
      <c r="J2225" s="1" t="s">
        <v>8</v>
      </c>
      <c r="K2225" s="89">
        <v>17420</v>
      </c>
      <c r="L2225" s="3">
        <v>61.64</v>
      </c>
      <c r="M2225" s="3">
        <v>9.39</v>
      </c>
      <c r="N2225" s="3" t="s">
        <v>8</v>
      </c>
      <c r="O2225" s="3" t="s">
        <v>8</v>
      </c>
    </row>
    <row r="2226" spans="1:15" x14ac:dyDescent="0.35">
      <c r="A2226" s="5" t="str">
        <f>Loads[[#This Row],[Date]]&amp;Loads[[#This Row],[Product]]</f>
        <v>44280Product3</v>
      </c>
      <c r="B2226" s="5">
        <f>COUNTIF($A$1:A2226,Loads[[#This Row],[Load]])</f>
        <v>4</v>
      </c>
      <c r="C2226" s="3" t="str">
        <f>Loads[[#This Row],[Load]]&amp;Loads[[#This Row],[Count]]</f>
        <v>44280Product34</v>
      </c>
      <c r="D2226" s="90">
        <v>44280</v>
      </c>
      <c r="E2226" s="143">
        <v>0.10486111111111111</v>
      </c>
      <c r="F2226" s="1" t="s">
        <v>9</v>
      </c>
      <c r="G2226" s="2" t="s">
        <v>14</v>
      </c>
      <c r="H2226" s="2" t="s">
        <v>42</v>
      </c>
      <c r="I2226" s="1" t="s">
        <v>11</v>
      </c>
      <c r="J2226" s="1" t="s">
        <v>8</v>
      </c>
      <c r="K2226" s="89">
        <v>11100</v>
      </c>
      <c r="L2226" s="3">
        <v>58.83</v>
      </c>
      <c r="M2226" s="3">
        <v>11.41</v>
      </c>
      <c r="N2226" s="3" t="s">
        <v>8</v>
      </c>
      <c r="O2226" s="3" t="s">
        <v>8</v>
      </c>
    </row>
    <row r="2227" spans="1:15" x14ac:dyDescent="0.35">
      <c r="A2227" s="5" t="str">
        <f>Loads[[#This Row],[Date]]&amp;Loads[[#This Row],[Product]]</f>
        <v>44280Product3</v>
      </c>
      <c r="B2227" s="5">
        <f>COUNTIF($A$1:A2227,Loads[[#This Row],[Load]])</f>
        <v>5</v>
      </c>
      <c r="C2227" s="3" t="str">
        <f>Loads[[#This Row],[Load]]&amp;Loads[[#This Row],[Count]]</f>
        <v>44280Product35</v>
      </c>
      <c r="D2227" s="90">
        <v>44280</v>
      </c>
      <c r="E2227" s="143">
        <v>0.10555555555555556</v>
      </c>
      <c r="F2227" s="1" t="s">
        <v>9</v>
      </c>
      <c r="G2227" s="2" t="s">
        <v>14</v>
      </c>
      <c r="H2227" s="2" t="s">
        <v>42</v>
      </c>
      <c r="I2227" s="1" t="s">
        <v>11</v>
      </c>
      <c r="J2227" s="1" t="s">
        <v>8</v>
      </c>
      <c r="K2227" s="89">
        <v>10360</v>
      </c>
      <c r="L2227" s="3">
        <v>59.13</v>
      </c>
      <c r="M2227" s="3">
        <v>11.15</v>
      </c>
      <c r="N2227" s="3" t="s">
        <v>8</v>
      </c>
      <c r="O2227" s="3" t="s">
        <v>8</v>
      </c>
    </row>
    <row r="2228" spans="1:15" x14ac:dyDescent="0.35">
      <c r="A2228" s="5" t="str">
        <f>Loads[[#This Row],[Date]]&amp;Loads[[#This Row],[Product]]</f>
        <v>44280Product2</v>
      </c>
      <c r="B2228" s="5">
        <f>COUNTIF($A$1:A2228,Loads[[#This Row],[Load]])</f>
        <v>6</v>
      </c>
      <c r="C2228" s="3" t="str">
        <f>Loads[[#This Row],[Load]]&amp;Loads[[#This Row],[Count]]</f>
        <v>44280Product26</v>
      </c>
      <c r="D2228" s="90">
        <v>44280</v>
      </c>
      <c r="E2228" s="143">
        <v>0.10555555555555556</v>
      </c>
      <c r="F2228" s="1" t="s">
        <v>9</v>
      </c>
      <c r="G2228" s="2" t="s">
        <v>13</v>
      </c>
      <c r="H2228" s="2" t="s">
        <v>42</v>
      </c>
      <c r="I2228" s="1" t="s">
        <v>11</v>
      </c>
      <c r="J2228" s="1" t="s">
        <v>8</v>
      </c>
      <c r="K2228" s="89">
        <v>11020</v>
      </c>
      <c r="L2228" s="3">
        <v>58.69</v>
      </c>
      <c r="M2228" s="3">
        <v>11.13</v>
      </c>
      <c r="N2228" s="3" t="s">
        <v>8</v>
      </c>
      <c r="O2228" s="3" t="s">
        <v>8</v>
      </c>
    </row>
    <row r="2229" spans="1:15" x14ac:dyDescent="0.35">
      <c r="A2229" s="5" t="str">
        <f>Loads[[#This Row],[Date]]&amp;Loads[[#This Row],[Product]]</f>
        <v>44280Product2</v>
      </c>
      <c r="B2229" s="5">
        <f>COUNTIF($A$1:A2229,Loads[[#This Row],[Load]])</f>
        <v>7</v>
      </c>
      <c r="C2229" s="3" t="str">
        <f>Loads[[#This Row],[Load]]&amp;Loads[[#This Row],[Count]]</f>
        <v>44280Product27</v>
      </c>
      <c r="D2229" s="90">
        <v>44280</v>
      </c>
      <c r="E2229" s="143">
        <v>0.10625</v>
      </c>
      <c r="F2229" s="1" t="s">
        <v>9</v>
      </c>
      <c r="G2229" s="2" t="s">
        <v>13</v>
      </c>
      <c r="H2229" s="2" t="s">
        <v>42</v>
      </c>
      <c r="I2229" s="1" t="s">
        <v>11</v>
      </c>
      <c r="J2229" s="1" t="s">
        <v>8</v>
      </c>
      <c r="K2229" s="89">
        <v>10420</v>
      </c>
      <c r="L2229" s="3">
        <v>59.59</v>
      </c>
      <c r="M2229" s="3">
        <v>10.71</v>
      </c>
      <c r="N2229" s="3" t="s">
        <v>8</v>
      </c>
      <c r="O2229" s="3" t="s">
        <v>8</v>
      </c>
    </row>
    <row r="2230" spans="1:15" x14ac:dyDescent="0.35">
      <c r="A2230" s="5" t="str">
        <f>Loads[[#This Row],[Date]]&amp;Loads[[#This Row],[Product]]</f>
        <v>44280Product2</v>
      </c>
      <c r="B2230" s="5">
        <f>COUNTIF($A$1:A2230,Loads[[#This Row],[Load]])</f>
        <v>8</v>
      </c>
      <c r="C2230" s="3" t="str">
        <f>Loads[[#This Row],[Load]]&amp;Loads[[#This Row],[Count]]</f>
        <v>44280Product28</v>
      </c>
      <c r="D2230" s="90">
        <v>44280</v>
      </c>
      <c r="E2230" s="143">
        <v>0.10694444444444444</v>
      </c>
      <c r="F2230" s="1" t="s">
        <v>9</v>
      </c>
      <c r="G2230" s="2" t="s">
        <v>13</v>
      </c>
      <c r="H2230" s="2" t="s">
        <v>42</v>
      </c>
      <c r="I2230" s="1" t="s">
        <v>11</v>
      </c>
      <c r="J2230" s="1" t="s">
        <v>8</v>
      </c>
      <c r="K2230" s="89">
        <v>10900</v>
      </c>
      <c r="L2230" s="3">
        <v>60.12</v>
      </c>
      <c r="M2230" s="3">
        <v>9.0500000000000007</v>
      </c>
      <c r="N2230" s="3" t="s">
        <v>8</v>
      </c>
      <c r="O2230" s="3" t="s">
        <v>8</v>
      </c>
    </row>
    <row r="2231" spans="1:15" x14ac:dyDescent="0.35">
      <c r="A2231" s="5" t="str">
        <f>Loads[[#This Row],[Date]]&amp;Loads[[#This Row],[Product]]</f>
        <v>44280Product2</v>
      </c>
      <c r="B2231" s="5">
        <f>COUNTIF($A$1:A2231,Loads[[#This Row],[Load]])</f>
        <v>9</v>
      </c>
      <c r="C2231" s="3" t="str">
        <f>Loads[[#This Row],[Load]]&amp;Loads[[#This Row],[Count]]</f>
        <v>44280Product29</v>
      </c>
      <c r="D2231" s="90">
        <v>44280</v>
      </c>
      <c r="E2231" s="143">
        <v>0.1076388888888889</v>
      </c>
      <c r="F2231" s="1" t="s">
        <v>9</v>
      </c>
      <c r="G2231" s="2" t="s">
        <v>13</v>
      </c>
      <c r="H2231" s="2" t="s">
        <v>42</v>
      </c>
      <c r="I2231" s="1" t="s">
        <v>11</v>
      </c>
      <c r="J2231" s="1" t="s">
        <v>8</v>
      </c>
      <c r="K2231" s="89">
        <v>11580</v>
      </c>
      <c r="L2231" s="3">
        <v>60.75</v>
      </c>
      <c r="M2231" s="3">
        <v>10.89</v>
      </c>
      <c r="N2231" s="3" t="s">
        <v>8</v>
      </c>
      <c r="O2231" s="3" t="s">
        <v>8</v>
      </c>
    </row>
    <row r="2232" spans="1:15" x14ac:dyDescent="0.35">
      <c r="A2232" s="5" t="str">
        <f>Loads[[#This Row],[Date]]&amp;Loads[[#This Row],[Product]]</f>
        <v>44280Product2</v>
      </c>
      <c r="B2232" s="5">
        <f>COUNTIF($A$1:A2232,Loads[[#This Row],[Load]])</f>
        <v>10</v>
      </c>
      <c r="C2232" s="3" t="str">
        <f>Loads[[#This Row],[Load]]&amp;Loads[[#This Row],[Count]]</f>
        <v>44280Product210</v>
      </c>
      <c r="D2232" s="90">
        <v>44280</v>
      </c>
      <c r="E2232" s="143">
        <v>0.1076388888888889</v>
      </c>
      <c r="F2232" s="1" t="s">
        <v>9</v>
      </c>
      <c r="G2232" s="2" t="s">
        <v>13</v>
      </c>
      <c r="H2232" s="2" t="s">
        <v>42</v>
      </c>
      <c r="I2232" s="1" t="s">
        <v>11</v>
      </c>
      <c r="J2232" s="1" t="s">
        <v>8</v>
      </c>
      <c r="K2232" s="89">
        <v>16000</v>
      </c>
      <c r="L2232" s="3">
        <v>59.47</v>
      </c>
      <c r="M2232" s="3">
        <v>10.61</v>
      </c>
      <c r="N2232" s="3" t="s">
        <v>8</v>
      </c>
      <c r="O2232" s="3" t="s">
        <v>8</v>
      </c>
    </row>
    <row r="2233" spans="1:15" x14ac:dyDescent="0.35">
      <c r="A2233" s="5" t="str">
        <f>Loads[[#This Row],[Date]]&amp;Loads[[#This Row],[Product]]</f>
        <v>44280Product2</v>
      </c>
      <c r="B2233" s="5">
        <f>COUNTIF($A$1:A2233,Loads[[#This Row],[Load]])</f>
        <v>11</v>
      </c>
      <c r="C2233" s="3" t="str">
        <f>Loads[[#This Row],[Load]]&amp;Loads[[#This Row],[Count]]</f>
        <v>44280Product211</v>
      </c>
      <c r="D2233" s="90">
        <v>44280</v>
      </c>
      <c r="E2233" s="143">
        <v>0.10833333333333334</v>
      </c>
      <c r="F2233" s="1" t="s">
        <v>9</v>
      </c>
      <c r="G2233" s="2" t="s">
        <v>13</v>
      </c>
      <c r="H2233" s="2" t="s">
        <v>42</v>
      </c>
      <c r="I2233" s="1" t="s">
        <v>11</v>
      </c>
      <c r="J2233" s="1" t="s">
        <v>8</v>
      </c>
      <c r="K2233" s="89">
        <v>10520</v>
      </c>
      <c r="L2233" s="3">
        <v>58.13</v>
      </c>
      <c r="M2233" s="3">
        <v>11.35</v>
      </c>
      <c r="N2233" s="3" t="s">
        <v>8</v>
      </c>
      <c r="O2233" s="3" t="s">
        <v>8</v>
      </c>
    </row>
    <row r="2234" spans="1:15" x14ac:dyDescent="0.35">
      <c r="A2234" s="5" t="str">
        <f>Loads[[#This Row],[Date]]&amp;Loads[[#This Row],[Product]]</f>
        <v>44280Product2</v>
      </c>
      <c r="B2234" s="5">
        <f>COUNTIF($A$1:A2234,Loads[[#This Row],[Load]])</f>
        <v>12</v>
      </c>
      <c r="C2234" s="3" t="str">
        <f>Loads[[#This Row],[Load]]&amp;Loads[[#This Row],[Count]]</f>
        <v>44280Product212</v>
      </c>
      <c r="D2234" s="90">
        <v>44280</v>
      </c>
      <c r="E2234" s="143">
        <v>0.10833333333333334</v>
      </c>
      <c r="F2234" s="1" t="s">
        <v>9</v>
      </c>
      <c r="G2234" s="2" t="s">
        <v>13</v>
      </c>
      <c r="H2234" s="2" t="s">
        <v>42</v>
      </c>
      <c r="I2234" s="1" t="s">
        <v>11</v>
      </c>
      <c r="J2234" s="1" t="s">
        <v>8</v>
      </c>
      <c r="K2234" s="89">
        <v>15700</v>
      </c>
      <c r="L2234" s="3">
        <v>60.09</v>
      </c>
      <c r="M2234" s="3">
        <v>9.8699999999999992</v>
      </c>
      <c r="N2234" s="3" t="s">
        <v>8</v>
      </c>
      <c r="O2234" s="3" t="s">
        <v>8</v>
      </c>
    </row>
    <row r="2235" spans="1:15" x14ac:dyDescent="0.35">
      <c r="A2235" s="5" t="str">
        <f>Loads[[#This Row],[Date]]&amp;Loads[[#This Row],[Product]]</f>
        <v>44281Product6</v>
      </c>
      <c r="B2235" s="5">
        <f>COUNTIF($A$1:A2235,Loads[[#This Row],[Load]])</f>
        <v>1</v>
      </c>
      <c r="C2235" s="3" t="str">
        <f>Loads[[#This Row],[Load]]&amp;Loads[[#This Row],[Count]]</f>
        <v>44281Product61</v>
      </c>
      <c r="D2235" s="90">
        <v>44281</v>
      </c>
      <c r="E2235" s="143">
        <v>3.9583333333333331E-2</v>
      </c>
      <c r="F2235" s="1" t="s">
        <v>9</v>
      </c>
      <c r="G2235" s="2" t="s">
        <v>17</v>
      </c>
      <c r="H2235" s="2" t="s">
        <v>42</v>
      </c>
      <c r="I2235" s="1" t="s">
        <v>11</v>
      </c>
      <c r="J2235" s="1" t="s">
        <v>8</v>
      </c>
      <c r="K2235" s="89">
        <v>28880</v>
      </c>
      <c r="L2235" s="3">
        <v>0.08</v>
      </c>
      <c r="M2235" s="3" t="s">
        <v>8</v>
      </c>
      <c r="N2235" s="3">
        <v>2.11</v>
      </c>
      <c r="O2235" s="3" t="s">
        <v>8</v>
      </c>
    </row>
    <row r="2236" spans="1:15" x14ac:dyDescent="0.35">
      <c r="A2236" s="5" t="str">
        <f>Loads[[#This Row],[Date]]&amp;Loads[[#This Row],[Product]]</f>
        <v>44281Product6</v>
      </c>
      <c r="B2236" s="5">
        <f>COUNTIF($A$1:A2236,Loads[[#This Row],[Load]])</f>
        <v>2</v>
      </c>
      <c r="C2236" s="3" t="str">
        <f>Loads[[#This Row],[Load]]&amp;Loads[[#This Row],[Count]]</f>
        <v>44281Product62</v>
      </c>
      <c r="D2236" s="90">
        <v>44281</v>
      </c>
      <c r="E2236" s="143">
        <v>3.9583333333333331E-2</v>
      </c>
      <c r="F2236" s="1" t="s">
        <v>9</v>
      </c>
      <c r="G2236" s="2" t="s">
        <v>17</v>
      </c>
      <c r="H2236" s="2" t="s">
        <v>42</v>
      </c>
      <c r="I2236" s="1" t="s">
        <v>11</v>
      </c>
      <c r="J2236" s="1" t="s">
        <v>8</v>
      </c>
      <c r="K2236" s="89">
        <v>28300</v>
      </c>
      <c r="L2236" s="3">
        <v>0.08</v>
      </c>
      <c r="M2236" s="3" t="s">
        <v>8</v>
      </c>
      <c r="N2236" s="3">
        <v>2.08</v>
      </c>
      <c r="O2236" s="3" t="s">
        <v>8</v>
      </c>
    </row>
    <row r="2237" spans="1:15" x14ac:dyDescent="0.35">
      <c r="A2237" s="5" t="str">
        <f>Loads[[#This Row],[Date]]&amp;Loads[[#This Row],[Product]]</f>
        <v>44281Product4</v>
      </c>
      <c r="B2237" s="5">
        <f>COUNTIF($A$1:A2237,Loads[[#This Row],[Load]])</f>
        <v>1</v>
      </c>
      <c r="C2237" s="3" t="str">
        <f>Loads[[#This Row],[Load]]&amp;Loads[[#This Row],[Count]]</f>
        <v>44281Product41</v>
      </c>
      <c r="D2237" s="90">
        <v>44281</v>
      </c>
      <c r="E2237" s="143">
        <v>4.027777777777778E-2</v>
      </c>
      <c r="F2237" s="1" t="s">
        <v>9</v>
      </c>
      <c r="G2237" s="2" t="s">
        <v>15</v>
      </c>
      <c r="H2237" s="2" t="s">
        <v>42</v>
      </c>
      <c r="I2237" s="1" t="s">
        <v>11</v>
      </c>
      <c r="J2237" s="1" t="s">
        <v>8</v>
      </c>
      <c r="K2237" s="89">
        <v>30060</v>
      </c>
      <c r="L2237" s="3">
        <v>7.65</v>
      </c>
      <c r="M2237" s="3">
        <v>62.48</v>
      </c>
      <c r="N2237" s="3" t="s">
        <v>8</v>
      </c>
      <c r="O2237" s="3" t="s">
        <v>8</v>
      </c>
    </row>
    <row r="2238" spans="1:15" x14ac:dyDescent="0.35">
      <c r="A2238" s="5" t="str">
        <f>Loads[[#This Row],[Date]]&amp;Loads[[#This Row],[Product]]</f>
        <v>44281Product1</v>
      </c>
      <c r="B2238" s="5">
        <f>COUNTIF($A$1:A2238,Loads[[#This Row],[Load]])</f>
        <v>1</v>
      </c>
      <c r="C2238" s="3" t="str">
        <f>Loads[[#This Row],[Load]]&amp;Loads[[#This Row],[Count]]</f>
        <v>44281Product11</v>
      </c>
      <c r="D2238" s="90">
        <v>44281</v>
      </c>
      <c r="E2238" s="143">
        <v>4.0972222222222222E-2</v>
      </c>
      <c r="F2238" s="1" t="s">
        <v>9</v>
      </c>
      <c r="G2238" s="2" t="s">
        <v>12</v>
      </c>
      <c r="H2238" s="2" t="s">
        <v>42</v>
      </c>
      <c r="I2238" s="1" t="s">
        <v>10</v>
      </c>
      <c r="J2238" s="1">
        <v>652</v>
      </c>
      <c r="K2238" s="89">
        <v>26120</v>
      </c>
      <c r="L2238" s="3">
        <v>8.14</v>
      </c>
      <c r="M2238" s="3">
        <v>21.7</v>
      </c>
      <c r="N2238" s="3" t="s">
        <v>8</v>
      </c>
      <c r="O2238" s="3" t="s">
        <v>8</v>
      </c>
    </row>
    <row r="2239" spans="1:15" x14ac:dyDescent="0.35">
      <c r="A2239" s="5" t="str">
        <f>Loads[[#This Row],[Date]]&amp;Loads[[#This Row],[Product]]</f>
        <v>44281Product1</v>
      </c>
      <c r="B2239" s="5">
        <f>COUNTIF($A$1:A2239,Loads[[#This Row],[Load]])</f>
        <v>2</v>
      </c>
      <c r="C2239" s="3" t="str">
        <f>Loads[[#This Row],[Load]]&amp;Loads[[#This Row],[Count]]</f>
        <v>44281Product12</v>
      </c>
      <c r="D2239" s="90">
        <v>44281</v>
      </c>
      <c r="E2239" s="143">
        <v>4.1666666666666664E-2</v>
      </c>
      <c r="F2239" s="1" t="s">
        <v>9</v>
      </c>
      <c r="G2239" s="2" t="s">
        <v>12</v>
      </c>
      <c r="H2239" s="2" t="s">
        <v>42</v>
      </c>
      <c r="I2239" s="1" t="s">
        <v>11</v>
      </c>
      <c r="J2239" s="1" t="s">
        <v>8</v>
      </c>
      <c r="K2239" s="89">
        <v>31440</v>
      </c>
      <c r="L2239" s="3">
        <v>7.87</v>
      </c>
      <c r="M2239" s="3">
        <v>62.37</v>
      </c>
      <c r="N2239" s="3" t="s">
        <v>8</v>
      </c>
      <c r="O2239" s="3" t="s">
        <v>8</v>
      </c>
    </row>
    <row r="2240" spans="1:15" x14ac:dyDescent="0.35">
      <c r="A2240" s="5" t="str">
        <f>Loads[[#This Row],[Date]]&amp;Loads[[#This Row],[Product]]</f>
        <v>44281Product1</v>
      </c>
      <c r="B2240" s="5">
        <f>COUNTIF($A$1:A2240,Loads[[#This Row],[Load]])</f>
        <v>3</v>
      </c>
      <c r="C2240" s="3" t="str">
        <f>Loads[[#This Row],[Load]]&amp;Loads[[#This Row],[Count]]</f>
        <v>44281Product13</v>
      </c>
      <c r="D2240" s="90">
        <v>44281</v>
      </c>
      <c r="E2240" s="143">
        <v>4.2361111111111106E-2</v>
      </c>
      <c r="F2240" s="1" t="s">
        <v>9</v>
      </c>
      <c r="G2240" s="2" t="s">
        <v>12</v>
      </c>
      <c r="H2240" s="2" t="s">
        <v>42</v>
      </c>
      <c r="I2240" s="1" t="s">
        <v>11</v>
      </c>
      <c r="J2240" s="1" t="s">
        <v>8</v>
      </c>
      <c r="K2240" s="89">
        <v>27880</v>
      </c>
      <c r="L2240" s="3">
        <v>6.41</v>
      </c>
      <c r="M2240" s="3">
        <v>18.7</v>
      </c>
      <c r="N2240" s="3" t="s">
        <v>8</v>
      </c>
      <c r="O2240" s="3" t="s">
        <v>8</v>
      </c>
    </row>
    <row r="2241" spans="1:15" x14ac:dyDescent="0.35">
      <c r="A2241" s="5" t="str">
        <f>Loads[[#This Row],[Date]]&amp;Loads[[#This Row],[Product]]</f>
        <v>44281Product1</v>
      </c>
      <c r="B2241" s="5">
        <f>COUNTIF($A$1:A2241,Loads[[#This Row],[Load]])</f>
        <v>4</v>
      </c>
      <c r="C2241" s="3" t="str">
        <f>Loads[[#This Row],[Load]]&amp;Loads[[#This Row],[Count]]</f>
        <v>44281Product14</v>
      </c>
      <c r="D2241" s="90">
        <v>44281</v>
      </c>
      <c r="E2241" s="143">
        <v>4.3055555555555562E-2</v>
      </c>
      <c r="F2241" s="1" t="s">
        <v>9</v>
      </c>
      <c r="G2241" s="2" t="s">
        <v>12</v>
      </c>
      <c r="H2241" s="2" t="s">
        <v>42</v>
      </c>
      <c r="I2241" s="1" t="s">
        <v>10</v>
      </c>
      <c r="J2241" s="1">
        <v>300</v>
      </c>
      <c r="K2241" s="89">
        <v>11940</v>
      </c>
      <c r="L2241" s="3">
        <v>8.06</v>
      </c>
      <c r="M2241" s="3">
        <v>19.45</v>
      </c>
      <c r="N2241" s="3" t="s">
        <v>8</v>
      </c>
      <c r="O2241" s="3" t="s">
        <v>8</v>
      </c>
    </row>
    <row r="2242" spans="1:15" x14ac:dyDescent="0.35">
      <c r="A2242" s="5" t="str">
        <f>Loads[[#This Row],[Date]]&amp;Loads[[#This Row],[Product]]</f>
        <v>44281Product8</v>
      </c>
      <c r="B2242" s="5">
        <f>COUNTIF($A$1:A2242,Loads[[#This Row],[Load]])</f>
        <v>1</v>
      </c>
      <c r="C2242" s="3" t="str">
        <f>Loads[[#This Row],[Load]]&amp;Loads[[#This Row],[Count]]</f>
        <v>44281Product81</v>
      </c>
      <c r="D2242" s="90">
        <v>44281</v>
      </c>
      <c r="E2242" s="143">
        <v>4.3750000000000004E-2</v>
      </c>
      <c r="F2242" s="1" t="s">
        <v>9</v>
      </c>
      <c r="G2242" s="2" t="s">
        <v>19</v>
      </c>
      <c r="H2242" s="2" t="s">
        <v>42</v>
      </c>
      <c r="I2242" s="1" t="s">
        <v>11</v>
      </c>
      <c r="J2242" s="1" t="s">
        <v>8</v>
      </c>
      <c r="K2242" s="89">
        <v>9380</v>
      </c>
      <c r="L2242" s="3">
        <v>12.48</v>
      </c>
      <c r="M2242" s="3">
        <v>7.2</v>
      </c>
      <c r="N2242" s="3" t="s">
        <v>8</v>
      </c>
      <c r="O2242" s="3" t="s">
        <v>8</v>
      </c>
    </row>
    <row r="2243" spans="1:15" x14ac:dyDescent="0.35">
      <c r="A2243" s="5" t="str">
        <f>Loads[[#This Row],[Date]]&amp;Loads[[#This Row],[Product]]</f>
        <v>44281Product1</v>
      </c>
      <c r="B2243" s="5">
        <f>COUNTIF($A$1:A2243,Loads[[#This Row],[Load]])</f>
        <v>5</v>
      </c>
      <c r="C2243" s="3" t="str">
        <f>Loads[[#This Row],[Load]]&amp;Loads[[#This Row],[Count]]</f>
        <v>44281Product15</v>
      </c>
      <c r="D2243" s="90">
        <v>44281</v>
      </c>
      <c r="E2243" s="143">
        <v>4.4444444444444446E-2</v>
      </c>
      <c r="F2243" s="1" t="s">
        <v>9</v>
      </c>
      <c r="G2243" s="2" t="s">
        <v>12</v>
      </c>
      <c r="H2243" s="2" t="s">
        <v>42</v>
      </c>
      <c r="I2243" s="1" t="s">
        <v>11</v>
      </c>
      <c r="J2243" s="1" t="s">
        <v>8</v>
      </c>
      <c r="K2243" s="89">
        <v>33020</v>
      </c>
      <c r="L2243" s="3">
        <v>8.6199999999999992</v>
      </c>
      <c r="M2243" s="3">
        <v>20.76</v>
      </c>
      <c r="N2243" s="3" t="s">
        <v>8</v>
      </c>
      <c r="O2243" s="3" t="s">
        <v>8</v>
      </c>
    </row>
    <row r="2244" spans="1:15" x14ac:dyDescent="0.35">
      <c r="A2244" s="5" t="str">
        <f>Loads[[#This Row],[Date]]&amp;Loads[[#This Row],[Product]]</f>
        <v>44281Product1</v>
      </c>
      <c r="B2244" s="5">
        <f>COUNTIF($A$1:A2244,Loads[[#This Row],[Load]])</f>
        <v>6</v>
      </c>
      <c r="C2244" s="3" t="str">
        <f>Loads[[#This Row],[Load]]&amp;Loads[[#This Row],[Count]]</f>
        <v>44281Product16</v>
      </c>
      <c r="D2244" s="90">
        <v>44281</v>
      </c>
      <c r="E2244" s="143">
        <v>4.5138888888888888E-2</v>
      </c>
      <c r="F2244" s="1" t="s">
        <v>9</v>
      </c>
      <c r="G2244" s="2" t="s">
        <v>12</v>
      </c>
      <c r="H2244" s="2" t="s">
        <v>42</v>
      </c>
      <c r="I2244" s="1" t="s">
        <v>11</v>
      </c>
      <c r="J2244" s="1" t="s">
        <v>8</v>
      </c>
      <c r="K2244" s="89">
        <v>29080</v>
      </c>
      <c r="L2244" s="3">
        <v>9.2200000000000006</v>
      </c>
      <c r="M2244" s="3">
        <v>19.61</v>
      </c>
      <c r="N2244" s="3" t="s">
        <v>8</v>
      </c>
      <c r="O2244" s="3" t="s">
        <v>8</v>
      </c>
    </row>
    <row r="2245" spans="1:15" x14ac:dyDescent="0.35">
      <c r="A2245" s="5" t="str">
        <f>Loads[[#This Row],[Date]]&amp;Loads[[#This Row],[Product]]</f>
        <v>44281Product8</v>
      </c>
      <c r="B2245" s="5">
        <f>COUNTIF($A$1:A2245,Loads[[#This Row],[Load]])</f>
        <v>2</v>
      </c>
      <c r="C2245" s="3" t="str">
        <f>Loads[[#This Row],[Load]]&amp;Loads[[#This Row],[Count]]</f>
        <v>44281Product82</v>
      </c>
      <c r="D2245" s="90">
        <v>44281</v>
      </c>
      <c r="E2245" s="143">
        <v>4.6527777777777779E-2</v>
      </c>
      <c r="F2245" s="1" t="s">
        <v>9</v>
      </c>
      <c r="G2245" s="2" t="s">
        <v>19</v>
      </c>
      <c r="H2245" s="2" t="s">
        <v>42</v>
      </c>
      <c r="I2245" s="1" t="s">
        <v>11</v>
      </c>
      <c r="J2245" s="1" t="s">
        <v>8</v>
      </c>
      <c r="K2245" s="89">
        <v>13420</v>
      </c>
      <c r="L2245" s="3">
        <v>13.18</v>
      </c>
      <c r="M2245" s="3">
        <v>7.2</v>
      </c>
      <c r="N2245" s="3" t="s">
        <v>8</v>
      </c>
      <c r="O2245" s="3" t="s">
        <v>8</v>
      </c>
    </row>
    <row r="2246" spans="1:15" x14ac:dyDescent="0.35">
      <c r="A2246" s="5" t="str">
        <f>Loads[[#This Row],[Date]]&amp;Loads[[#This Row],[Product]]</f>
        <v>44281Product7</v>
      </c>
      <c r="B2246" s="5">
        <f>COUNTIF($A$1:A2246,Loads[[#This Row],[Load]])</f>
        <v>1</v>
      </c>
      <c r="C2246" s="3" t="str">
        <f>Loads[[#This Row],[Load]]&amp;Loads[[#This Row],[Count]]</f>
        <v>44281Product71</v>
      </c>
      <c r="D2246" s="90">
        <v>44281</v>
      </c>
      <c r="E2246" s="143">
        <v>4.6527777777777779E-2</v>
      </c>
      <c r="F2246" s="1" t="s">
        <v>9</v>
      </c>
      <c r="G2246" s="2" t="s">
        <v>18</v>
      </c>
      <c r="H2246" s="2" t="s">
        <v>42</v>
      </c>
      <c r="I2246" s="1" t="s">
        <v>11</v>
      </c>
      <c r="J2246" s="1" t="s">
        <v>8</v>
      </c>
      <c r="K2246" s="89">
        <v>24520</v>
      </c>
      <c r="L2246" s="3" t="s">
        <v>8</v>
      </c>
      <c r="M2246" s="3">
        <v>22</v>
      </c>
      <c r="N2246" s="3" t="s">
        <v>8</v>
      </c>
      <c r="O2246" s="3">
        <v>40.56</v>
      </c>
    </row>
    <row r="2247" spans="1:15" x14ac:dyDescent="0.35">
      <c r="A2247" s="5" t="str">
        <f>Loads[[#This Row],[Date]]&amp;Loads[[#This Row],[Product]]</f>
        <v>44281Product1</v>
      </c>
      <c r="B2247" s="5">
        <f>COUNTIF($A$1:A2247,Loads[[#This Row],[Load]])</f>
        <v>7</v>
      </c>
      <c r="C2247" s="3" t="str">
        <f>Loads[[#This Row],[Load]]&amp;Loads[[#This Row],[Count]]</f>
        <v>44281Product17</v>
      </c>
      <c r="D2247" s="90">
        <v>44281</v>
      </c>
      <c r="E2247" s="143">
        <v>4.7222222222222221E-2</v>
      </c>
      <c r="F2247" s="1" t="s">
        <v>9</v>
      </c>
      <c r="G2247" s="2" t="s">
        <v>12</v>
      </c>
      <c r="H2247" s="2" t="s">
        <v>42</v>
      </c>
      <c r="I2247" s="1" t="s">
        <v>11</v>
      </c>
      <c r="J2247" s="1" t="s">
        <v>8</v>
      </c>
      <c r="K2247" s="89">
        <v>29760</v>
      </c>
      <c r="L2247" s="3">
        <v>6.57</v>
      </c>
      <c r="M2247" s="3">
        <v>21.03</v>
      </c>
      <c r="N2247" s="3" t="s">
        <v>8</v>
      </c>
      <c r="O2247" s="3" t="s">
        <v>8</v>
      </c>
    </row>
    <row r="2248" spans="1:15" x14ac:dyDescent="0.35">
      <c r="A2248" s="5" t="str">
        <f>Loads[[#This Row],[Date]]&amp;Loads[[#This Row],[Product]]</f>
        <v>44281Product4</v>
      </c>
      <c r="B2248" s="5">
        <f>COUNTIF($A$1:A2248,Loads[[#This Row],[Load]])</f>
        <v>2</v>
      </c>
      <c r="C2248" s="3" t="str">
        <f>Loads[[#This Row],[Load]]&amp;Loads[[#This Row],[Count]]</f>
        <v>44281Product42</v>
      </c>
      <c r="D2248" s="90">
        <v>44281</v>
      </c>
      <c r="E2248" s="143">
        <v>4.7916666666666663E-2</v>
      </c>
      <c r="F2248" s="1" t="s">
        <v>9</v>
      </c>
      <c r="G2248" s="2" t="s">
        <v>15</v>
      </c>
      <c r="H2248" s="2" t="s">
        <v>42</v>
      </c>
      <c r="I2248" s="1" t="s">
        <v>0</v>
      </c>
      <c r="J2248" s="1">
        <v>22</v>
      </c>
      <c r="K2248" s="89">
        <v>26640</v>
      </c>
      <c r="L2248" s="3">
        <v>8.0399999999999991</v>
      </c>
      <c r="M2248" s="3">
        <v>62.19</v>
      </c>
      <c r="N2248" s="3" t="s">
        <v>8</v>
      </c>
      <c r="O2248" s="3" t="s">
        <v>8</v>
      </c>
    </row>
    <row r="2249" spans="1:15" x14ac:dyDescent="0.35">
      <c r="A2249" s="5" t="str">
        <f>Loads[[#This Row],[Date]]&amp;Loads[[#This Row],[Product]]</f>
        <v>44281Product1</v>
      </c>
      <c r="B2249" s="5">
        <f>COUNTIF($A$1:A2249,Loads[[#This Row],[Load]])</f>
        <v>8</v>
      </c>
      <c r="C2249" s="3" t="str">
        <f>Loads[[#This Row],[Load]]&amp;Loads[[#This Row],[Count]]</f>
        <v>44281Product18</v>
      </c>
      <c r="D2249" s="90">
        <v>44281</v>
      </c>
      <c r="E2249" s="143">
        <v>4.8611111111111112E-2</v>
      </c>
      <c r="F2249" s="1" t="s">
        <v>9</v>
      </c>
      <c r="G2249" s="2" t="s">
        <v>12</v>
      </c>
      <c r="H2249" s="2" t="s">
        <v>42</v>
      </c>
      <c r="I2249" s="1" t="s">
        <v>11</v>
      </c>
      <c r="J2249" s="1" t="s">
        <v>8</v>
      </c>
      <c r="K2249" s="89">
        <v>31280</v>
      </c>
      <c r="L2249" s="3">
        <v>7.52</v>
      </c>
      <c r="M2249" s="3">
        <v>20.97</v>
      </c>
      <c r="N2249" s="3" t="s">
        <v>8</v>
      </c>
      <c r="O2249" s="3" t="s">
        <v>8</v>
      </c>
    </row>
    <row r="2250" spans="1:15" x14ac:dyDescent="0.35">
      <c r="A2250" s="5" t="str">
        <f>Loads[[#This Row],[Date]]&amp;Loads[[#This Row],[Product]]</f>
        <v>44281Product5</v>
      </c>
      <c r="B2250" s="5">
        <f>COUNTIF($A$1:A2250,Loads[[#This Row],[Load]])</f>
        <v>1</v>
      </c>
      <c r="C2250" s="3" t="str">
        <f>Loads[[#This Row],[Load]]&amp;Loads[[#This Row],[Count]]</f>
        <v>44281Product51</v>
      </c>
      <c r="D2250" s="90">
        <v>44281</v>
      </c>
      <c r="E2250" s="143">
        <v>4.8611111111111112E-2</v>
      </c>
      <c r="F2250" s="1" t="s">
        <v>9</v>
      </c>
      <c r="G2250" s="2" t="s">
        <v>16</v>
      </c>
      <c r="H2250" s="2" t="s">
        <v>42</v>
      </c>
      <c r="I2250" s="1" t="s">
        <v>11</v>
      </c>
      <c r="J2250" s="1" t="s">
        <v>8</v>
      </c>
      <c r="K2250" s="89">
        <v>16180</v>
      </c>
      <c r="L2250" s="3">
        <v>11.88</v>
      </c>
      <c r="N2250" s="3"/>
      <c r="O2250" s="3"/>
    </row>
    <row r="2251" spans="1:15" x14ac:dyDescent="0.35">
      <c r="A2251" s="5" t="str">
        <f>Loads[[#This Row],[Date]]&amp;Loads[[#This Row],[Product]]</f>
        <v>44281Product1</v>
      </c>
      <c r="B2251" s="5">
        <f>COUNTIF($A$1:A2251,Loads[[#This Row],[Load]])</f>
        <v>9</v>
      </c>
      <c r="C2251" s="3" t="str">
        <f>Loads[[#This Row],[Load]]&amp;Loads[[#This Row],[Count]]</f>
        <v>44281Product19</v>
      </c>
      <c r="D2251" s="90">
        <v>44281</v>
      </c>
      <c r="E2251" s="143">
        <v>4.9305555555555554E-2</v>
      </c>
      <c r="F2251" s="1" t="s">
        <v>9</v>
      </c>
      <c r="G2251" s="2" t="s">
        <v>12</v>
      </c>
      <c r="H2251" s="2" t="s">
        <v>42</v>
      </c>
      <c r="I2251" s="1" t="s">
        <v>10</v>
      </c>
      <c r="J2251" s="1">
        <v>175</v>
      </c>
      <c r="K2251" s="89">
        <v>6940</v>
      </c>
      <c r="L2251" s="3">
        <v>8.61</v>
      </c>
      <c r="M2251" s="3">
        <v>21.07</v>
      </c>
      <c r="N2251" s="3" t="s">
        <v>8</v>
      </c>
      <c r="O2251" s="3" t="s">
        <v>8</v>
      </c>
    </row>
    <row r="2252" spans="1:15" x14ac:dyDescent="0.35">
      <c r="A2252" s="5" t="str">
        <f>Loads[[#This Row],[Date]]&amp;Loads[[#This Row],[Product]]</f>
        <v>44281Product3</v>
      </c>
      <c r="B2252" s="5">
        <f>COUNTIF($A$1:A2252,Loads[[#This Row],[Load]])</f>
        <v>1</v>
      </c>
      <c r="C2252" s="3" t="str">
        <f>Loads[[#This Row],[Load]]&amp;Loads[[#This Row],[Count]]</f>
        <v>44281Product31</v>
      </c>
      <c r="D2252" s="90">
        <v>44281</v>
      </c>
      <c r="E2252" s="143">
        <v>0.11041666666666666</v>
      </c>
      <c r="F2252" s="1" t="s">
        <v>9</v>
      </c>
      <c r="G2252" s="2" t="s">
        <v>14</v>
      </c>
      <c r="H2252" s="2" t="s">
        <v>42</v>
      </c>
      <c r="I2252" s="1" t="s">
        <v>11</v>
      </c>
      <c r="J2252" s="1" t="s">
        <v>8</v>
      </c>
      <c r="K2252" s="89">
        <v>11200</v>
      </c>
      <c r="L2252" s="3">
        <v>59.01</v>
      </c>
      <c r="M2252" s="3">
        <v>10.88</v>
      </c>
      <c r="N2252" s="3" t="s">
        <v>8</v>
      </c>
      <c r="O2252" s="3" t="s">
        <v>8</v>
      </c>
    </row>
    <row r="2253" spans="1:15" x14ac:dyDescent="0.35">
      <c r="A2253" s="5" t="str">
        <f>Loads[[#This Row],[Date]]&amp;Loads[[#This Row],[Product]]</f>
        <v>44281Product2</v>
      </c>
      <c r="B2253" s="5">
        <f>COUNTIF($A$1:A2253,Loads[[#This Row],[Load]])</f>
        <v>1</v>
      </c>
      <c r="C2253" s="3" t="str">
        <f>Loads[[#This Row],[Load]]&amp;Loads[[#This Row],[Count]]</f>
        <v>44281Product21</v>
      </c>
      <c r="D2253" s="90">
        <v>44281</v>
      </c>
      <c r="E2253" s="143">
        <v>0.1111111111111111</v>
      </c>
      <c r="F2253" s="1" t="s">
        <v>9</v>
      </c>
      <c r="G2253" s="2" t="s">
        <v>13</v>
      </c>
      <c r="H2253" s="2" t="s">
        <v>42</v>
      </c>
      <c r="I2253" s="1" t="s">
        <v>11</v>
      </c>
      <c r="J2253" s="1" t="s">
        <v>8</v>
      </c>
      <c r="K2253" s="89">
        <v>10340</v>
      </c>
      <c r="L2253" s="3">
        <v>64.040000000000006</v>
      </c>
      <c r="M2253" s="3">
        <v>7.77</v>
      </c>
      <c r="N2253" s="3" t="s">
        <v>8</v>
      </c>
      <c r="O2253" s="3" t="s">
        <v>8</v>
      </c>
    </row>
    <row r="2254" spans="1:15" x14ac:dyDescent="0.35">
      <c r="A2254" s="5" t="str">
        <f>Loads[[#This Row],[Date]]&amp;Loads[[#This Row],[Product]]</f>
        <v>44281Product2</v>
      </c>
      <c r="B2254" s="5">
        <f>COUNTIF($A$1:A2254,Loads[[#This Row],[Load]])</f>
        <v>2</v>
      </c>
      <c r="C2254" s="3" t="str">
        <f>Loads[[#This Row],[Load]]&amp;Loads[[#This Row],[Count]]</f>
        <v>44281Product22</v>
      </c>
      <c r="D2254" s="90">
        <v>44281</v>
      </c>
      <c r="E2254" s="143">
        <v>0.11180555555555556</v>
      </c>
      <c r="F2254" s="1" t="s">
        <v>9</v>
      </c>
      <c r="G2254" s="2" t="s">
        <v>13</v>
      </c>
      <c r="H2254" s="2" t="s">
        <v>42</v>
      </c>
      <c r="I2254" s="1" t="s">
        <v>11</v>
      </c>
      <c r="J2254" s="1" t="s">
        <v>8</v>
      </c>
      <c r="K2254" s="89">
        <v>16920</v>
      </c>
      <c r="L2254" s="3">
        <v>44.85</v>
      </c>
      <c r="M2254" s="3">
        <v>12.96</v>
      </c>
      <c r="N2254" s="3" t="s">
        <v>8</v>
      </c>
      <c r="O2254" s="3" t="s">
        <v>8</v>
      </c>
    </row>
    <row r="2255" spans="1:15" x14ac:dyDescent="0.35">
      <c r="A2255" s="5" t="str">
        <f>Loads[[#This Row],[Date]]&amp;Loads[[#This Row],[Product]]</f>
        <v>44281Product3</v>
      </c>
      <c r="B2255" s="5">
        <f>COUNTIF($A$1:A2255,Loads[[#This Row],[Load]])</f>
        <v>2</v>
      </c>
      <c r="C2255" s="3" t="str">
        <f>Loads[[#This Row],[Load]]&amp;Loads[[#This Row],[Count]]</f>
        <v>44281Product32</v>
      </c>
      <c r="D2255" s="90">
        <v>44281</v>
      </c>
      <c r="E2255" s="143">
        <v>0.11180555555555556</v>
      </c>
      <c r="F2255" s="1" t="s">
        <v>9</v>
      </c>
      <c r="G2255" s="2" t="s">
        <v>14</v>
      </c>
      <c r="H2255" s="2" t="s">
        <v>42</v>
      </c>
      <c r="I2255" s="1" t="s">
        <v>11</v>
      </c>
      <c r="J2255" s="1" t="s">
        <v>8</v>
      </c>
      <c r="K2255" s="89">
        <v>11740</v>
      </c>
      <c r="L2255" s="3">
        <v>58.86</v>
      </c>
      <c r="M2255" s="3">
        <v>10.41</v>
      </c>
      <c r="N2255" s="3" t="s">
        <v>8</v>
      </c>
      <c r="O2255" s="3" t="s">
        <v>8</v>
      </c>
    </row>
    <row r="2256" spans="1:15" x14ac:dyDescent="0.35">
      <c r="A2256" s="5" t="str">
        <f>Loads[[#This Row],[Date]]&amp;Loads[[#This Row],[Product]]</f>
        <v>44281Product2</v>
      </c>
      <c r="B2256" s="5">
        <f>COUNTIF($A$1:A2256,Loads[[#This Row],[Load]])</f>
        <v>3</v>
      </c>
      <c r="C2256" s="3" t="str">
        <f>Loads[[#This Row],[Load]]&amp;Loads[[#This Row],[Count]]</f>
        <v>44281Product23</v>
      </c>
      <c r="D2256" s="90">
        <v>44281</v>
      </c>
      <c r="E2256" s="143">
        <v>0.1125</v>
      </c>
      <c r="F2256" s="1" t="s">
        <v>9</v>
      </c>
      <c r="G2256" s="2" t="s">
        <v>13</v>
      </c>
      <c r="H2256" s="2" t="s">
        <v>42</v>
      </c>
      <c r="I2256" s="1" t="s">
        <v>11</v>
      </c>
      <c r="J2256" s="1" t="s">
        <v>8</v>
      </c>
      <c r="K2256" s="89">
        <v>10760</v>
      </c>
      <c r="L2256" s="3">
        <v>60.01</v>
      </c>
      <c r="M2256" s="3">
        <v>9.07</v>
      </c>
      <c r="N2256" s="3" t="s">
        <v>8</v>
      </c>
      <c r="O2256" s="3" t="s">
        <v>8</v>
      </c>
    </row>
    <row r="2257" spans="1:15" x14ac:dyDescent="0.35">
      <c r="A2257" s="5" t="str">
        <f>Loads[[#This Row],[Date]]&amp;Loads[[#This Row],[Product]]</f>
        <v>44281Product3</v>
      </c>
      <c r="B2257" s="5">
        <f>COUNTIF($A$1:A2257,Loads[[#This Row],[Load]])</f>
        <v>3</v>
      </c>
      <c r="C2257" s="3" t="str">
        <f>Loads[[#This Row],[Load]]&amp;Loads[[#This Row],[Count]]</f>
        <v>44281Product33</v>
      </c>
      <c r="D2257" s="90">
        <v>44281</v>
      </c>
      <c r="E2257" s="143">
        <v>0.11319444444444444</v>
      </c>
      <c r="F2257" s="1" t="s">
        <v>9</v>
      </c>
      <c r="G2257" s="2" t="s">
        <v>14</v>
      </c>
      <c r="H2257" s="2" t="s">
        <v>42</v>
      </c>
      <c r="I2257" s="1" t="s">
        <v>11</v>
      </c>
      <c r="J2257" s="1" t="s">
        <v>8</v>
      </c>
      <c r="K2257" s="89">
        <v>10780</v>
      </c>
      <c r="L2257" s="3">
        <v>59.7</v>
      </c>
      <c r="M2257" s="3">
        <v>11.07</v>
      </c>
      <c r="N2257" s="3" t="s">
        <v>8</v>
      </c>
      <c r="O2257" s="3" t="s">
        <v>8</v>
      </c>
    </row>
    <row r="2258" spans="1:15" x14ac:dyDescent="0.35">
      <c r="A2258" s="5" t="str">
        <f>Loads[[#This Row],[Date]]&amp;Loads[[#This Row],[Product]]</f>
        <v>44281Product2</v>
      </c>
      <c r="B2258" s="5">
        <f>COUNTIF($A$1:A2258,Loads[[#This Row],[Load]])</f>
        <v>4</v>
      </c>
      <c r="C2258" s="3" t="str">
        <f>Loads[[#This Row],[Load]]&amp;Loads[[#This Row],[Count]]</f>
        <v>44281Product24</v>
      </c>
      <c r="D2258" s="90">
        <v>44281</v>
      </c>
      <c r="E2258" s="143">
        <v>0.11388888888888889</v>
      </c>
      <c r="F2258" s="1" t="s">
        <v>9</v>
      </c>
      <c r="G2258" s="2" t="s">
        <v>13</v>
      </c>
      <c r="H2258" s="2" t="s">
        <v>42</v>
      </c>
      <c r="I2258" s="1" t="s">
        <v>11</v>
      </c>
      <c r="J2258" s="1" t="s">
        <v>8</v>
      </c>
      <c r="K2258" s="89">
        <v>11080</v>
      </c>
      <c r="L2258" s="3">
        <v>61.98</v>
      </c>
      <c r="M2258" s="3">
        <v>9.7899999999999991</v>
      </c>
      <c r="N2258" s="3" t="s">
        <v>8</v>
      </c>
      <c r="O2258" s="3" t="s">
        <v>8</v>
      </c>
    </row>
    <row r="2259" spans="1:15" x14ac:dyDescent="0.35">
      <c r="A2259" s="5" t="str">
        <f>Loads[[#This Row],[Date]]&amp;Loads[[#This Row],[Product]]</f>
        <v>44281Product3</v>
      </c>
      <c r="B2259" s="5">
        <f>COUNTIF($A$1:A2259,Loads[[#This Row],[Load]])</f>
        <v>4</v>
      </c>
      <c r="C2259" s="3" t="str">
        <f>Loads[[#This Row],[Load]]&amp;Loads[[#This Row],[Count]]</f>
        <v>44281Product34</v>
      </c>
      <c r="D2259" s="90">
        <v>44281</v>
      </c>
      <c r="E2259" s="143">
        <v>0.11388888888888889</v>
      </c>
      <c r="F2259" s="1" t="s">
        <v>9</v>
      </c>
      <c r="G2259" s="2" t="s">
        <v>14</v>
      </c>
      <c r="H2259" s="2" t="s">
        <v>42</v>
      </c>
      <c r="I2259" s="1" t="s">
        <v>11</v>
      </c>
      <c r="J2259" s="1" t="s">
        <v>8</v>
      </c>
      <c r="K2259" s="89">
        <v>11000</v>
      </c>
      <c r="L2259" s="3">
        <v>58.35</v>
      </c>
      <c r="M2259" s="3">
        <v>11.17</v>
      </c>
      <c r="N2259" s="3" t="s">
        <v>8</v>
      </c>
      <c r="O2259" s="3" t="s">
        <v>8</v>
      </c>
    </row>
    <row r="2260" spans="1:15" x14ac:dyDescent="0.35">
      <c r="A2260" s="5" t="str">
        <f>Loads[[#This Row],[Date]]&amp;Loads[[#This Row],[Product]]</f>
        <v>44281Product2</v>
      </c>
      <c r="B2260" s="5">
        <f>COUNTIF($A$1:A2260,Loads[[#This Row],[Load]])</f>
        <v>5</v>
      </c>
      <c r="C2260" s="3" t="str">
        <f>Loads[[#This Row],[Load]]&amp;Loads[[#This Row],[Count]]</f>
        <v>44281Product25</v>
      </c>
      <c r="D2260" s="90">
        <v>44281</v>
      </c>
      <c r="E2260" s="143">
        <v>0.11458333333333333</v>
      </c>
      <c r="F2260" s="1" t="s">
        <v>9</v>
      </c>
      <c r="G2260" s="2" t="s">
        <v>13</v>
      </c>
      <c r="H2260" s="2" t="s">
        <v>42</v>
      </c>
      <c r="I2260" s="1" t="s">
        <v>11</v>
      </c>
      <c r="J2260" s="1" t="s">
        <v>8</v>
      </c>
      <c r="K2260" s="89">
        <v>11640</v>
      </c>
      <c r="L2260" s="3">
        <v>61.32</v>
      </c>
      <c r="M2260" s="3">
        <v>10.11</v>
      </c>
      <c r="N2260" s="3" t="s">
        <v>8</v>
      </c>
      <c r="O2260" s="3" t="s">
        <v>8</v>
      </c>
    </row>
    <row r="2261" spans="1:15" x14ac:dyDescent="0.35">
      <c r="A2261" s="5" t="str">
        <f>Loads[[#This Row],[Date]]&amp;Loads[[#This Row],[Product]]</f>
        <v>44281Product2</v>
      </c>
      <c r="B2261" s="5">
        <f>COUNTIF($A$1:A2261,Loads[[#This Row],[Load]])</f>
        <v>6</v>
      </c>
      <c r="C2261" s="3" t="str">
        <f>Loads[[#This Row],[Load]]&amp;Loads[[#This Row],[Count]]</f>
        <v>44281Product26</v>
      </c>
      <c r="D2261" s="90">
        <v>44281</v>
      </c>
      <c r="E2261" s="143">
        <v>0.11527777777777777</v>
      </c>
      <c r="F2261" s="1" t="s">
        <v>9</v>
      </c>
      <c r="G2261" s="2" t="s">
        <v>13</v>
      </c>
      <c r="H2261" s="2" t="s">
        <v>42</v>
      </c>
      <c r="I2261" s="1" t="s">
        <v>11</v>
      </c>
      <c r="J2261" s="1" t="s">
        <v>8</v>
      </c>
      <c r="K2261" s="89">
        <v>11080</v>
      </c>
      <c r="L2261" s="3">
        <v>61.94</v>
      </c>
      <c r="M2261" s="3">
        <v>8.06</v>
      </c>
      <c r="N2261" s="3" t="s">
        <v>8</v>
      </c>
      <c r="O2261" s="3" t="s">
        <v>8</v>
      </c>
    </row>
    <row r="2262" spans="1:15" x14ac:dyDescent="0.35">
      <c r="A2262" s="5" t="str">
        <f>Loads[[#This Row],[Date]]&amp;Loads[[#This Row],[Product]]</f>
        <v>44281Product2</v>
      </c>
      <c r="B2262" s="5">
        <f>COUNTIF($A$1:A2262,Loads[[#This Row],[Load]])</f>
        <v>7</v>
      </c>
      <c r="C2262" s="3" t="str">
        <f>Loads[[#This Row],[Load]]&amp;Loads[[#This Row],[Count]]</f>
        <v>44281Product27</v>
      </c>
      <c r="D2262" s="90">
        <v>44281</v>
      </c>
      <c r="E2262" s="143">
        <v>0.11597222222222221</v>
      </c>
      <c r="F2262" s="1" t="s">
        <v>9</v>
      </c>
      <c r="G2262" s="2" t="s">
        <v>13</v>
      </c>
      <c r="H2262" s="2" t="s">
        <v>42</v>
      </c>
      <c r="I2262" s="1" t="s">
        <v>11</v>
      </c>
      <c r="J2262" s="1" t="s">
        <v>8</v>
      </c>
      <c r="K2262" s="89">
        <v>16840</v>
      </c>
      <c r="L2262" s="3">
        <v>60.12</v>
      </c>
      <c r="M2262" s="3">
        <v>9.1</v>
      </c>
      <c r="N2262" s="3" t="s">
        <v>8</v>
      </c>
      <c r="O2262" s="3" t="s">
        <v>8</v>
      </c>
    </row>
    <row r="2263" spans="1:15" x14ac:dyDescent="0.35">
      <c r="A2263" s="5" t="str">
        <f>Loads[[#This Row],[Date]]&amp;Loads[[#This Row],[Product]]</f>
        <v>44281Product2</v>
      </c>
      <c r="B2263" s="5">
        <f>COUNTIF($A$1:A2263,Loads[[#This Row],[Load]])</f>
        <v>8</v>
      </c>
      <c r="C2263" s="3" t="str">
        <f>Loads[[#This Row],[Load]]&amp;Loads[[#This Row],[Count]]</f>
        <v>44281Product28</v>
      </c>
      <c r="D2263" s="90">
        <v>44281</v>
      </c>
      <c r="E2263" s="143">
        <v>0.11666666666666665</v>
      </c>
      <c r="F2263" s="1" t="s">
        <v>9</v>
      </c>
      <c r="G2263" s="2" t="s">
        <v>13</v>
      </c>
      <c r="H2263" s="2" t="s">
        <v>42</v>
      </c>
      <c r="I2263" s="1" t="s">
        <v>11</v>
      </c>
      <c r="J2263" s="1" t="s">
        <v>8</v>
      </c>
      <c r="K2263" s="89">
        <v>12040</v>
      </c>
      <c r="L2263" s="3">
        <v>61.05</v>
      </c>
      <c r="M2263" s="3">
        <v>9.1199999999999992</v>
      </c>
      <c r="N2263" s="3" t="s">
        <v>8</v>
      </c>
      <c r="O2263" s="3" t="s">
        <v>8</v>
      </c>
    </row>
    <row r="2264" spans="1:15" x14ac:dyDescent="0.35">
      <c r="A2264" s="5" t="str">
        <f>Loads[[#This Row],[Date]]&amp;Loads[[#This Row],[Product]]</f>
        <v>44281Product2</v>
      </c>
      <c r="B2264" s="5">
        <f>COUNTIF($A$1:A2264,Loads[[#This Row],[Load]])</f>
        <v>9</v>
      </c>
      <c r="C2264" s="3" t="str">
        <f>Loads[[#This Row],[Load]]&amp;Loads[[#This Row],[Count]]</f>
        <v>44281Product29</v>
      </c>
      <c r="D2264" s="90">
        <v>44281</v>
      </c>
      <c r="E2264" s="143">
        <v>0.1173611111111111</v>
      </c>
      <c r="F2264" s="1" t="s">
        <v>9</v>
      </c>
      <c r="G2264" s="2" t="s">
        <v>13</v>
      </c>
      <c r="H2264" s="2" t="s">
        <v>42</v>
      </c>
      <c r="I2264" s="1" t="s">
        <v>11</v>
      </c>
      <c r="J2264" s="1" t="s">
        <v>8</v>
      </c>
      <c r="K2264" s="89">
        <v>13040</v>
      </c>
      <c r="L2264" s="3">
        <v>60.86</v>
      </c>
      <c r="M2264" s="3">
        <v>9.82</v>
      </c>
      <c r="N2264" s="3" t="s">
        <v>8</v>
      </c>
      <c r="O2264" s="3" t="s">
        <v>8</v>
      </c>
    </row>
    <row r="2265" spans="1:15" x14ac:dyDescent="0.35">
      <c r="A2265" s="5" t="str">
        <f>Loads[[#This Row],[Date]]&amp;Loads[[#This Row],[Product]]</f>
        <v>44281Product2</v>
      </c>
      <c r="B2265" s="5">
        <f>COUNTIF($A$1:A2265,Loads[[#This Row],[Load]])</f>
        <v>10</v>
      </c>
      <c r="C2265" s="3" t="str">
        <f>Loads[[#This Row],[Load]]&amp;Loads[[#This Row],[Count]]</f>
        <v>44281Product210</v>
      </c>
      <c r="D2265" s="90">
        <v>44281</v>
      </c>
      <c r="E2265" s="143">
        <v>0.1173611111111111</v>
      </c>
      <c r="F2265" s="1" t="s">
        <v>9</v>
      </c>
      <c r="G2265" s="2" t="s">
        <v>13</v>
      </c>
      <c r="H2265" s="2" t="s">
        <v>42</v>
      </c>
      <c r="I2265" s="1" t="s">
        <v>11</v>
      </c>
      <c r="J2265" s="1" t="s">
        <v>8</v>
      </c>
      <c r="K2265" s="89">
        <v>11880</v>
      </c>
      <c r="L2265" s="3">
        <v>61.27</v>
      </c>
      <c r="M2265" s="3">
        <v>10.029999999999999</v>
      </c>
      <c r="N2265" s="3" t="s">
        <v>8</v>
      </c>
      <c r="O2265" s="3" t="s">
        <v>8</v>
      </c>
    </row>
    <row r="2266" spans="1:15" x14ac:dyDescent="0.35">
      <c r="A2266" s="5" t="str">
        <f>Loads[[#This Row],[Date]]&amp;Loads[[#This Row],[Product]]</f>
        <v>44282Product1</v>
      </c>
      <c r="B2266" s="5">
        <f>COUNTIF($A$1:A2266,Loads[[#This Row],[Load]])</f>
        <v>1</v>
      </c>
      <c r="C2266" s="3" t="str">
        <f>Loads[[#This Row],[Load]]&amp;Loads[[#This Row],[Count]]</f>
        <v>44282Product11</v>
      </c>
      <c r="D2266" s="90">
        <v>44282</v>
      </c>
      <c r="E2266" s="143">
        <v>2.7777777777777776E-2</v>
      </c>
      <c r="F2266" s="1" t="s">
        <v>9</v>
      </c>
      <c r="G2266" s="2" t="s">
        <v>12</v>
      </c>
      <c r="H2266" s="2" t="s">
        <v>42</v>
      </c>
      <c r="I2266" s="1" t="s">
        <v>11</v>
      </c>
      <c r="J2266" s="1" t="s">
        <v>8</v>
      </c>
      <c r="K2266" s="89">
        <v>24620</v>
      </c>
      <c r="L2266" s="3">
        <v>9.4</v>
      </c>
      <c r="M2266" s="3">
        <v>21.51</v>
      </c>
      <c r="N2266" s="3" t="s">
        <v>8</v>
      </c>
      <c r="O2266" s="3" t="s">
        <v>8</v>
      </c>
    </row>
    <row r="2267" spans="1:15" x14ac:dyDescent="0.35">
      <c r="A2267" s="5" t="str">
        <f>Loads[[#This Row],[Date]]&amp;Loads[[#This Row],[Product]]</f>
        <v>44282Product6</v>
      </c>
      <c r="B2267" s="5">
        <f>COUNTIF($A$1:A2267,Loads[[#This Row],[Load]])</f>
        <v>1</v>
      </c>
      <c r="C2267" s="3" t="str">
        <f>Loads[[#This Row],[Load]]&amp;Loads[[#This Row],[Count]]</f>
        <v>44282Product61</v>
      </c>
      <c r="D2267" s="90">
        <v>44282</v>
      </c>
      <c r="E2267" s="143">
        <v>2.9166666666666664E-2</v>
      </c>
      <c r="F2267" s="1" t="s">
        <v>9</v>
      </c>
      <c r="G2267" s="2" t="s">
        <v>17</v>
      </c>
      <c r="H2267" s="2" t="s">
        <v>42</v>
      </c>
      <c r="I2267" s="1" t="s">
        <v>11</v>
      </c>
      <c r="J2267" s="1" t="s">
        <v>8</v>
      </c>
      <c r="K2267" s="89">
        <v>35380</v>
      </c>
      <c r="L2267" s="3">
        <v>0.1</v>
      </c>
      <c r="M2267" s="3" t="s">
        <v>8</v>
      </c>
      <c r="N2267" s="3">
        <v>2.12</v>
      </c>
      <c r="O2267" s="3" t="s">
        <v>8</v>
      </c>
    </row>
    <row r="2268" spans="1:15" x14ac:dyDescent="0.35">
      <c r="A2268" s="5" t="str">
        <f>Loads[[#This Row],[Date]]&amp;Loads[[#This Row],[Product]]</f>
        <v>44282Product1</v>
      </c>
      <c r="B2268" s="5">
        <f>COUNTIF($A$1:A2268,Loads[[#This Row],[Load]])</f>
        <v>2</v>
      </c>
      <c r="C2268" s="3" t="str">
        <f>Loads[[#This Row],[Load]]&amp;Loads[[#This Row],[Count]]</f>
        <v>44282Product12</v>
      </c>
      <c r="D2268" s="90">
        <v>44282</v>
      </c>
      <c r="E2268" s="143">
        <v>2.9861111111111113E-2</v>
      </c>
      <c r="F2268" s="1" t="s">
        <v>9</v>
      </c>
      <c r="G2268" s="2" t="s">
        <v>12</v>
      </c>
      <c r="H2268" s="2" t="s">
        <v>42</v>
      </c>
      <c r="I2268" s="1" t="s">
        <v>11</v>
      </c>
      <c r="J2268" s="1" t="s">
        <v>8</v>
      </c>
      <c r="K2268" s="89">
        <v>24220</v>
      </c>
      <c r="L2268" s="3">
        <v>6.89</v>
      </c>
      <c r="M2268" s="3">
        <v>22.5</v>
      </c>
      <c r="N2268" s="3" t="s">
        <v>8</v>
      </c>
      <c r="O2268" s="3" t="s">
        <v>8</v>
      </c>
    </row>
    <row r="2269" spans="1:15" x14ac:dyDescent="0.35">
      <c r="A2269" s="5" t="str">
        <f>Loads[[#This Row],[Date]]&amp;Loads[[#This Row],[Product]]</f>
        <v>44282Product4</v>
      </c>
      <c r="B2269" s="5">
        <f>COUNTIF($A$1:A2269,Loads[[#This Row],[Load]])</f>
        <v>1</v>
      </c>
      <c r="C2269" s="3" t="str">
        <f>Loads[[#This Row],[Load]]&amp;Loads[[#This Row],[Count]]</f>
        <v>44282Product41</v>
      </c>
      <c r="D2269" s="90">
        <v>44282</v>
      </c>
      <c r="E2269" s="143">
        <v>3.1944444444444449E-2</v>
      </c>
      <c r="F2269" s="1" t="s">
        <v>9</v>
      </c>
      <c r="G2269" s="2" t="s">
        <v>15</v>
      </c>
      <c r="H2269" s="2" t="s">
        <v>42</v>
      </c>
      <c r="I2269" s="1" t="s">
        <v>0</v>
      </c>
      <c r="J2269" s="1">
        <v>22</v>
      </c>
      <c r="K2269" s="89">
        <v>26640</v>
      </c>
      <c r="L2269" s="3">
        <v>8.66</v>
      </c>
      <c r="M2269" s="3">
        <v>63.1</v>
      </c>
      <c r="N2269" s="3" t="s">
        <v>8</v>
      </c>
      <c r="O2269" s="3" t="s">
        <v>8</v>
      </c>
    </row>
    <row r="2270" spans="1:15" x14ac:dyDescent="0.35">
      <c r="A2270" s="5" t="str">
        <f>Loads[[#This Row],[Date]]&amp;Loads[[#This Row],[Product]]</f>
        <v>44282Product8</v>
      </c>
      <c r="B2270" s="5">
        <f>COUNTIF($A$1:A2270,Loads[[#This Row],[Load]])</f>
        <v>1</v>
      </c>
      <c r="C2270" s="3" t="str">
        <f>Loads[[#This Row],[Load]]&amp;Loads[[#This Row],[Count]]</f>
        <v>44282Product81</v>
      </c>
      <c r="D2270" s="90">
        <v>44282</v>
      </c>
      <c r="E2270" s="143">
        <v>4.0972222222222222E-2</v>
      </c>
      <c r="F2270" s="1" t="s">
        <v>9</v>
      </c>
      <c r="G2270" s="2" t="s">
        <v>19</v>
      </c>
      <c r="H2270" s="2" t="s">
        <v>42</v>
      </c>
      <c r="I2270" s="1" t="s">
        <v>11</v>
      </c>
      <c r="J2270" s="1" t="s">
        <v>8</v>
      </c>
      <c r="K2270" s="89">
        <v>13080</v>
      </c>
      <c r="L2270" s="3">
        <v>11.07</v>
      </c>
      <c r="M2270" s="3">
        <v>7.2</v>
      </c>
      <c r="N2270" s="3" t="s">
        <v>8</v>
      </c>
      <c r="O2270" s="3" t="s">
        <v>8</v>
      </c>
    </row>
    <row r="2271" spans="1:15" x14ac:dyDescent="0.35">
      <c r="A2271" s="5" t="str">
        <f>Loads[[#This Row],[Date]]&amp;Loads[[#This Row],[Product]]</f>
        <v>44282Product1</v>
      </c>
      <c r="B2271" s="5">
        <f>COUNTIF($A$1:A2271,Loads[[#This Row],[Load]])</f>
        <v>3</v>
      </c>
      <c r="C2271" s="3" t="str">
        <f>Loads[[#This Row],[Load]]&amp;Loads[[#This Row],[Count]]</f>
        <v>44282Product13</v>
      </c>
      <c r="D2271" s="90">
        <v>44282</v>
      </c>
      <c r="E2271" s="143">
        <v>4.1666666666666664E-2</v>
      </c>
      <c r="F2271" s="1" t="s">
        <v>9</v>
      </c>
      <c r="G2271" s="2" t="s">
        <v>12</v>
      </c>
      <c r="H2271" s="2" t="s">
        <v>42</v>
      </c>
      <c r="I2271" s="1" t="s">
        <v>11</v>
      </c>
      <c r="J2271" s="1" t="s">
        <v>8</v>
      </c>
      <c r="K2271" s="89">
        <v>20220</v>
      </c>
      <c r="L2271" s="3">
        <v>7.65</v>
      </c>
      <c r="M2271" s="3">
        <v>22.71</v>
      </c>
      <c r="N2271" s="3" t="s">
        <v>8</v>
      </c>
      <c r="O2271" s="3" t="s">
        <v>8</v>
      </c>
    </row>
    <row r="2272" spans="1:15" x14ac:dyDescent="0.35">
      <c r="A2272" s="5" t="str">
        <f>Loads[[#This Row],[Date]]&amp;Loads[[#This Row],[Product]]</f>
        <v>44282Product1</v>
      </c>
      <c r="B2272" s="5">
        <f>COUNTIF($A$1:A2272,Loads[[#This Row],[Load]])</f>
        <v>4</v>
      </c>
      <c r="C2272" s="3" t="str">
        <f>Loads[[#This Row],[Load]]&amp;Loads[[#This Row],[Count]]</f>
        <v>44282Product14</v>
      </c>
      <c r="D2272" s="90">
        <v>44282</v>
      </c>
      <c r="E2272" s="143">
        <v>4.3055555555555562E-2</v>
      </c>
      <c r="F2272" s="1" t="s">
        <v>9</v>
      </c>
      <c r="G2272" s="2" t="s">
        <v>12</v>
      </c>
      <c r="H2272" s="2" t="s">
        <v>42</v>
      </c>
      <c r="I2272" s="1" t="s">
        <v>11</v>
      </c>
      <c r="J2272" s="1" t="s">
        <v>8</v>
      </c>
      <c r="K2272" s="89">
        <v>12640</v>
      </c>
      <c r="L2272" s="3">
        <v>7.67</v>
      </c>
      <c r="M2272" s="3">
        <v>21.38</v>
      </c>
      <c r="N2272" s="3" t="s">
        <v>8</v>
      </c>
      <c r="O2272" s="3" t="s">
        <v>8</v>
      </c>
    </row>
    <row r="2273" spans="1:15" x14ac:dyDescent="0.35">
      <c r="A2273" s="5" t="str">
        <f>Loads[[#This Row],[Date]]&amp;Loads[[#This Row],[Product]]</f>
        <v>44282Product1</v>
      </c>
      <c r="B2273" s="5">
        <f>COUNTIF($A$1:A2273,Loads[[#This Row],[Load]])</f>
        <v>5</v>
      </c>
      <c r="C2273" s="3" t="str">
        <f>Loads[[#This Row],[Load]]&amp;Loads[[#This Row],[Count]]</f>
        <v>44282Product15</v>
      </c>
      <c r="D2273" s="90">
        <v>44282</v>
      </c>
      <c r="E2273" s="143">
        <v>4.3750000000000004E-2</v>
      </c>
      <c r="F2273" s="1" t="s">
        <v>9</v>
      </c>
      <c r="G2273" s="2" t="s">
        <v>12</v>
      </c>
      <c r="H2273" s="2" t="s">
        <v>42</v>
      </c>
      <c r="I2273" s="1" t="s">
        <v>11</v>
      </c>
      <c r="J2273" s="1" t="s">
        <v>8</v>
      </c>
      <c r="K2273" s="89">
        <v>30680</v>
      </c>
      <c r="L2273" s="3">
        <v>7.63</v>
      </c>
      <c r="M2273" s="3">
        <v>21.9</v>
      </c>
      <c r="N2273" s="3" t="s">
        <v>8</v>
      </c>
      <c r="O2273" s="3" t="s">
        <v>8</v>
      </c>
    </row>
    <row r="2274" spans="1:15" x14ac:dyDescent="0.35">
      <c r="A2274" s="5" t="str">
        <f>Loads[[#This Row],[Date]]&amp;Loads[[#This Row],[Product]]</f>
        <v>44282Product1</v>
      </c>
      <c r="B2274" s="5">
        <f>COUNTIF($A$1:A2274,Loads[[#This Row],[Load]])</f>
        <v>6</v>
      </c>
      <c r="C2274" s="3" t="str">
        <f>Loads[[#This Row],[Load]]&amp;Loads[[#This Row],[Count]]</f>
        <v>44282Product16</v>
      </c>
      <c r="D2274" s="90">
        <v>44282</v>
      </c>
      <c r="E2274" s="143">
        <v>4.4444444444444446E-2</v>
      </c>
      <c r="F2274" s="1" t="s">
        <v>9</v>
      </c>
      <c r="G2274" s="2" t="s">
        <v>12</v>
      </c>
      <c r="H2274" s="2" t="s">
        <v>42</v>
      </c>
      <c r="I2274" s="1" t="s">
        <v>11</v>
      </c>
      <c r="J2274" s="1" t="s">
        <v>8</v>
      </c>
      <c r="K2274" s="89">
        <v>19660</v>
      </c>
      <c r="L2274" s="3">
        <v>7.52</v>
      </c>
      <c r="M2274" s="3">
        <v>21.34</v>
      </c>
      <c r="N2274" s="3" t="s">
        <v>8</v>
      </c>
      <c r="O2274" s="3" t="s">
        <v>8</v>
      </c>
    </row>
    <row r="2275" spans="1:15" x14ac:dyDescent="0.35">
      <c r="A2275" s="5" t="str">
        <f>Loads[[#This Row],[Date]]&amp;Loads[[#This Row],[Product]]</f>
        <v>44282Product1</v>
      </c>
      <c r="B2275" s="5">
        <f>COUNTIF($A$1:A2275,Loads[[#This Row],[Load]])</f>
        <v>7</v>
      </c>
      <c r="C2275" s="3" t="str">
        <f>Loads[[#This Row],[Load]]&amp;Loads[[#This Row],[Count]]</f>
        <v>44282Product17</v>
      </c>
      <c r="D2275" s="90">
        <v>44282</v>
      </c>
      <c r="E2275" s="143">
        <v>4.5833333333333337E-2</v>
      </c>
      <c r="F2275" s="1" t="s">
        <v>9</v>
      </c>
      <c r="G2275" s="2" t="s">
        <v>12</v>
      </c>
      <c r="H2275" s="2" t="s">
        <v>42</v>
      </c>
      <c r="I2275" s="1" t="s">
        <v>11</v>
      </c>
      <c r="J2275" s="1" t="s">
        <v>8</v>
      </c>
      <c r="K2275" s="89">
        <v>29440</v>
      </c>
      <c r="L2275" s="3">
        <v>7.6</v>
      </c>
      <c r="M2275" s="3">
        <v>21.23</v>
      </c>
      <c r="N2275" s="3" t="s">
        <v>8</v>
      </c>
      <c r="O2275" s="3" t="s">
        <v>8</v>
      </c>
    </row>
    <row r="2276" spans="1:15" x14ac:dyDescent="0.35">
      <c r="A2276" s="5" t="str">
        <f>Loads[[#This Row],[Date]]&amp;Loads[[#This Row],[Product]]</f>
        <v>44282Product6</v>
      </c>
      <c r="B2276" s="5">
        <f>COUNTIF($A$1:A2276,Loads[[#This Row],[Load]])</f>
        <v>2</v>
      </c>
      <c r="C2276" s="3" t="str">
        <f>Loads[[#This Row],[Load]]&amp;Loads[[#This Row],[Count]]</f>
        <v>44282Product62</v>
      </c>
      <c r="D2276" s="90">
        <v>44282</v>
      </c>
      <c r="E2276" s="143">
        <v>4.6527777777777779E-2</v>
      </c>
      <c r="F2276" s="1" t="s">
        <v>9</v>
      </c>
      <c r="G2276" s="2" t="s">
        <v>17</v>
      </c>
      <c r="H2276" s="2" t="s">
        <v>42</v>
      </c>
      <c r="I2276" s="1" t="s">
        <v>11</v>
      </c>
      <c r="J2276" s="1" t="s">
        <v>8</v>
      </c>
      <c r="K2276" s="89">
        <v>35200</v>
      </c>
      <c r="L2276" s="3">
        <v>0.1</v>
      </c>
      <c r="M2276" s="3" t="s">
        <v>8</v>
      </c>
      <c r="N2276" s="3">
        <v>2.12</v>
      </c>
      <c r="O2276" s="3" t="s">
        <v>8</v>
      </c>
    </row>
    <row r="2277" spans="1:15" x14ac:dyDescent="0.35">
      <c r="A2277" s="5" t="str">
        <f>Loads[[#This Row],[Date]]&amp;Loads[[#This Row],[Product]]</f>
        <v>44282Product1</v>
      </c>
      <c r="B2277" s="5">
        <f>COUNTIF($A$1:A2277,Loads[[#This Row],[Load]])</f>
        <v>8</v>
      </c>
      <c r="C2277" s="3" t="str">
        <f>Loads[[#This Row],[Load]]&amp;Loads[[#This Row],[Count]]</f>
        <v>44282Product18</v>
      </c>
      <c r="D2277" s="90">
        <v>44282</v>
      </c>
      <c r="E2277" s="143">
        <v>4.7222222222222221E-2</v>
      </c>
      <c r="F2277" s="1" t="s">
        <v>9</v>
      </c>
      <c r="G2277" s="2" t="s">
        <v>12</v>
      </c>
      <c r="H2277" s="2" t="s">
        <v>42</v>
      </c>
      <c r="I2277" s="1" t="s">
        <v>10</v>
      </c>
      <c r="J2277" s="1">
        <v>330</v>
      </c>
      <c r="K2277" s="89">
        <v>13240</v>
      </c>
      <c r="L2277" s="3">
        <v>7.52</v>
      </c>
      <c r="M2277" s="3">
        <v>21.62</v>
      </c>
      <c r="N2277" s="3" t="s">
        <v>8</v>
      </c>
      <c r="O2277" s="3" t="s">
        <v>8</v>
      </c>
    </row>
    <row r="2278" spans="1:15" x14ac:dyDescent="0.35">
      <c r="A2278" s="5" t="str">
        <f>Loads[[#This Row],[Date]]&amp;Loads[[#This Row],[Product]]</f>
        <v>44282Product1</v>
      </c>
      <c r="B2278" s="5">
        <f>COUNTIF($A$1:A2278,Loads[[#This Row],[Load]])</f>
        <v>9</v>
      </c>
      <c r="C2278" s="3" t="str">
        <f>Loads[[#This Row],[Load]]&amp;Loads[[#This Row],[Count]]</f>
        <v>44282Product19</v>
      </c>
      <c r="D2278" s="90">
        <v>44282</v>
      </c>
      <c r="E2278" s="143">
        <v>4.9305555555555554E-2</v>
      </c>
      <c r="F2278" s="1" t="s">
        <v>9</v>
      </c>
      <c r="G2278" s="2" t="s">
        <v>12</v>
      </c>
      <c r="H2278" s="2" t="s">
        <v>42</v>
      </c>
      <c r="I2278" s="1" t="s">
        <v>11</v>
      </c>
      <c r="J2278" s="1" t="s">
        <v>8</v>
      </c>
      <c r="K2278" s="89">
        <v>26800</v>
      </c>
      <c r="L2278" s="3">
        <v>7.58</v>
      </c>
      <c r="M2278" s="3">
        <v>22.04</v>
      </c>
      <c r="N2278" s="3" t="s">
        <v>8</v>
      </c>
      <c r="O2278" s="3" t="s">
        <v>8</v>
      </c>
    </row>
    <row r="2279" spans="1:15" x14ac:dyDescent="0.35">
      <c r="A2279" s="5" t="str">
        <f>Loads[[#This Row],[Date]]&amp;Loads[[#This Row],[Product]]</f>
        <v>44282Product8</v>
      </c>
      <c r="B2279" s="5">
        <f>COUNTIF($A$1:A2279,Loads[[#This Row],[Load]])</f>
        <v>2</v>
      </c>
      <c r="C2279" s="3" t="str">
        <f>Loads[[#This Row],[Load]]&amp;Loads[[#This Row],[Count]]</f>
        <v>44282Product82</v>
      </c>
      <c r="D2279" s="90">
        <v>44282</v>
      </c>
      <c r="E2279" s="143">
        <v>4.9999999999999996E-2</v>
      </c>
      <c r="F2279" s="1" t="s">
        <v>9</v>
      </c>
      <c r="G2279" s="2" t="s">
        <v>19</v>
      </c>
      <c r="H2279" s="2" t="s">
        <v>42</v>
      </c>
      <c r="I2279" s="1" t="s">
        <v>11</v>
      </c>
      <c r="J2279" s="1" t="s">
        <v>8</v>
      </c>
      <c r="K2279" s="89">
        <v>12280</v>
      </c>
      <c r="L2279" s="3">
        <v>8.4700000000000006</v>
      </c>
      <c r="M2279" s="3">
        <v>7.2</v>
      </c>
      <c r="N2279" s="3" t="s">
        <v>8</v>
      </c>
      <c r="O2279" s="3" t="s">
        <v>8</v>
      </c>
    </row>
    <row r="2280" spans="1:15" x14ac:dyDescent="0.35">
      <c r="A2280" s="5" t="str">
        <f>Loads[[#This Row],[Date]]&amp;Loads[[#This Row],[Product]]</f>
        <v>44282Product1</v>
      </c>
      <c r="B2280" s="5">
        <f>COUNTIF($A$1:A2280,Loads[[#This Row],[Load]])</f>
        <v>10</v>
      </c>
      <c r="C2280" s="3" t="str">
        <f>Loads[[#This Row],[Load]]&amp;Loads[[#This Row],[Count]]</f>
        <v>44282Product110</v>
      </c>
      <c r="D2280" s="90">
        <v>44282</v>
      </c>
      <c r="E2280" s="143">
        <v>5.0694444444444452E-2</v>
      </c>
      <c r="F2280" s="1" t="s">
        <v>9</v>
      </c>
      <c r="G2280" s="2" t="s">
        <v>12</v>
      </c>
      <c r="H2280" s="2" t="s">
        <v>42</v>
      </c>
      <c r="I2280" s="1" t="s">
        <v>11</v>
      </c>
      <c r="J2280" s="1" t="s">
        <v>8</v>
      </c>
      <c r="K2280" s="89">
        <v>27920</v>
      </c>
      <c r="L2280" s="3">
        <v>8</v>
      </c>
      <c r="M2280" s="3">
        <v>21.43</v>
      </c>
      <c r="N2280" s="3" t="s">
        <v>8</v>
      </c>
      <c r="O2280" s="3" t="s">
        <v>8</v>
      </c>
    </row>
    <row r="2281" spans="1:15" x14ac:dyDescent="0.35">
      <c r="A2281" s="5" t="str">
        <f>Loads[[#This Row],[Date]]&amp;Loads[[#This Row],[Product]]</f>
        <v>44282Product1</v>
      </c>
      <c r="B2281" s="5">
        <f>COUNTIF($A$1:A2281,Loads[[#This Row],[Load]])</f>
        <v>11</v>
      </c>
      <c r="C2281" s="3" t="str">
        <f>Loads[[#This Row],[Load]]&amp;Loads[[#This Row],[Count]]</f>
        <v>44282Product111</v>
      </c>
      <c r="D2281" s="90">
        <v>44282</v>
      </c>
      <c r="E2281" s="143">
        <v>6.1805555555555558E-2</v>
      </c>
      <c r="F2281" s="1" t="s">
        <v>9</v>
      </c>
      <c r="G2281" s="2" t="s">
        <v>12</v>
      </c>
      <c r="H2281" s="2" t="s">
        <v>42</v>
      </c>
      <c r="I2281" s="1" t="s">
        <v>11</v>
      </c>
      <c r="J2281" s="1" t="s">
        <v>8</v>
      </c>
      <c r="K2281" s="89">
        <v>27580</v>
      </c>
      <c r="L2281" s="3">
        <v>8.43</v>
      </c>
      <c r="M2281" s="3">
        <v>21.05</v>
      </c>
      <c r="N2281" s="3" t="s">
        <v>8</v>
      </c>
      <c r="O2281" s="3" t="s">
        <v>8</v>
      </c>
    </row>
    <row r="2282" spans="1:15" x14ac:dyDescent="0.35">
      <c r="A2282" s="5" t="str">
        <f>Loads[[#This Row],[Date]]&amp;Loads[[#This Row],[Product]]</f>
        <v>44282Product1</v>
      </c>
      <c r="B2282" s="5">
        <f>COUNTIF($A$1:A2282,Loads[[#This Row],[Load]])</f>
        <v>12</v>
      </c>
      <c r="C2282" s="3" t="str">
        <f>Loads[[#This Row],[Load]]&amp;Loads[[#This Row],[Count]]</f>
        <v>44282Product112</v>
      </c>
      <c r="D2282" s="90">
        <v>44282</v>
      </c>
      <c r="E2282" s="143">
        <v>6.25E-2</v>
      </c>
      <c r="F2282" s="1" t="s">
        <v>9</v>
      </c>
      <c r="G2282" s="2" t="s">
        <v>12</v>
      </c>
      <c r="H2282" s="2" t="s">
        <v>42</v>
      </c>
      <c r="I2282" s="1" t="s">
        <v>11</v>
      </c>
      <c r="J2282" s="1" t="s">
        <v>8</v>
      </c>
      <c r="K2282" s="89">
        <v>23380</v>
      </c>
      <c r="L2282" s="3">
        <v>8.48</v>
      </c>
      <c r="M2282" s="3">
        <v>21.19</v>
      </c>
      <c r="N2282" s="3" t="s">
        <v>8</v>
      </c>
      <c r="O2282" s="3" t="s">
        <v>8</v>
      </c>
    </row>
    <row r="2283" spans="1:15" x14ac:dyDescent="0.35">
      <c r="A2283" s="5" t="str">
        <f>Loads[[#This Row],[Date]]&amp;Loads[[#This Row],[Product]]</f>
        <v>44282Product4</v>
      </c>
      <c r="B2283" s="5">
        <f>COUNTIF($A$1:A2283,Loads[[#This Row],[Load]])</f>
        <v>2</v>
      </c>
      <c r="C2283" s="3" t="str">
        <f>Loads[[#This Row],[Load]]&amp;Loads[[#This Row],[Count]]</f>
        <v>44282Product42</v>
      </c>
      <c r="D2283" s="90">
        <v>44282</v>
      </c>
      <c r="E2283" s="143">
        <v>6.3888888888888884E-2</v>
      </c>
      <c r="F2283" s="1" t="s">
        <v>9</v>
      </c>
      <c r="G2283" s="2" t="s">
        <v>15</v>
      </c>
      <c r="H2283" s="2" t="s">
        <v>42</v>
      </c>
      <c r="I2283" s="1" t="s">
        <v>0</v>
      </c>
      <c r="J2283" s="1">
        <v>22</v>
      </c>
      <c r="K2283" s="89">
        <v>26400</v>
      </c>
      <c r="L2283" s="3">
        <v>8.4600000000000009</v>
      </c>
      <c r="M2283" s="3">
        <v>61.46</v>
      </c>
      <c r="N2283" s="3" t="s">
        <v>8</v>
      </c>
      <c r="O2283" s="3" t="s">
        <v>8</v>
      </c>
    </row>
    <row r="2284" spans="1:15" x14ac:dyDescent="0.35">
      <c r="A2284" s="5" t="str">
        <f>Loads[[#This Row],[Date]]&amp;Loads[[#This Row],[Product]]</f>
        <v>44282Product4</v>
      </c>
      <c r="B2284" s="5">
        <f>COUNTIF($A$1:A2284,Loads[[#This Row],[Load]])</f>
        <v>3</v>
      </c>
      <c r="C2284" s="3" t="str">
        <f>Loads[[#This Row],[Load]]&amp;Loads[[#This Row],[Count]]</f>
        <v>44282Product43</v>
      </c>
      <c r="D2284" s="90">
        <v>44282</v>
      </c>
      <c r="E2284" s="143">
        <v>6.458333333333334E-2</v>
      </c>
      <c r="F2284" s="1" t="s">
        <v>9</v>
      </c>
      <c r="G2284" s="2" t="s">
        <v>15</v>
      </c>
      <c r="H2284" s="2" t="s">
        <v>42</v>
      </c>
      <c r="I2284" s="1" t="s">
        <v>0</v>
      </c>
      <c r="J2284" s="1">
        <v>20</v>
      </c>
      <c r="K2284" s="89">
        <v>25800</v>
      </c>
      <c r="L2284" s="3">
        <v>9.11</v>
      </c>
      <c r="M2284" s="3">
        <v>59.98</v>
      </c>
      <c r="N2284" s="3" t="s">
        <v>8</v>
      </c>
      <c r="O2284" s="3" t="s">
        <v>8</v>
      </c>
    </row>
    <row r="2285" spans="1:15" x14ac:dyDescent="0.35">
      <c r="A2285" s="5" t="str">
        <f>Loads[[#This Row],[Date]]&amp;Loads[[#This Row],[Product]]</f>
        <v>44282Product1</v>
      </c>
      <c r="B2285" s="5">
        <f>COUNTIF($A$1:A2285,Loads[[#This Row],[Load]])</f>
        <v>13</v>
      </c>
      <c r="C2285" s="3" t="str">
        <f>Loads[[#This Row],[Load]]&amp;Loads[[#This Row],[Count]]</f>
        <v>44282Product113</v>
      </c>
      <c r="D2285" s="90">
        <v>44282</v>
      </c>
      <c r="E2285" s="143">
        <v>6.5277777777777782E-2</v>
      </c>
      <c r="F2285" s="1" t="s">
        <v>9</v>
      </c>
      <c r="G2285" s="2" t="s">
        <v>12</v>
      </c>
      <c r="H2285" s="2" t="s">
        <v>42</v>
      </c>
      <c r="I2285" s="1" t="s">
        <v>11</v>
      </c>
      <c r="J2285" s="1" t="s">
        <v>8</v>
      </c>
      <c r="K2285" s="89">
        <v>13460</v>
      </c>
      <c r="L2285" s="3">
        <v>6.1</v>
      </c>
      <c r="M2285" s="3">
        <v>21.54</v>
      </c>
      <c r="N2285" s="3" t="s">
        <v>8</v>
      </c>
      <c r="O2285" s="3" t="s">
        <v>8</v>
      </c>
    </row>
    <row r="2286" spans="1:15" x14ac:dyDescent="0.35">
      <c r="A2286" s="5" t="str">
        <f>Loads[[#This Row],[Date]]&amp;Loads[[#This Row],[Product]]</f>
        <v>44282Product1</v>
      </c>
      <c r="B2286" s="5">
        <f>COUNTIF($A$1:A2286,Loads[[#This Row],[Load]])</f>
        <v>14</v>
      </c>
      <c r="C2286" s="3" t="str">
        <f>Loads[[#This Row],[Load]]&amp;Loads[[#This Row],[Count]]</f>
        <v>44282Product114</v>
      </c>
      <c r="D2286" s="90">
        <v>44282</v>
      </c>
      <c r="E2286" s="143">
        <v>6.6666666666666666E-2</v>
      </c>
      <c r="F2286" s="1" t="s">
        <v>9</v>
      </c>
      <c r="G2286" s="2" t="s">
        <v>12</v>
      </c>
      <c r="H2286" s="2" t="s">
        <v>42</v>
      </c>
      <c r="I2286" s="1" t="s">
        <v>10</v>
      </c>
      <c r="J2286" s="1">
        <v>790</v>
      </c>
      <c r="K2286" s="89">
        <v>31640</v>
      </c>
      <c r="L2286" s="3">
        <v>5.87</v>
      </c>
      <c r="M2286" s="3">
        <v>20.96</v>
      </c>
      <c r="N2286" s="3" t="s">
        <v>8</v>
      </c>
      <c r="O2286" s="3" t="s">
        <v>8</v>
      </c>
    </row>
    <row r="2287" spans="1:15" x14ac:dyDescent="0.35">
      <c r="A2287" s="5" t="str">
        <f>Loads[[#This Row],[Date]]&amp;Loads[[#This Row],[Product]]</f>
        <v>44282Product2</v>
      </c>
      <c r="B2287" s="5">
        <f>COUNTIF($A$1:A2287,Loads[[#This Row],[Load]])</f>
        <v>1</v>
      </c>
      <c r="C2287" s="3" t="str">
        <f>Loads[[#This Row],[Load]]&amp;Loads[[#This Row],[Count]]</f>
        <v>44282Product21</v>
      </c>
      <c r="D2287" s="90">
        <v>44282</v>
      </c>
      <c r="E2287" s="143">
        <v>0.29305555555555557</v>
      </c>
      <c r="F2287" s="1" t="s">
        <v>9</v>
      </c>
      <c r="G2287" s="2" t="s">
        <v>13</v>
      </c>
      <c r="H2287" s="2" t="s">
        <v>42</v>
      </c>
      <c r="I2287" s="1" t="s">
        <v>11</v>
      </c>
      <c r="J2287" s="1" t="s">
        <v>8</v>
      </c>
      <c r="K2287" s="89">
        <v>10460</v>
      </c>
      <c r="L2287" s="3">
        <v>59.65</v>
      </c>
      <c r="M2287" s="3">
        <v>9.7899999999999991</v>
      </c>
      <c r="N2287" s="3" t="s">
        <v>8</v>
      </c>
      <c r="O2287" s="3" t="s">
        <v>8</v>
      </c>
    </row>
    <row r="2288" spans="1:15" x14ac:dyDescent="0.35">
      <c r="A2288" s="5" t="str">
        <f>Loads[[#This Row],[Date]]&amp;Loads[[#This Row],[Product]]</f>
        <v>44282Product2</v>
      </c>
      <c r="B2288" s="5">
        <f>COUNTIF($A$1:A2288,Loads[[#This Row],[Load]])</f>
        <v>2</v>
      </c>
      <c r="C2288" s="3" t="str">
        <f>Loads[[#This Row],[Load]]&amp;Loads[[#This Row],[Count]]</f>
        <v>44282Product22</v>
      </c>
      <c r="D2288" s="90">
        <v>44282</v>
      </c>
      <c r="E2288" s="143">
        <v>0.29375000000000001</v>
      </c>
      <c r="F2288" s="1" t="s">
        <v>9</v>
      </c>
      <c r="G2288" s="2" t="s">
        <v>13</v>
      </c>
      <c r="H2288" s="2" t="s">
        <v>42</v>
      </c>
      <c r="I2288" s="1" t="s">
        <v>11</v>
      </c>
      <c r="J2288" s="1" t="s">
        <v>8</v>
      </c>
      <c r="K2288" s="89">
        <v>14060</v>
      </c>
      <c r="L2288" s="3">
        <v>57.17</v>
      </c>
      <c r="M2288" s="3">
        <v>9.7799999999999994</v>
      </c>
      <c r="N2288" s="3" t="s">
        <v>8</v>
      </c>
      <c r="O2288" s="3" t="s">
        <v>8</v>
      </c>
    </row>
    <row r="2289" spans="1:15" x14ac:dyDescent="0.35">
      <c r="A2289" s="5" t="str">
        <f>Loads[[#This Row],[Date]]&amp;Loads[[#This Row],[Product]]</f>
        <v>44282Product2</v>
      </c>
      <c r="B2289" s="5">
        <f>COUNTIF($A$1:A2289,Loads[[#This Row],[Load]])</f>
        <v>3</v>
      </c>
      <c r="C2289" s="3" t="str">
        <f>Loads[[#This Row],[Load]]&amp;Loads[[#This Row],[Count]]</f>
        <v>44282Product23</v>
      </c>
      <c r="D2289" s="90">
        <v>44282</v>
      </c>
      <c r="E2289" s="143">
        <v>0.29375000000000001</v>
      </c>
      <c r="F2289" s="1" t="s">
        <v>9</v>
      </c>
      <c r="G2289" s="2" t="s">
        <v>13</v>
      </c>
      <c r="H2289" s="2" t="s">
        <v>42</v>
      </c>
      <c r="I2289" s="1" t="s">
        <v>11</v>
      </c>
      <c r="J2289" s="1" t="s">
        <v>8</v>
      </c>
      <c r="K2289" s="89">
        <v>11340</v>
      </c>
      <c r="L2289" s="3">
        <v>60.19</v>
      </c>
      <c r="M2289" s="3">
        <v>11.37</v>
      </c>
      <c r="N2289" s="3" t="s">
        <v>8</v>
      </c>
      <c r="O2289" s="3" t="s">
        <v>8</v>
      </c>
    </row>
    <row r="2290" spans="1:15" x14ac:dyDescent="0.35">
      <c r="A2290" s="5" t="str">
        <f>Loads[[#This Row],[Date]]&amp;Loads[[#This Row],[Product]]</f>
        <v>44282Product2</v>
      </c>
      <c r="B2290" s="5">
        <f>COUNTIF($A$1:A2290,Loads[[#This Row],[Load]])</f>
        <v>4</v>
      </c>
      <c r="C2290" s="3" t="str">
        <f>Loads[[#This Row],[Load]]&amp;Loads[[#This Row],[Count]]</f>
        <v>44282Product24</v>
      </c>
      <c r="D2290" s="90">
        <v>44282</v>
      </c>
      <c r="E2290" s="143">
        <v>0.29444444444444445</v>
      </c>
      <c r="F2290" s="1" t="s">
        <v>9</v>
      </c>
      <c r="G2290" s="2" t="s">
        <v>13</v>
      </c>
      <c r="H2290" s="2" t="s">
        <v>42</v>
      </c>
      <c r="I2290" s="1" t="s">
        <v>11</v>
      </c>
      <c r="J2290" s="1" t="s">
        <v>8</v>
      </c>
      <c r="K2290" s="89">
        <v>7820</v>
      </c>
      <c r="L2290" s="3">
        <v>57.25</v>
      </c>
      <c r="M2290" s="3">
        <v>6.48</v>
      </c>
      <c r="N2290" s="3" t="s">
        <v>8</v>
      </c>
      <c r="O2290" s="3" t="s">
        <v>8</v>
      </c>
    </row>
    <row r="2291" spans="1:15" x14ac:dyDescent="0.35">
      <c r="A2291" s="5" t="str">
        <f>Loads[[#This Row],[Date]]&amp;Loads[[#This Row],[Product]]</f>
        <v>44282Product2</v>
      </c>
      <c r="B2291" s="5">
        <f>COUNTIF($A$1:A2291,Loads[[#This Row],[Load]])</f>
        <v>5</v>
      </c>
      <c r="C2291" s="3" t="str">
        <f>Loads[[#This Row],[Load]]&amp;Loads[[#This Row],[Count]]</f>
        <v>44282Product25</v>
      </c>
      <c r="D2291" s="90">
        <v>44282</v>
      </c>
      <c r="E2291" s="143">
        <v>0.2951388888888889</v>
      </c>
      <c r="F2291" s="1" t="s">
        <v>9</v>
      </c>
      <c r="G2291" s="2" t="s">
        <v>13</v>
      </c>
      <c r="H2291" s="2" t="s">
        <v>42</v>
      </c>
      <c r="I2291" s="1" t="s">
        <v>11</v>
      </c>
      <c r="J2291" s="1" t="s">
        <v>8</v>
      </c>
      <c r="K2291" s="89">
        <v>11180</v>
      </c>
      <c r="L2291" s="3">
        <v>60.92</v>
      </c>
      <c r="M2291" s="3">
        <v>11.37</v>
      </c>
      <c r="N2291" s="3" t="s">
        <v>8</v>
      </c>
      <c r="O2291" s="3" t="s">
        <v>8</v>
      </c>
    </row>
    <row r="2292" spans="1:15" x14ac:dyDescent="0.35">
      <c r="A2292" s="5" t="str">
        <f>Loads[[#This Row],[Date]]&amp;Loads[[#This Row],[Product]]</f>
        <v>44282Product2</v>
      </c>
      <c r="B2292" s="5">
        <f>COUNTIF($A$1:A2292,Loads[[#This Row],[Load]])</f>
        <v>6</v>
      </c>
      <c r="C2292" s="3" t="str">
        <f>Loads[[#This Row],[Load]]&amp;Loads[[#This Row],[Count]]</f>
        <v>44282Product26</v>
      </c>
      <c r="D2292" s="90">
        <v>44282</v>
      </c>
      <c r="E2292" s="143">
        <v>0.2951388888888889</v>
      </c>
      <c r="F2292" s="1" t="s">
        <v>9</v>
      </c>
      <c r="G2292" s="2" t="s">
        <v>13</v>
      </c>
      <c r="H2292" s="2" t="s">
        <v>42</v>
      </c>
      <c r="I2292" s="1" t="s">
        <v>11</v>
      </c>
      <c r="J2292" s="1" t="s">
        <v>8</v>
      </c>
      <c r="K2292" s="89">
        <v>12000</v>
      </c>
      <c r="L2292" s="3">
        <v>59.75</v>
      </c>
      <c r="M2292" s="3">
        <v>11.31</v>
      </c>
      <c r="N2292" s="3" t="s">
        <v>8</v>
      </c>
      <c r="O2292" s="3" t="s">
        <v>8</v>
      </c>
    </row>
    <row r="2293" spans="1:15" x14ac:dyDescent="0.35">
      <c r="A2293" s="5" t="str">
        <f>Loads[[#This Row],[Date]]&amp;Loads[[#This Row],[Product]]</f>
        <v>44283Product1</v>
      </c>
      <c r="B2293" s="5">
        <f>COUNTIF($A$1:A2293,Loads[[#This Row],[Load]])</f>
        <v>1</v>
      </c>
      <c r="C2293" s="3" t="str">
        <f>Loads[[#This Row],[Load]]&amp;Loads[[#This Row],[Count]]</f>
        <v>44283Product11</v>
      </c>
      <c r="D2293" s="90">
        <v>44283</v>
      </c>
      <c r="E2293" s="143">
        <v>0.82291666666666663</v>
      </c>
      <c r="F2293" s="1" t="s">
        <v>9</v>
      </c>
      <c r="G2293" s="2" t="s">
        <v>12</v>
      </c>
      <c r="H2293" s="2" t="s">
        <v>42</v>
      </c>
      <c r="I2293" s="1" t="s">
        <v>11</v>
      </c>
      <c r="J2293" s="1" t="s">
        <v>8</v>
      </c>
      <c r="K2293" s="89">
        <v>28520</v>
      </c>
      <c r="L2293" s="3">
        <v>7.53</v>
      </c>
      <c r="M2293" s="3">
        <v>22.35</v>
      </c>
      <c r="N2293" s="3" t="s">
        <v>8</v>
      </c>
      <c r="O2293" s="3" t="s">
        <v>8</v>
      </c>
    </row>
    <row r="2294" spans="1:15" x14ac:dyDescent="0.35">
      <c r="A2294" s="5" t="str">
        <f>Loads[[#This Row],[Date]]&amp;Loads[[#This Row],[Product]]</f>
        <v>44283Product1</v>
      </c>
      <c r="B2294" s="5">
        <f>COUNTIF($A$1:A2294,Loads[[#This Row],[Load]])</f>
        <v>2</v>
      </c>
      <c r="C2294" s="3" t="str">
        <f>Loads[[#This Row],[Load]]&amp;Loads[[#This Row],[Count]]</f>
        <v>44283Product12</v>
      </c>
      <c r="D2294" s="90">
        <v>44283</v>
      </c>
      <c r="E2294" s="143">
        <v>0.82430555555555562</v>
      </c>
      <c r="F2294" s="1" t="s">
        <v>9</v>
      </c>
      <c r="G2294" s="2" t="s">
        <v>12</v>
      </c>
      <c r="H2294" s="2" t="s">
        <v>42</v>
      </c>
      <c r="I2294" s="1" t="s">
        <v>10</v>
      </c>
      <c r="K2294" s="89">
        <v>30280</v>
      </c>
      <c r="L2294" s="3">
        <v>7.65</v>
      </c>
      <c r="M2294" s="3">
        <v>22.02</v>
      </c>
      <c r="N2294" s="3" t="s">
        <v>8</v>
      </c>
      <c r="O2294" s="3" t="s">
        <v>8</v>
      </c>
    </row>
    <row r="2295" spans="1:15" x14ac:dyDescent="0.35">
      <c r="A2295" s="5" t="str">
        <f>Loads[[#This Row],[Date]]&amp;Loads[[#This Row],[Product]]</f>
        <v>44283Product1</v>
      </c>
      <c r="B2295" s="5">
        <f>COUNTIF($A$1:A2295,Loads[[#This Row],[Load]])</f>
        <v>3</v>
      </c>
      <c r="C2295" s="3" t="str">
        <f>Loads[[#This Row],[Load]]&amp;Loads[[#This Row],[Count]]</f>
        <v>44283Product13</v>
      </c>
      <c r="D2295" s="90">
        <v>44283</v>
      </c>
      <c r="E2295" s="143">
        <v>0.82500000000000007</v>
      </c>
      <c r="F2295" s="1" t="s">
        <v>9</v>
      </c>
      <c r="G2295" s="2" t="s">
        <v>12</v>
      </c>
      <c r="H2295" s="2" t="s">
        <v>42</v>
      </c>
      <c r="I2295" s="1" t="s">
        <v>11</v>
      </c>
      <c r="J2295" s="1" t="s">
        <v>8</v>
      </c>
      <c r="K2295" s="89">
        <v>22400</v>
      </c>
      <c r="L2295" s="3">
        <v>8.8699999999999992</v>
      </c>
      <c r="M2295" s="3">
        <v>21.34</v>
      </c>
      <c r="N2295" s="3" t="s">
        <v>8</v>
      </c>
      <c r="O2295" s="3" t="s">
        <v>8</v>
      </c>
    </row>
    <row r="2296" spans="1:15" x14ac:dyDescent="0.35">
      <c r="A2296" s="5" t="str">
        <f>Loads[[#This Row],[Date]]&amp;Loads[[#This Row],[Product]]</f>
        <v>44283Product4</v>
      </c>
      <c r="B2296" s="5">
        <f>COUNTIF($A$1:A2296,Loads[[#This Row],[Load]])</f>
        <v>1</v>
      </c>
      <c r="C2296" s="3" t="str">
        <f>Loads[[#This Row],[Load]]&amp;Loads[[#This Row],[Count]]</f>
        <v>44283Product41</v>
      </c>
      <c r="D2296" s="90">
        <v>44283</v>
      </c>
      <c r="E2296" s="143">
        <v>0.82638888888888884</v>
      </c>
      <c r="F2296" s="1" t="s">
        <v>9</v>
      </c>
      <c r="G2296" s="2" t="s">
        <v>15</v>
      </c>
      <c r="H2296" s="2" t="s">
        <v>42</v>
      </c>
      <c r="I2296" s="1" t="s">
        <v>11</v>
      </c>
      <c r="J2296" s="1" t="s">
        <v>8</v>
      </c>
      <c r="K2296" s="89">
        <v>30800</v>
      </c>
      <c r="L2296" s="3">
        <v>8.67</v>
      </c>
      <c r="M2296" s="3">
        <v>63.35</v>
      </c>
      <c r="N2296" s="3" t="s">
        <v>8</v>
      </c>
      <c r="O2296" s="3" t="s">
        <v>8</v>
      </c>
    </row>
    <row r="2297" spans="1:15" x14ac:dyDescent="0.35">
      <c r="A2297" s="5" t="str">
        <f>Loads[[#This Row],[Date]]&amp;Loads[[#This Row],[Product]]</f>
        <v>44283Product1</v>
      </c>
      <c r="B2297" s="5">
        <f>COUNTIF($A$1:A2297,Loads[[#This Row],[Load]])</f>
        <v>4</v>
      </c>
      <c r="C2297" s="3" t="str">
        <f>Loads[[#This Row],[Load]]&amp;Loads[[#This Row],[Count]]</f>
        <v>44283Product14</v>
      </c>
      <c r="D2297" s="90">
        <v>44283</v>
      </c>
      <c r="E2297" s="143">
        <v>0.82708333333333339</v>
      </c>
      <c r="F2297" s="1" t="s">
        <v>9</v>
      </c>
      <c r="G2297" s="2" t="s">
        <v>12</v>
      </c>
      <c r="H2297" s="2" t="s">
        <v>42</v>
      </c>
      <c r="I2297" s="1" t="s">
        <v>10</v>
      </c>
      <c r="J2297" s="1">
        <v>625</v>
      </c>
      <c r="K2297" s="89">
        <v>25080</v>
      </c>
      <c r="L2297" s="3">
        <v>8.69</v>
      </c>
      <c r="M2297" s="3">
        <v>22.03</v>
      </c>
      <c r="N2297" s="3" t="s">
        <v>8</v>
      </c>
      <c r="O2297" s="3" t="s">
        <v>8</v>
      </c>
    </row>
    <row r="2298" spans="1:15" x14ac:dyDescent="0.35">
      <c r="A2298" s="5" t="str">
        <f>Loads[[#This Row],[Date]]&amp;Loads[[#This Row],[Product]]</f>
        <v>44283Product4</v>
      </c>
      <c r="B2298" s="5">
        <f>COUNTIF($A$1:A2298,Loads[[#This Row],[Load]])</f>
        <v>2</v>
      </c>
      <c r="C2298" s="3" t="str">
        <f>Loads[[#This Row],[Load]]&amp;Loads[[#This Row],[Count]]</f>
        <v>44283Product42</v>
      </c>
      <c r="D2298" s="90">
        <v>44283</v>
      </c>
      <c r="E2298" s="143">
        <v>0.82777777777777783</v>
      </c>
      <c r="F2298" s="1" t="s">
        <v>9</v>
      </c>
      <c r="G2298" s="2" t="s">
        <v>15</v>
      </c>
      <c r="H2298" s="2" t="s">
        <v>42</v>
      </c>
      <c r="I2298" s="1" t="s">
        <v>0</v>
      </c>
      <c r="J2298" s="1">
        <v>24</v>
      </c>
      <c r="K2298" s="89">
        <v>28200</v>
      </c>
      <c r="L2298" s="3">
        <v>8.84</v>
      </c>
      <c r="M2298" s="3">
        <v>63.36</v>
      </c>
      <c r="N2298" s="3" t="s">
        <v>8</v>
      </c>
      <c r="O2298" s="3" t="s">
        <v>8</v>
      </c>
    </row>
    <row r="2299" spans="1:15" x14ac:dyDescent="0.35">
      <c r="A2299" s="5" t="str">
        <f>Loads[[#This Row],[Date]]&amp;Loads[[#This Row],[Product]]</f>
        <v>44283Product7</v>
      </c>
      <c r="B2299" s="5">
        <f>COUNTIF($A$1:A2299,Loads[[#This Row],[Load]])</f>
        <v>1</v>
      </c>
      <c r="C2299" s="3" t="str">
        <f>Loads[[#This Row],[Load]]&amp;Loads[[#This Row],[Count]]</f>
        <v>44283Product71</v>
      </c>
      <c r="D2299" s="90">
        <v>44283</v>
      </c>
      <c r="E2299" s="143">
        <v>0.82847222222222217</v>
      </c>
      <c r="F2299" s="1" t="s">
        <v>9</v>
      </c>
      <c r="G2299" s="2" t="s">
        <v>18</v>
      </c>
      <c r="H2299" s="2" t="s">
        <v>42</v>
      </c>
      <c r="I2299" s="1" t="s">
        <v>11</v>
      </c>
      <c r="J2299" s="1" t="s">
        <v>8</v>
      </c>
      <c r="K2299" s="89">
        <v>13700</v>
      </c>
      <c r="L2299" s="3" t="s">
        <v>8</v>
      </c>
      <c r="M2299" s="3">
        <v>22.12</v>
      </c>
      <c r="N2299" s="3" t="s">
        <v>8</v>
      </c>
      <c r="O2299" s="3">
        <v>40.21</v>
      </c>
    </row>
    <row r="2300" spans="1:15" x14ac:dyDescent="0.35">
      <c r="A2300" s="5" t="str">
        <f>Loads[[#This Row],[Date]]&amp;Loads[[#This Row],[Product]]</f>
        <v>44283Product1</v>
      </c>
      <c r="B2300" s="5">
        <f>COUNTIF($A$1:A2300,Loads[[#This Row],[Load]])</f>
        <v>5</v>
      </c>
      <c r="C2300" s="3" t="str">
        <f>Loads[[#This Row],[Load]]&amp;Loads[[#This Row],[Count]]</f>
        <v>44283Product15</v>
      </c>
      <c r="D2300" s="90">
        <v>44283</v>
      </c>
      <c r="E2300" s="143">
        <v>0.96111111111111114</v>
      </c>
      <c r="F2300" s="1" t="s">
        <v>9</v>
      </c>
      <c r="G2300" s="2" t="s">
        <v>12</v>
      </c>
      <c r="H2300" s="2" t="s">
        <v>42</v>
      </c>
      <c r="I2300" s="1" t="s">
        <v>11</v>
      </c>
      <c r="J2300" s="1" t="s">
        <v>8</v>
      </c>
      <c r="K2300" s="89">
        <v>26300</v>
      </c>
      <c r="L2300" s="3">
        <v>9.7899999999999991</v>
      </c>
      <c r="M2300" s="3">
        <v>21.74</v>
      </c>
      <c r="N2300" s="3" t="s">
        <v>8</v>
      </c>
      <c r="O2300" s="3" t="s">
        <v>8</v>
      </c>
    </row>
    <row r="2301" spans="1:15" x14ac:dyDescent="0.35">
      <c r="A2301" s="5" t="str">
        <f>Loads[[#This Row],[Date]]&amp;Loads[[#This Row],[Product]]</f>
        <v>44283Product1</v>
      </c>
      <c r="B2301" s="5">
        <f>COUNTIF($A$1:A2301,Loads[[#This Row],[Load]])</f>
        <v>6</v>
      </c>
      <c r="C2301" s="3" t="str">
        <f>Loads[[#This Row],[Load]]&amp;Loads[[#This Row],[Count]]</f>
        <v>44283Product16</v>
      </c>
      <c r="D2301" s="90">
        <v>44283</v>
      </c>
      <c r="E2301" s="143">
        <v>0.96319444444444446</v>
      </c>
      <c r="F2301" s="1" t="s">
        <v>9</v>
      </c>
      <c r="G2301" s="2" t="s">
        <v>12</v>
      </c>
      <c r="H2301" s="2" t="s">
        <v>42</v>
      </c>
      <c r="I2301" s="1" t="s">
        <v>11</v>
      </c>
      <c r="J2301" s="1" t="s">
        <v>8</v>
      </c>
      <c r="K2301" s="89">
        <v>22840</v>
      </c>
      <c r="L2301" s="3">
        <v>10.4</v>
      </c>
      <c r="M2301" s="3">
        <v>21.51</v>
      </c>
      <c r="N2301" s="3" t="s">
        <v>8</v>
      </c>
      <c r="O2301" s="3" t="s">
        <v>8</v>
      </c>
    </row>
    <row r="2302" spans="1:15" x14ac:dyDescent="0.35">
      <c r="A2302" s="5" t="str">
        <f>Loads[[#This Row],[Date]]&amp;Loads[[#This Row],[Product]]</f>
        <v>44283Product1</v>
      </c>
      <c r="B2302" s="5">
        <f>COUNTIF($A$1:A2302,Loads[[#This Row],[Load]])</f>
        <v>7</v>
      </c>
      <c r="C2302" s="3" t="str">
        <f>Loads[[#This Row],[Load]]&amp;Loads[[#This Row],[Count]]</f>
        <v>44283Product17</v>
      </c>
      <c r="D2302" s="90">
        <v>44283</v>
      </c>
      <c r="E2302" s="143">
        <v>0.96388888888888891</v>
      </c>
      <c r="F2302" s="1" t="s">
        <v>9</v>
      </c>
      <c r="G2302" s="2" t="s">
        <v>12</v>
      </c>
      <c r="H2302" s="2" t="s">
        <v>42</v>
      </c>
      <c r="I2302" s="1" t="s">
        <v>10</v>
      </c>
      <c r="J2302" s="1">
        <v>322</v>
      </c>
      <c r="K2302" s="89">
        <v>12940</v>
      </c>
      <c r="L2302" s="3">
        <v>10.01</v>
      </c>
      <c r="M2302" s="3">
        <v>21.7</v>
      </c>
      <c r="N2302" s="3" t="s">
        <v>8</v>
      </c>
      <c r="O2302" s="3" t="s">
        <v>8</v>
      </c>
    </row>
    <row r="2303" spans="1:15" x14ac:dyDescent="0.35">
      <c r="A2303" s="5" t="str">
        <f>Loads[[#This Row],[Date]]&amp;Loads[[#This Row],[Product]]</f>
        <v>44283Product2</v>
      </c>
      <c r="B2303" s="5">
        <f>COUNTIF($A$1:A2303,Loads[[#This Row],[Load]])</f>
        <v>1</v>
      </c>
      <c r="C2303" s="3" t="str">
        <f>Loads[[#This Row],[Load]]&amp;Loads[[#This Row],[Count]]</f>
        <v>44283Product21</v>
      </c>
      <c r="D2303" s="90">
        <v>44283</v>
      </c>
      <c r="E2303" s="143">
        <v>0.96805555555555556</v>
      </c>
      <c r="F2303" s="1" t="s">
        <v>9</v>
      </c>
      <c r="G2303" s="2" t="s">
        <v>13</v>
      </c>
      <c r="H2303" s="2" t="s">
        <v>42</v>
      </c>
      <c r="I2303" s="1" t="s">
        <v>11</v>
      </c>
      <c r="J2303" s="1" t="s">
        <v>8</v>
      </c>
      <c r="K2303" s="89">
        <v>15940</v>
      </c>
      <c r="L2303" s="3">
        <v>60.05</v>
      </c>
      <c r="M2303" s="3">
        <v>9.34</v>
      </c>
      <c r="N2303" s="3" t="s">
        <v>8</v>
      </c>
      <c r="O2303" s="3" t="s">
        <v>8</v>
      </c>
    </row>
    <row r="2304" spans="1:15" x14ac:dyDescent="0.35">
      <c r="A2304" s="5" t="str">
        <f>Loads[[#This Row],[Date]]&amp;Loads[[#This Row],[Product]]</f>
        <v>44283Product2</v>
      </c>
      <c r="B2304" s="5">
        <f>COUNTIF($A$1:A2304,Loads[[#This Row],[Load]])</f>
        <v>2</v>
      </c>
      <c r="C2304" s="3" t="str">
        <f>Loads[[#This Row],[Load]]&amp;Loads[[#This Row],[Count]]</f>
        <v>44283Product22</v>
      </c>
      <c r="D2304" s="90">
        <v>44283</v>
      </c>
      <c r="E2304" s="143">
        <v>0.96805555555555556</v>
      </c>
      <c r="F2304" s="1" t="s">
        <v>9</v>
      </c>
      <c r="G2304" s="2" t="s">
        <v>13</v>
      </c>
      <c r="H2304" s="2" t="s">
        <v>42</v>
      </c>
      <c r="I2304" s="1" t="s">
        <v>11</v>
      </c>
      <c r="J2304" s="1" t="s">
        <v>8</v>
      </c>
      <c r="K2304" s="89">
        <v>10600</v>
      </c>
      <c r="L2304" s="3">
        <v>58.77</v>
      </c>
      <c r="M2304" s="3">
        <v>10.58</v>
      </c>
      <c r="N2304" s="3" t="s">
        <v>8</v>
      </c>
      <c r="O2304" s="3" t="s">
        <v>8</v>
      </c>
    </row>
    <row r="2305" spans="1:15" x14ac:dyDescent="0.35">
      <c r="A2305" s="5" t="str">
        <f>Loads[[#This Row],[Date]]&amp;Loads[[#This Row],[Product]]</f>
        <v>44283Product2</v>
      </c>
      <c r="B2305" s="5">
        <f>COUNTIF($A$1:A2305,Loads[[#This Row],[Load]])</f>
        <v>3</v>
      </c>
      <c r="C2305" s="3" t="str">
        <f>Loads[[#This Row],[Load]]&amp;Loads[[#This Row],[Count]]</f>
        <v>44283Product23</v>
      </c>
      <c r="D2305" s="90">
        <v>44283</v>
      </c>
      <c r="E2305" s="143">
        <v>0.96875</v>
      </c>
      <c r="F2305" s="1" t="s">
        <v>9</v>
      </c>
      <c r="G2305" s="2" t="s">
        <v>13</v>
      </c>
      <c r="H2305" s="2" t="s">
        <v>42</v>
      </c>
      <c r="I2305" s="1" t="s">
        <v>11</v>
      </c>
      <c r="J2305" s="1" t="s">
        <v>8</v>
      </c>
      <c r="K2305" s="89">
        <v>10560</v>
      </c>
      <c r="L2305" s="3">
        <v>59.19</v>
      </c>
      <c r="M2305" s="3">
        <v>9.66</v>
      </c>
      <c r="N2305" s="3" t="s">
        <v>8</v>
      </c>
      <c r="O2305" s="3" t="s">
        <v>8</v>
      </c>
    </row>
    <row r="2306" spans="1:15" x14ac:dyDescent="0.35">
      <c r="A2306" s="5" t="str">
        <f>Loads[[#This Row],[Date]]&amp;Loads[[#This Row],[Product]]</f>
        <v>44283Product2</v>
      </c>
      <c r="B2306" s="5">
        <f>COUNTIF($A$1:A2306,Loads[[#This Row],[Load]])</f>
        <v>4</v>
      </c>
      <c r="C2306" s="3" t="str">
        <f>Loads[[#This Row],[Load]]&amp;Loads[[#This Row],[Count]]</f>
        <v>44283Product24</v>
      </c>
      <c r="D2306" s="90">
        <v>44283</v>
      </c>
      <c r="E2306" s="143">
        <v>0.96944444444444444</v>
      </c>
      <c r="F2306" s="1" t="s">
        <v>9</v>
      </c>
      <c r="G2306" s="2" t="s">
        <v>13</v>
      </c>
      <c r="H2306" s="2" t="s">
        <v>42</v>
      </c>
      <c r="I2306" s="1" t="s">
        <v>11</v>
      </c>
      <c r="J2306" s="1" t="s">
        <v>8</v>
      </c>
      <c r="K2306" s="89">
        <v>11660</v>
      </c>
      <c r="L2306" s="3">
        <v>58.3</v>
      </c>
      <c r="M2306" s="3">
        <v>9.8699999999999992</v>
      </c>
      <c r="N2306" s="3" t="s">
        <v>8</v>
      </c>
      <c r="O2306" s="3" t="s">
        <v>8</v>
      </c>
    </row>
    <row r="2307" spans="1:15" x14ac:dyDescent="0.35">
      <c r="A2307" s="5" t="str">
        <f>Loads[[#This Row],[Date]]&amp;Loads[[#This Row],[Product]]</f>
        <v>44283Product2</v>
      </c>
      <c r="B2307" s="5">
        <f>COUNTIF($A$1:A2307,Loads[[#This Row],[Load]])</f>
        <v>5</v>
      </c>
      <c r="C2307" s="3" t="str">
        <f>Loads[[#This Row],[Load]]&amp;Loads[[#This Row],[Count]]</f>
        <v>44283Product25</v>
      </c>
      <c r="D2307" s="90">
        <v>44283</v>
      </c>
      <c r="E2307" s="143">
        <v>0.96944444444444444</v>
      </c>
      <c r="F2307" s="1" t="s">
        <v>9</v>
      </c>
      <c r="G2307" s="2" t="s">
        <v>13</v>
      </c>
      <c r="H2307" s="2" t="s">
        <v>42</v>
      </c>
      <c r="I2307" s="1" t="s">
        <v>11</v>
      </c>
      <c r="J2307" s="1" t="s">
        <v>8</v>
      </c>
      <c r="K2307" s="89">
        <v>11660</v>
      </c>
      <c r="L2307" s="3">
        <v>61.56</v>
      </c>
      <c r="M2307" s="3">
        <v>9.27</v>
      </c>
      <c r="N2307" s="3" t="s">
        <v>8</v>
      </c>
      <c r="O2307" s="3" t="s">
        <v>8</v>
      </c>
    </row>
    <row r="2308" spans="1:15" x14ac:dyDescent="0.35">
      <c r="A2308" s="5" t="str">
        <f>Loads[[#This Row],[Date]]&amp;Loads[[#This Row],[Product]]</f>
        <v>44283Product2</v>
      </c>
      <c r="B2308" s="5">
        <f>COUNTIF($A$1:A2308,Loads[[#This Row],[Load]])</f>
        <v>6</v>
      </c>
      <c r="C2308" s="3" t="str">
        <f>Loads[[#This Row],[Load]]&amp;Loads[[#This Row],[Count]]</f>
        <v>44283Product26</v>
      </c>
      <c r="D2308" s="90">
        <v>44283</v>
      </c>
      <c r="E2308" s="143">
        <v>0.97013888888888899</v>
      </c>
      <c r="F2308" s="1" t="s">
        <v>9</v>
      </c>
      <c r="G2308" s="2" t="s">
        <v>13</v>
      </c>
      <c r="H2308" s="2" t="s">
        <v>42</v>
      </c>
      <c r="I2308" s="1" t="s">
        <v>11</v>
      </c>
      <c r="J2308" s="1" t="s">
        <v>8</v>
      </c>
      <c r="K2308" s="89">
        <v>11820</v>
      </c>
      <c r="L2308" s="3">
        <v>56.9</v>
      </c>
      <c r="M2308" s="3">
        <v>10.11</v>
      </c>
      <c r="N2308" s="3" t="s">
        <v>8</v>
      </c>
      <c r="O2308" s="3" t="s">
        <v>8</v>
      </c>
    </row>
    <row r="2309" spans="1:15" x14ac:dyDescent="0.35">
      <c r="A2309" s="5" t="str">
        <f>Loads[[#This Row],[Date]]&amp;Loads[[#This Row],[Product]]</f>
        <v>44283Product2</v>
      </c>
      <c r="B2309" s="5">
        <f>COUNTIF($A$1:A2309,Loads[[#This Row],[Load]])</f>
        <v>7</v>
      </c>
      <c r="C2309" s="3" t="str">
        <f>Loads[[#This Row],[Load]]&amp;Loads[[#This Row],[Count]]</f>
        <v>44283Product27</v>
      </c>
      <c r="D2309" s="90">
        <v>44283</v>
      </c>
      <c r="E2309" s="143">
        <v>0.97083333333333333</v>
      </c>
      <c r="F2309" s="1" t="s">
        <v>9</v>
      </c>
      <c r="G2309" s="2" t="s">
        <v>13</v>
      </c>
      <c r="H2309" s="2" t="s">
        <v>42</v>
      </c>
      <c r="I2309" s="1" t="s">
        <v>11</v>
      </c>
      <c r="J2309" s="1" t="s">
        <v>8</v>
      </c>
      <c r="K2309" s="89">
        <v>10060</v>
      </c>
      <c r="L2309" s="3">
        <v>60</v>
      </c>
      <c r="M2309" s="3">
        <v>9.6</v>
      </c>
      <c r="N2309" s="3" t="s">
        <v>8</v>
      </c>
      <c r="O2309" s="3" t="s">
        <v>8</v>
      </c>
    </row>
    <row r="2310" spans="1:15" x14ac:dyDescent="0.35">
      <c r="A2310" s="5" t="str">
        <f>Loads[[#This Row],[Date]]&amp;Loads[[#This Row],[Product]]</f>
        <v>44283Product2</v>
      </c>
      <c r="B2310" s="5">
        <f>COUNTIF($A$1:A2310,Loads[[#This Row],[Load]])</f>
        <v>8</v>
      </c>
      <c r="C2310" s="3" t="str">
        <f>Loads[[#This Row],[Load]]&amp;Loads[[#This Row],[Count]]</f>
        <v>44283Product28</v>
      </c>
      <c r="D2310" s="90">
        <v>44283</v>
      </c>
      <c r="E2310" s="143">
        <v>0.97152777777777777</v>
      </c>
      <c r="F2310" s="1" t="s">
        <v>9</v>
      </c>
      <c r="G2310" s="2" t="s">
        <v>13</v>
      </c>
      <c r="H2310" s="2" t="s">
        <v>42</v>
      </c>
      <c r="I2310" s="1" t="s">
        <v>11</v>
      </c>
      <c r="J2310" s="1" t="s">
        <v>8</v>
      </c>
      <c r="K2310" s="89">
        <v>15920</v>
      </c>
      <c r="L2310" s="3">
        <v>58.93</v>
      </c>
      <c r="M2310" s="3">
        <v>10.81</v>
      </c>
      <c r="N2310" s="3" t="s">
        <v>8</v>
      </c>
      <c r="O2310" s="3" t="s">
        <v>8</v>
      </c>
    </row>
    <row r="2311" spans="1:15" x14ac:dyDescent="0.35">
      <c r="A2311" s="5" t="str">
        <f>Loads[[#This Row],[Date]]&amp;Loads[[#This Row],[Product]]</f>
        <v>44284Product4</v>
      </c>
      <c r="B2311" s="5">
        <f>COUNTIF($A$1:A2311,Loads[[#This Row],[Load]])</f>
        <v>1</v>
      </c>
      <c r="C2311" s="3" t="str">
        <f>Loads[[#This Row],[Load]]&amp;Loads[[#This Row],[Count]]</f>
        <v>44284Product41</v>
      </c>
      <c r="D2311" s="90">
        <v>44284</v>
      </c>
      <c r="E2311" s="143">
        <v>0.99375000000000002</v>
      </c>
      <c r="F2311" s="1" t="s">
        <v>9</v>
      </c>
      <c r="G2311" s="2" t="s">
        <v>15</v>
      </c>
      <c r="H2311" s="2" t="s">
        <v>42</v>
      </c>
      <c r="I2311" s="1" t="s">
        <v>0</v>
      </c>
      <c r="J2311" s="1">
        <v>24</v>
      </c>
      <c r="K2311" s="89">
        <v>27840</v>
      </c>
      <c r="L2311" s="3">
        <v>8.4</v>
      </c>
      <c r="M2311" s="3">
        <v>63.89</v>
      </c>
      <c r="N2311" s="3" t="s">
        <v>8</v>
      </c>
      <c r="O2311" s="3" t="s">
        <v>8</v>
      </c>
    </row>
    <row r="2312" spans="1:15" x14ac:dyDescent="0.35">
      <c r="A2312" s="5" t="str">
        <f>Loads[[#This Row],[Date]]&amp;Loads[[#This Row],[Product]]</f>
        <v>44284Product4</v>
      </c>
      <c r="B2312" s="5">
        <f>COUNTIF($A$1:A2312,Loads[[#This Row],[Load]])</f>
        <v>2</v>
      </c>
      <c r="C2312" s="3" t="str">
        <f>Loads[[#This Row],[Load]]&amp;Loads[[#This Row],[Count]]</f>
        <v>44284Product42</v>
      </c>
      <c r="D2312" s="90">
        <v>44284</v>
      </c>
      <c r="E2312" s="143">
        <v>0.99444444444444446</v>
      </c>
      <c r="F2312" s="1" t="s">
        <v>9</v>
      </c>
      <c r="G2312" s="2" t="s">
        <v>15</v>
      </c>
      <c r="H2312" s="2" t="s">
        <v>42</v>
      </c>
      <c r="I2312" s="1" t="s">
        <v>0</v>
      </c>
      <c r="J2312" s="1">
        <v>22</v>
      </c>
      <c r="K2312" s="89">
        <v>26660</v>
      </c>
      <c r="L2312" s="3">
        <v>9.24</v>
      </c>
      <c r="M2312" s="3">
        <v>62.66</v>
      </c>
      <c r="N2312" s="3" t="s">
        <v>8</v>
      </c>
      <c r="O2312" s="3" t="s">
        <v>8</v>
      </c>
    </row>
    <row r="2313" spans="1:15" x14ac:dyDescent="0.35">
      <c r="A2313" s="5" t="str">
        <f>Loads[[#This Row],[Date]]&amp;Loads[[#This Row],[Product]]</f>
        <v>44284Product4</v>
      </c>
      <c r="B2313" s="5">
        <f>COUNTIF($A$1:A2313,Loads[[#This Row],[Load]])</f>
        <v>3</v>
      </c>
      <c r="C2313" s="3" t="str">
        <f>Loads[[#This Row],[Load]]&amp;Loads[[#This Row],[Count]]</f>
        <v>44284Product43</v>
      </c>
      <c r="D2313" s="90">
        <v>44284</v>
      </c>
      <c r="E2313" s="143">
        <v>0.99513888888888891</v>
      </c>
      <c r="F2313" s="1" t="s">
        <v>9</v>
      </c>
      <c r="G2313" s="2" t="s">
        <v>15</v>
      </c>
      <c r="H2313" s="2" t="s">
        <v>42</v>
      </c>
      <c r="I2313" s="1" t="s">
        <v>0</v>
      </c>
      <c r="J2313" s="1">
        <v>22</v>
      </c>
      <c r="K2313" s="89">
        <v>26620</v>
      </c>
      <c r="L2313" s="3">
        <v>8.34</v>
      </c>
      <c r="M2313" s="3">
        <v>62.34</v>
      </c>
      <c r="N2313" s="3" t="s">
        <v>8</v>
      </c>
      <c r="O2313" s="3" t="s">
        <v>8</v>
      </c>
    </row>
    <row r="2314" spans="1:15" x14ac:dyDescent="0.35">
      <c r="A2314" s="5" t="str">
        <f>Loads[[#This Row],[Date]]&amp;Loads[[#This Row],[Product]]</f>
        <v>44284Product2</v>
      </c>
      <c r="B2314" s="5">
        <f>COUNTIF($A$1:A2314,Loads[[#This Row],[Load]])</f>
        <v>1</v>
      </c>
      <c r="C2314" s="3" t="str">
        <f>Loads[[#This Row],[Load]]&amp;Loads[[#This Row],[Count]]</f>
        <v>44284Product21</v>
      </c>
      <c r="D2314" s="90">
        <v>44284</v>
      </c>
      <c r="E2314" s="143">
        <v>8.2638888888888887E-2</v>
      </c>
      <c r="F2314" s="1" t="s">
        <v>9</v>
      </c>
      <c r="G2314" s="2" t="s">
        <v>13</v>
      </c>
      <c r="H2314" s="2" t="s">
        <v>42</v>
      </c>
      <c r="I2314" s="1" t="s">
        <v>11</v>
      </c>
      <c r="J2314" s="1" t="s">
        <v>8</v>
      </c>
      <c r="K2314" s="89">
        <v>1440</v>
      </c>
      <c r="L2314" s="3">
        <v>62.99</v>
      </c>
      <c r="M2314" s="3">
        <v>8.01</v>
      </c>
      <c r="N2314" s="3" t="s">
        <v>8</v>
      </c>
      <c r="O2314" s="3" t="s">
        <v>8</v>
      </c>
    </row>
    <row r="2315" spans="1:15" x14ac:dyDescent="0.35">
      <c r="A2315" s="5" t="str">
        <f>Loads[[#This Row],[Date]]&amp;Loads[[#This Row],[Product]]</f>
        <v>44284Product2</v>
      </c>
      <c r="B2315" s="5">
        <f>COUNTIF($A$1:A2315,Loads[[#This Row],[Load]])</f>
        <v>2</v>
      </c>
      <c r="C2315" s="3" t="str">
        <f>Loads[[#This Row],[Load]]&amp;Loads[[#This Row],[Count]]</f>
        <v>44284Product22</v>
      </c>
      <c r="D2315" s="90">
        <v>44284</v>
      </c>
      <c r="E2315" s="143">
        <v>8.6111111111111124E-2</v>
      </c>
      <c r="F2315" s="1" t="s">
        <v>9</v>
      </c>
      <c r="G2315" s="2" t="s">
        <v>13</v>
      </c>
      <c r="H2315" s="2" t="s">
        <v>42</v>
      </c>
      <c r="I2315" s="1" t="s">
        <v>11</v>
      </c>
      <c r="J2315" s="1" t="s">
        <v>8</v>
      </c>
      <c r="K2315" s="89">
        <v>12200</v>
      </c>
      <c r="L2315" s="3">
        <v>62.52</v>
      </c>
      <c r="M2315" s="3">
        <v>9.81</v>
      </c>
      <c r="N2315" s="3" t="s">
        <v>8</v>
      </c>
      <c r="O2315" s="3" t="s">
        <v>8</v>
      </c>
    </row>
    <row r="2316" spans="1:15" x14ac:dyDescent="0.35">
      <c r="A2316" s="5" t="str">
        <f>Loads[[#This Row],[Date]]&amp;Loads[[#This Row],[Product]]</f>
        <v>44284Product2</v>
      </c>
      <c r="B2316" s="5">
        <f>COUNTIF($A$1:A2316,Loads[[#This Row],[Load]])</f>
        <v>3</v>
      </c>
      <c r="C2316" s="3" t="str">
        <f>Loads[[#This Row],[Load]]&amp;Loads[[#This Row],[Count]]</f>
        <v>44284Product23</v>
      </c>
      <c r="D2316" s="90">
        <v>44284</v>
      </c>
      <c r="E2316" s="143">
        <v>8.6805555555555566E-2</v>
      </c>
      <c r="F2316" s="1" t="s">
        <v>9</v>
      </c>
      <c r="G2316" s="2" t="s">
        <v>13</v>
      </c>
      <c r="H2316" s="2" t="s">
        <v>42</v>
      </c>
      <c r="I2316" s="1" t="s">
        <v>11</v>
      </c>
      <c r="J2316" s="1" t="s">
        <v>8</v>
      </c>
      <c r="K2316" s="89">
        <v>11940</v>
      </c>
      <c r="L2316" s="3">
        <v>59.09</v>
      </c>
      <c r="M2316" s="3">
        <v>10.23</v>
      </c>
      <c r="N2316" s="3" t="s">
        <v>8</v>
      </c>
      <c r="O2316" s="3" t="s">
        <v>8</v>
      </c>
    </row>
    <row r="2317" spans="1:15" x14ac:dyDescent="0.35">
      <c r="A2317" s="5" t="str">
        <f>Loads[[#This Row],[Date]]&amp;Loads[[#This Row],[Product]]</f>
        <v>44284Product2</v>
      </c>
      <c r="B2317" s="5">
        <f>COUNTIF($A$1:A2317,Loads[[#This Row],[Load]])</f>
        <v>4</v>
      </c>
      <c r="C2317" s="3" t="str">
        <f>Loads[[#This Row],[Load]]&amp;Loads[[#This Row],[Count]]</f>
        <v>44284Product24</v>
      </c>
      <c r="D2317" s="90">
        <v>44284</v>
      </c>
      <c r="E2317" s="143">
        <v>8.819444444444445E-2</v>
      </c>
      <c r="F2317" s="1" t="s">
        <v>9</v>
      </c>
      <c r="G2317" s="2" t="s">
        <v>13</v>
      </c>
      <c r="H2317" s="2" t="s">
        <v>42</v>
      </c>
      <c r="I2317" s="1" t="s">
        <v>11</v>
      </c>
      <c r="J2317" s="1" t="s">
        <v>8</v>
      </c>
      <c r="K2317" s="89">
        <v>9100</v>
      </c>
      <c r="L2317" s="3">
        <v>63.1</v>
      </c>
      <c r="M2317" s="3">
        <v>8.0299999999999994</v>
      </c>
      <c r="N2317" s="3" t="s">
        <v>8</v>
      </c>
      <c r="O2317" s="3" t="s">
        <v>8</v>
      </c>
    </row>
    <row r="2318" spans="1:15" x14ac:dyDescent="0.35">
      <c r="A2318" s="5" t="str">
        <f>Loads[[#This Row],[Date]]&amp;Loads[[#This Row],[Product]]</f>
        <v>44284Product2</v>
      </c>
      <c r="B2318" s="5">
        <f>COUNTIF($A$1:A2318,Loads[[#This Row],[Load]])</f>
        <v>5</v>
      </c>
      <c r="C2318" s="3" t="str">
        <f>Loads[[#This Row],[Load]]&amp;Loads[[#This Row],[Count]]</f>
        <v>44284Product25</v>
      </c>
      <c r="D2318" s="90">
        <v>44284</v>
      </c>
      <c r="E2318" s="143">
        <v>8.8888888888888892E-2</v>
      </c>
      <c r="F2318" s="1" t="s">
        <v>9</v>
      </c>
      <c r="G2318" s="2" t="s">
        <v>13</v>
      </c>
      <c r="H2318" s="2" t="s">
        <v>42</v>
      </c>
      <c r="I2318" s="1" t="s">
        <v>11</v>
      </c>
      <c r="J2318" s="1" t="s">
        <v>8</v>
      </c>
      <c r="K2318" s="89">
        <v>11560</v>
      </c>
      <c r="L2318" s="3">
        <v>62.45</v>
      </c>
      <c r="M2318" s="3">
        <v>9.01</v>
      </c>
      <c r="N2318" s="3" t="s">
        <v>8</v>
      </c>
      <c r="O2318" s="3" t="s">
        <v>8</v>
      </c>
    </row>
    <row r="2319" spans="1:15" x14ac:dyDescent="0.35">
      <c r="A2319" s="5" t="str">
        <f>Loads[[#This Row],[Date]]&amp;Loads[[#This Row],[Product]]</f>
        <v>44284Product2</v>
      </c>
      <c r="B2319" s="5">
        <f>COUNTIF($A$1:A2319,Loads[[#This Row],[Load]])</f>
        <v>6</v>
      </c>
      <c r="C2319" s="3" t="str">
        <f>Loads[[#This Row],[Load]]&amp;Loads[[#This Row],[Count]]</f>
        <v>44284Product26</v>
      </c>
      <c r="D2319" s="90">
        <v>44284</v>
      </c>
      <c r="E2319" s="143">
        <v>9.0972222222222218E-2</v>
      </c>
      <c r="F2319" s="1" t="s">
        <v>9</v>
      </c>
      <c r="G2319" s="2" t="s">
        <v>13</v>
      </c>
      <c r="H2319" s="2" t="s">
        <v>42</v>
      </c>
      <c r="I2319" s="1" t="s">
        <v>11</v>
      </c>
      <c r="J2319" s="1" t="s">
        <v>8</v>
      </c>
      <c r="K2319" s="89">
        <v>9200</v>
      </c>
      <c r="L2319" s="3">
        <v>63.28</v>
      </c>
      <c r="M2319" s="3">
        <v>8.5500000000000007</v>
      </c>
      <c r="N2319" s="3" t="s">
        <v>8</v>
      </c>
      <c r="O2319" s="3" t="s">
        <v>8</v>
      </c>
    </row>
    <row r="2320" spans="1:15" x14ac:dyDescent="0.35">
      <c r="A2320" s="5" t="str">
        <f>Loads[[#This Row],[Date]]&amp;Loads[[#This Row],[Product]]</f>
        <v>44284Product2</v>
      </c>
      <c r="B2320" s="5">
        <f>COUNTIF($A$1:A2320,Loads[[#This Row],[Load]])</f>
        <v>7</v>
      </c>
      <c r="C2320" s="3" t="str">
        <f>Loads[[#This Row],[Load]]&amp;Loads[[#This Row],[Count]]</f>
        <v>44284Product27</v>
      </c>
      <c r="D2320" s="90">
        <v>44284</v>
      </c>
      <c r="E2320" s="143">
        <v>9.1666666666666674E-2</v>
      </c>
      <c r="F2320" s="1" t="s">
        <v>9</v>
      </c>
      <c r="G2320" s="2" t="s">
        <v>13</v>
      </c>
      <c r="H2320" s="2" t="s">
        <v>42</v>
      </c>
      <c r="I2320" s="1" t="s">
        <v>11</v>
      </c>
      <c r="J2320" s="1" t="s">
        <v>8</v>
      </c>
      <c r="K2320" s="89">
        <v>10600</v>
      </c>
      <c r="L2320" s="3">
        <v>61.19</v>
      </c>
      <c r="M2320" s="3">
        <v>9.1199999999999992</v>
      </c>
      <c r="N2320" s="3" t="s">
        <v>8</v>
      </c>
      <c r="O2320" s="3" t="s">
        <v>8</v>
      </c>
    </row>
    <row r="2321" spans="1:15" x14ac:dyDescent="0.35">
      <c r="A2321" s="5" t="str">
        <f>Loads[[#This Row],[Date]]&amp;Loads[[#This Row],[Product]]</f>
        <v>44284Product2</v>
      </c>
      <c r="B2321" s="5">
        <f>COUNTIF($A$1:A2321,Loads[[#This Row],[Load]])</f>
        <v>8</v>
      </c>
      <c r="C2321" s="3" t="str">
        <f>Loads[[#This Row],[Load]]&amp;Loads[[#This Row],[Count]]</f>
        <v>44284Product28</v>
      </c>
      <c r="D2321" s="90">
        <v>44284</v>
      </c>
      <c r="E2321" s="143">
        <v>9.2361111111111116E-2</v>
      </c>
      <c r="F2321" s="1" t="s">
        <v>9</v>
      </c>
      <c r="G2321" s="2" t="s">
        <v>13</v>
      </c>
      <c r="H2321" s="2" t="s">
        <v>42</v>
      </c>
      <c r="I2321" s="1" t="s">
        <v>11</v>
      </c>
      <c r="J2321" s="1" t="s">
        <v>8</v>
      </c>
      <c r="K2321" s="89">
        <v>12460</v>
      </c>
      <c r="L2321" s="3">
        <v>64.36</v>
      </c>
      <c r="M2321" s="3">
        <v>7.78</v>
      </c>
      <c r="N2321" s="3" t="s">
        <v>8</v>
      </c>
      <c r="O2321" s="3" t="s">
        <v>8</v>
      </c>
    </row>
    <row r="2322" spans="1:15" x14ac:dyDescent="0.35">
      <c r="A2322" s="5" t="str">
        <f>Loads[[#This Row],[Date]]&amp;Loads[[#This Row],[Product]]</f>
        <v>44284Product7</v>
      </c>
      <c r="B2322" s="5">
        <f>COUNTIF($A$1:A2322,Loads[[#This Row],[Load]])</f>
        <v>1</v>
      </c>
      <c r="C2322" s="3" t="str">
        <f>Loads[[#This Row],[Load]]&amp;Loads[[#This Row],[Count]]</f>
        <v>44284Product71</v>
      </c>
      <c r="D2322" s="90">
        <v>44284</v>
      </c>
      <c r="E2322" s="143">
        <v>2.7777777777777779E-3</v>
      </c>
      <c r="F2322" s="1" t="s">
        <v>9</v>
      </c>
      <c r="G2322" s="2" t="s">
        <v>18</v>
      </c>
      <c r="H2322" s="2" t="s">
        <v>42</v>
      </c>
      <c r="I2322" s="1" t="s">
        <v>11</v>
      </c>
      <c r="J2322" s="1" t="s">
        <v>8</v>
      </c>
      <c r="K2322" s="89">
        <v>26200</v>
      </c>
      <c r="L2322" s="3" t="s">
        <v>8</v>
      </c>
      <c r="M2322" s="3">
        <v>24.7</v>
      </c>
      <c r="N2322" s="3" t="s">
        <v>8</v>
      </c>
      <c r="O2322" s="3">
        <v>42.84</v>
      </c>
    </row>
    <row r="2323" spans="1:15" x14ac:dyDescent="0.35">
      <c r="A2323" s="5" t="str">
        <f>Loads[[#This Row],[Date]]&amp;Loads[[#This Row],[Product]]</f>
        <v>44284Product8</v>
      </c>
      <c r="B2323" s="5">
        <f>COUNTIF($A$1:A2323,Loads[[#This Row],[Load]])</f>
        <v>1</v>
      </c>
      <c r="C2323" s="3" t="str">
        <f>Loads[[#This Row],[Load]]&amp;Loads[[#This Row],[Count]]</f>
        <v>44284Product81</v>
      </c>
      <c r="D2323" s="90">
        <v>44284</v>
      </c>
      <c r="E2323" s="143">
        <v>3.472222222222222E-3</v>
      </c>
      <c r="F2323" s="1" t="s">
        <v>9</v>
      </c>
      <c r="G2323" s="2" t="s">
        <v>19</v>
      </c>
      <c r="H2323" s="2" t="s">
        <v>42</v>
      </c>
      <c r="I2323" s="1" t="s">
        <v>11</v>
      </c>
      <c r="J2323" s="1" t="s">
        <v>8</v>
      </c>
      <c r="K2323" s="89">
        <v>12400</v>
      </c>
      <c r="L2323" s="3">
        <v>12.11</v>
      </c>
      <c r="M2323" s="3">
        <v>7.2</v>
      </c>
      <c r="N2323" s="3" t="s">
        <v>8</v>
      </c>
      <c r="O2323" s="3" t="s">
        <v>8</v>
      </c>
    </row>
    <row r="2324" spans="1:15" x14ac:dyDescent="0.35">
      <c r="A2324" s="5" t="str">
        <f>Loads[[#This Row],[Date]]&amp;Loads[[#This Row],[Product]]</f>
        <v>44284Product8</v>
      </c>
      <c r="B2324" s="5">
        <f>COUNTIF($A$1:A2324,Loads[[#This Row],[Load]])</f>
        <v>2</v>
      </c>
      <c r="C2324" s="3" t="str">
        <f>Loads[[#This Row],[Load]]&amp;Loads[[#This Row],[Count]]</f>
        <v>44284Product82</v>
      </c>
      <c r="D2324" s="90">
        <v>44284</v>
      </c>
      <c r="E2324" s="143">
        <v>4.1666666666666666E-3</v>
      </c>
      <c r="F2324" s="1" t="s">
        <v>9</v>
      </c>
      <c r="G2324" s="2" t="s">
        <v>19</v>
      </c>
      <c r="H2324" s="2" t="s">
        <v>42</v>
      </c>
      <c r="I2324" s="1" t="s">
        <v>11</v>
      </c>
      <c r="J2324" s="1" t="s">
        <v>8</v>
      </c>
      <c r="K2324" s="89">
        <v>13180</v>
      </c>
      <c r="L2324" s="3">
        <v>12.47</v>
      </c>
      <c r="M2324" s="3">
        <v>7.2</v>
      </c>
      <c r="N2324" s="3" t="s">
        <v>8</v>
      </c>
      <c r="O2324" s="3" t="s">
        <v>8</v>
      </c>
    </row>
    <row r="2325" spans="1:15" x14ac:dyDescent="0.35">
      <c r="A2325" s="5" t="str">
        <f>Loads[[#This Row],[Date]]&amp;Loads[[#This Row],[Product]]</f>
        <v>44284Product8</v>
      </c>
      <c r="B2325" s="5">
        <f>COUNTIF($A$1:A2325,Loads[[#This Row],[Load]])</f>
        <v>3</v>
      </c>
      <c r="C2325" s="3" t="str">
        <f>Loads[[#This Row],[Load]]&amp;Loads[[#This Row],[Count]]</f>
        <v>44284Product83</v>
      </c>
      <c r="D2325" s="90">
        <v>44284</v>
      </c>
      <c r="E2325" s="143">
        <v>4.8611111111111112E-3</v>
      </c>
      <c r="F2325" s="1" t="s">
        <v>9</v>
      </c>
      <c r="G2325" s="2" t="s">
        <v>19</v>
      </c>
      <c r="H2325" s="2" t="s">
        <v>42</v>
      </c>
      <c r="I2325" s="1" t="s">
        <v>11</v>
      </c>
      <c r="J2325" s="1" t="s">
        <v>8</v>
      </c>
      <c r="K2325" s="89">
        <v>9700</v>
      </c>
      <c r="L2325" s="3">
        <v>11.93</v>
      </c>
      <c r="M2325" s="3">
        <v>7.02</v>
      </c>
      <c r="N2325" s="3" t="s">
        <v>8</v>
      </c>
      <c r="O2325" s="3" t="s">
        <v>8</v>
      </c>
    </row>
    <row r="2326" spans="1:15" x14ac:dyDescent="0.35">
      <c r="A2326" s="5" t="str">
        <f>Loads[[#This Row],[Date]]&amp;Loads[[#This Row],[Product]]</f>
        <v>44284Product6</v>
      </c>
      <c r="B2326" s="5">
        <f>COUNTIF($A$1:A2326,Loads[[#This Row],[Load]])</f>
        <v>1</v>
      </c>
      <c r="C2326" s="3" t="str">
        <f>Loads[[#This Row],[Load]]&amp;Loads[[#This Row],[Count]]</f>
        <v>44284Product61</v>
      </c>
      <c r="D2326" s="90">
        <v>44284</v>
      </c>
      <c r="E2326" s="143">
        <v>2.0833333333333333E-3</v>
      </c>
      <c r="F2326" s="1" t="s">
        <v>9</v>
      </c>
      <c r="G2326" s="2" t="s">
        <v>17</v>
      </c>
      <c r="H2326" s="2" t="s">
        <v>42</v>
      </c>
      <c r="I2326" s="1" t="s">
        <v>11</v>
      </c>
      <c r="J2326" s="1" t="s">
        <v>8</v>
      </c>
      <c r="K2326" s="89">
        <v>34020</v>
      </c>
      <c r="L2326" s="3">
        <v>2.4</v>
      </c>
      <c r="M2326" s="3" t="s">
        <v>8</v>
      </c>
      <c r="N2326" s="3">
        <v>0.08</v>
      </c>
      <c r="O2326" s="3" t="s">
        <v>8</v>
      </c>
    </row>
    <row r="2327" spans="1:15" x14ac:dyDescent="0.35">
      <c r="A2327" s="5" t="str">
        <f>Loads[[#This Row],[Date]]&amp;Loads[[#This Row],[Product]]</f>
        <v>44284Product1</v>
      </c>
      <c r="B2327" s="5">
        <f>COUNTIF($A$1:A2327,Loads[[#This Row],[Load]])</f>
        <v>1</v>
      </c>
      <c r="C2327" s="3" t="str">
        <f>Loads[[#This Row],[Load]]&amp;Loads[[#This Row],[Count]]</f>
        <v>44284Product11</v>
      </c>
      <c r="D2327" s="90">
        <v>44284</v>
      </c>
      <c r="E2327" s="143">
        <v>0.99513888888888891</v>
      </c>
      <c r="F2327" s="1" t="s">
        <v>9</v>
      </c>
      <c r="G2327" s="2" t="s">
        <v>12</v>
      </c>
      <c r="H2327" s="2" t="s">
        <v>42</v>
      </c>
      <c r="I2327" s="1" t="s">
        <v>11</v>
      </c>
      <c r="J2327" s="1" t="s">
        <v>8</v>
      </c>
      <c r="K2327" s="89">
        <v>18780</v>
      </c>
      <c r="L2327" s="3">
        <v>9.16</v>
      </c>
      <c r="M2327" s="3">
        <v>22.01</v>
      </c>
      <c r="N2327" s="3" t="s">
        <v>8</v>
      </c>
      <c r="O2327" s="3" t="s">
        <v>8</v>
      </c>
    </row>
    <row r="2328" spans="1:15" x14ac:dyDescent="0.35">
      <c r="A2328" s="5" t="str">
        <f>Loads[[#This Row],[Date]]&amp;Loads[[#This Row],[Product]]</f>
        <v>44284Product1</v>
      </c>
      <c r="B2328" s="5">
        <f>COUNTIF($A$1:A2328,Loads[[#This Row],[Load]])</f>
        <v>2</v>
      </c>
      <c r="C2328" s="3" t="str">
        <f>Loads[[#This Row],[Load]]&amp;Loads[[#This Row],[Count]]</f>
        <v>44284Product12</v>
      </c>
      <c r="D2328" s="90">
        <v>44284</v>
      </c>
      <c r="E2328" s="143">
        <v>0</v>
      </c>
      <c r="F2328" s="1" t="s">
        <v>9</v>
      </c>
      <c r="G2328" s="2" t="s">
        <v>12</v>
      </c>
      <c r="H2328" s="2" t="s">
        <v>42</v>
      </c>
      <c r="I2328" s="1" t="s">
        <v>11</v>
      </c>
      <c r="J2328" s="1" t="s">
        <v>8</v>
      </c>
      <c r="K2328" s="89">
        <v>27900</v>
      </c>
      <c r="L2328" s="3">
        <v>8.6199999999999992</v>
      </c>
      <c r="M2328" s="3">
        <v>22.02</v>
      </c>
      <c r="N2328" s="3" t="s">
        <v>8</v>
      </c>
      <c r="O2328" s="3" t="s">
        <v>8</v>
      </c>
    </row>
    <row r="2329" spans="1:15" x14ac:dyDescent="0.35">
      <c r="A2329" s="5" t="str">
        <f>Loads[[#This Row],[Date]]&amp;Loads[[#This Row],[Product]]</f>
        <v>44284Product1</v>
      </c>
      <c r="B2329" s="5">
        <f>COUNTIF($A$1:A2329,Loads[[#This Row],[Load]])</f>
        <v>3</v>
      </c>
      <c r="C2329" s="3" t="str">
        <f>Loads[[#This Row],[Load]]&amp;Loads[[#This Row],[Count]]</f>
        <v>44284Product13</v>
      </c>
      <c r="D2329" s="90">
        <v>44284</v>
      </c>
      <c r="E2329" s="143">
        <v>6.9444444444444447E-4</v>
      </c>
      <c r="F2329" s="1" t="s">
        <v>9</v>
      </c>
      <c r="G2329" s="2" t="s">
        <v>12</v>
      </c>
      <c r="H2329" s="2" t="s">
        <v>42</v>
      </c>
      <c r="I2329" s="1" t="s">
        <v>10</v>
      </c>
      <c r="J2329" s="1">
        <v>100</v>
      </c>
      <c r="K2329" s="89">
        <v>4020</v>
      </c>
      <c r="L2329" s="3">
        <v>8.44</v>
      </c>
      <c r="M2329" s="3">
        <v>21.64</v>
      </c>
      <c r="N2329" s="3" t="s">
        <v>8</v>
      </c>
      <c r="O2329" s="3" t="s">
        <v>8</v>
      </c>
    </row>
    <row r="2330" spans="1:15" x14ac:dyDescent="0.35">
      <c r="A2330" s="5" t="str">
        <f>Loads[[#This Row],[Date]]&amp;Loads[[#This Row],[Product]]</f>
        <v>44284Product1</v>
      </c>
      <c r="B2330" s="5">
        <f>COUNTIF($A$1:A2330,Loads[[#This Row],[Load]])</f>
        <v>4</v>
      </c>
      <c r="C2330" s="3" t="str">
        <f>Loads[[#This Row],[Load]]&amp;Loads[[#This Row],[Count]]</f>
        <v>44284Product14</v>
      </c>
      <c r="D2330" s="90">
        <v>44284</v>
      </c>
      <c r="E2330" s="143">
        <v>1.3888888888888889E-3</v>
      </c>
      <c r="F2330" s="1" t="s">
        <v>9</v>
      </c>
      <c r="G2330" s="2" t="s">
        <v>12</v>
      </c>
      <c r="H2330" s="2" t="s">
        <v>42</v>
      </c>
      <c r="I2330" s="1" t="s">
        <v>10</v>
      </c>
      <c r="J2330" s="1">
        <v>900</v>
      </c>
      <c r="K2330" s="89">
        <v>37020</v>
      </c>
      <c r="L2330" s="3">
        <v>5.27</v>
      </c>
      <c r="M2330" s="3">
        <v>22.83</v>
      </c>
      <c r="N2330" s="3" t="s">
        <v>8</v>
      </c>
      <c r="O2330" s="3" t="s">
        <v>8</v>
      </c>
    </row>
    <row r="2331" spans="1:15" x14ac:dyDescent="0.35">
      <c r="A2331" s="5" t="str">
        <f>Loads[[#This Row],[Date]]&amp;Loads[[#This Row],[Product]]</f>
        <v>44284Product1</v>
      </c>
      <c r="B2331" s="5">
        <f>COUNTIF($A$1:A2331,Loads[[#This Row],[Load]])</f>
        <v>5</v>
      </c>
      <c r="C2331" s="3" t="str">
        <f>Loads[[#This Row],[Load]]&amp;Loads[[#This Row],[Count]]</f>
        <v>44284Product15</v>
      </c>
      <c r="D2331" s="90">
        <v>44284</v>
      </c>
      <c r="E2331" s="143">
        <v>0.99583333333333324</v>
      </c>
      <c r="F2331" s="1" t="s">
        <v>9</v>
      </c>
      <c r="G2331" s="2" t="s">
        <v>12</v>
      </c>
      <c r="H2331" s="2" t="s">
        <v>42</v>
      </c>
      <c r="I2331" s="1" t="s">
        <v>11</v>
      </c>
      <c r="J2331" s="1" t="s">
        <v>8</v>
      </c>
      <c r="K2331" s="89">
        <v>27500</v>
      </c>
      <c r="L2331" s="3">
        <v>9.16</v>
      </c>
      <c r="M2331" s="3">
        <v>22.01</v>
      </c>
      <c r="N2331" s="3" t="s">
        <v>8</v>
      </c>
      <c r="O2331" s="3" t="s">
        <v>8</v>
      </c>
    </row>
    <row r="2332" spans="1:15" x14ac:dyDescent="0.35">
      <c r="A2332" s="5" t="str">
        <f>Loads[[#This Row],[Date]]&amp;Loads[[#This Row],[Product]]</f>
        <v>44284Product1</v>
      </c>
      <c r="B2332" s="5">
        <f>COUNTIF($A$1:A2332,Loads[[#This Row],[Load]])</f>
        <v>6</v>
      </c>
      <c r="C2332" s="3" t="str">
        <f>Loads[[#This Row],[Load]]&amp;Loads[[#This Row],[Count]]</f>
        <v>44284Product16</v>
      </c>
      <c r="D2332" s="90">
        <v>44284</v>
      </c>
      <c r="E2332" s="143">
        <v>0.99652777777777779</v>
      </c>
      <c r="F2332" s="1" t="s">
        <v>9</v>
      </c>
      <c r="G2332" s="2" t="s">
        <v>12</v>
      </c>
      <c r="H2332" s="2" t="s">
        <v>42</v>
      </c>
      <c r="I2332" s="1" t="s">
        <v>11</v>
      </c>
      <c r="J2332" s="1" t="s">
        <v>8</v>
      </c>
      <c r="K2332" s="89">
        <v>25980</v>
      </c>
      <c r="L2332" s="3">
        <v>9.93</v>
      </c>
      <c r="M2332" s="3">
        <v>21.94</v>
      </c>
      <c r="N2332" s="3" t="s">
        <v>8</v>
      </c>
      <c r="O2332" s="3" t="s">
        <v>8</v>
      </c>
    </row>
    <row r="2333" spans="1:15" x14ac:dyDescent="0.35">
      <c r="A2333" s="5" t="str">
        <f>Loads[[#This Row],[Date]]&amp;Loads[[#This Row],[Product]]</f>
        <v>44284Product1</v>
      </c>
      <c r="B2333" s="5">
        <f>COUNTIF($A$1:A2333,Loads[[#This Row],[Load]])</f>
        <v>7</v>
      </c>
      <c r="C2333" s="3" t="str">
        <f>Loads[[#This Row],[Load]]&amp;Loads[[#This Row],[Count]]</f>
        <v>44284Product17</v>
      </c>
      <c r="D2333" s="90">
        <v>44284</v>
      </c>
      <c r="E2333" s="143">
        <v>0.99722222222222223</v>
      </c>
      <c r="F2333" s="1" t="s">
        <v>9</v>
      </c>
      <c r="G2333" s="2" t="s">
        <v>12</v>
      </c>
      <c r="H2333" s="2" t="s">
        <v>42</v>
      </c>
      <c r="I2333" s="1" t="s">
        <v>11</v>
      </c>
      <c r="J2333" s="1" t="s">
        <v>8</v>
      </c>
      <c r="K2333" s="89">
        <v>21450</v>
      </c>
      <c r="L2333" s="3">
        <v>7.54</v>
      </c>
      <c r="M2333" s="3">
        <v>20.79</v>
      </c>
      <c r="N2333" s="3" t="s">
        <v>8</v>
      </c>
      <c r="O2333" s="3" t="s">
        <v>8</v>
      </c>
    </row>
    <row r="2334" spans="1:15" x14ac:dyDescent="0.35">
      <c r="A2334" s="5" t="str">
        <f>Loads[[#This Row],[Date]]&amp;Loads[[#This Row],[Product]]</f>
        <v>44284Product1</v>
      </c>
      <c r="B2334" s="5">
        <f>COUNTIF($A$1:A2334,Loads[[#This Row],[Load]])</f>
        <v>8</v>
      </c>
      <c r="C2334" s="3" t="str">
        <f>Loads[[#This Row],[Load]]&amp;Loads[[#This Row],[Count]]</f>
        <v>44284Product18</v>
      </c>
      <c r="D2334" s="90">
        <v>44284</v>
      </c>
      <c r="E2334" s="143">
        <v>0.99722222222222223</v>
      </c>
      <c r="F2334" s="1" t="s">
        <v>9</v>
      </c>
      <c r="G2334" s="2" t="s">
        <v>12</v>
      </c>
      <c r="H2334" s="2" t="s">
        <v>42</v>
      </c>
      <c r="I2334" s="1" t="s">
        <v>10</v>
      </c>
      <c r="J2334" s="1">
        <v>800</v>
      </c>
      <c r="K2334" s="89">
        <v>31940</v>
      </c>
      <c r="L2334" s="3">
        <v>7.67</v>
      </c>
      <c r="M2334" s="3">
        <v>20.59</v>
      </c>
      <c r="N2334" s="3" t="s">
        <v>8</v>
      </c>
      <c r="O2334" s="3" t="s">
        <v>8</v>
      </c>
    </row>
    <row r="2335" spans="1:15" x14ac:dyDescent="0.35">
      <c r="A2335" s="5" t="str">
        <f>Loads[[#This Row],[Date]]&amp;Loads[[#This Row],[Product]]</f>
        <v>44284Product1</v>
      </c>
      <c r="B2335" s="5">
        <f>COUNTIF($A$1:A2335,Loads[[#This Row],[Load]])</f>
        <v>9</v>
      </c>
      <c r="C2335" s="3" t="str">
        <f>Loads[[#This Row],[Load]]&amp;Loads[[#This Row],[Count]]</f>
        <v>44284Product19</v>
      </c>
      <c r="D2335" s="90">
        <v>44284</v>
      </c>
      <c r="E2335" s="143">
        <v>0.99791666666666667</v>
      </c>
      <c r="F2335" s="1" t="s">
        <v>9</v>
      </c>
      <c r="G2335" s="2" t="s">
        <v>12</v>
      </c>
      <c r="H2335" s="2" t="s">
        <v>42</v>
      </c>
      <c r="I2335" s="1" t="s">
        <v>11</v>
      </c>
      <c r="J2335" s="1" t="s">
        <v>8</v>
      </c>
      <c r="K2335" s="89">
        <v>28980</v>
      </c>
      <c r="L2335" s="3">
        <v>8.8699999999999992</v>
      </c>
      <c r="M2335" s="3">
        <v>21.55</v>
      </c>
      <c r="N2335" s="3" t="s">
        <v>8</v>
      </c>
      <c r="O2335" s="3" t="s">
        <v>8</v>
      </c>
    </row>
    <row r="2336" spans="1:15" x14ac:dyDescent="0.35">
      <c r="A2336" s="5" t="str">
        <f>Loads[[#This Row],[Date]]&amp;Loads[[#This Row],[Product]]</f>
        <v>44284Product1</v>
      </c>
      <c r="B2336" s="5">
        <f>COUNTIF($A$1:A2336,Loads[[#This Row],[Load]])</f>
        <v>10</v>
      </c>
      <c r="C2336" s="3" t="str">
        <f>Loads[[#This Row],[Load]]&amp;Loads[[#This Row],[Count]]</f>
        <v>44284Product110</v>
      </c>
      <c r="D2336" s="90">
        <v>44284</v>
      </c>
      <c r="E2336" s="143">
        <v>0.99861111111111101</v>
      </c>
      <c r="F2336" s="1" t="s">
        <v>9</v>
      </c>
      <c r="G2336" s="2" t="s">
        <v>12</v>
      </c>
      <c r="H2336" s="2" t="s">
        <v>42</v>
      </c>
      <c r="I2336" s="1" t="s">
        <v>10</v>
      </c>
      <c r="J2336" s="1">
        <v>940</v>
      </c>
      <c r="K2336" s="89">
        <v>37420</v>
      </c>
      <c r="L2336" s="3">
        <v>7.3</v>
      </c>
      <c r="M2336" s="3">
        <v>21.68</v>
      </c>
      <c r="N2336" s="3" t="s">
        <v>8</v>
      </c>
      <c r="O2336" s="3" t="s">
        <v>8</v>
      </c>
    </row>
    <row r="2337" spans="1:15" x14ac:dyDescent="0.35">
      <c r="A2337" s="5" t="str">
        <f>Loads[[#This Row],[Date]]&amp;Loads[[#This Row],[Product]]</f>
        <v>44284Product1</v>
      </c>
      <c r="B2337" s="5">
        <f>COUNTIF($A$1:A2337,Loads[[#This Row],[Load]])</f>
        <v>11</v>
      </c>
      <c r="C2337" s="3" t="str">
        <f>Loads[[#This Row],[Load]]&amp;Loads[[#This Row],[Count]]</f>
        <v>44284Product111</v>
      </c>
      <c r="D2337" s="90">
        <v>44284</v>
      </c>
      <c r="E2337" s="143">
        <v>0.99930555555555556</v>
      </c>
      <c r="F2337" s="1" t="s">
        <v>9</v>
      </c>
      <c r="G2337" s="2" t="s">
        <v>12</v>
      </c>
      <c r="H2337" s="2" t="s">
        <v>42</v>
      </c>
      <c r="I2337" s="1" t="s">
        <v>11</v>
      </c>
      <c r="J2337" s="1" t="s">
        <v>8</v>
      </c>
      <c r="K2337" s="89">
        <v>11600</v>
      </c>
      <c r="L2337" s="3">
        <v>7.25</v>
      </c>
      <c r="M2337" s="3">
        <v>21.81</v>
      </c>
      <c r="N2337" s="3" t="s">
        <v>8</v>
      </c>
      <c r="O2337" s="3" t="s">
        <v>8</v>
      </c>
    </row>
    <row r="2338" spans="1:15" x14ac:dyDescent="0.35">
      <c r="A2338" s="5" t="str">
        <f>Loads[[#This Row],[Date]]&amp;Loads[[#This Row],[Product]]</f>
        <v>44284Product1</v>
      </c>
      <c r="B2338" s="5">
        <f>COUNTIF($A$1:A2338,Loads[[#This Row],[Load]])</f>
        <v>12</v>
      </c>
      <c r="C2338" s="3" t="str">
        <f>Loads[[#This Row],[Load]]&amp;Loads[[#This Row],[Count]]</f>
        <v>44284Product112</v>
      </c>
      <c r="D2338" s="90">
        <v>44284</v>
      </c>
      <c r="E2338" s="143">
        <v>0.99930555555555556</v>
      </c>
      <c r="F2338" s="1" t="s">
        <v>9</v>
      </c>
      <c r="G2338" s="2" t="s">
        <v>12</v>
      </c>
      <c r="H2338" s="2" t="s">
        <v>42</v>
      </c>
      <c r="I2338" s="1" t="s">
        <v>10</v>
      </c>
      <c r="J2338" s="1">
        <v>790</v>
      </c>
      <c r="K2338" s="89">
        <v>31700</v>
      </c>
      <c r="L2338" s="3">
        <v>7.57</v>
      </c>
      <c r="M2338" s="3">
        <v>21.77</v>
      </c>
      <c r="N2338" s="3" t="s">
        <v>8</v>
      </c>
      <c r="O2338" s="3" t="s">
        <v>8</v>
      </c>
    </row>
    <row r="2339" spans="1:15" x14ac:dyDescent="0.35">
      <c r="A2339" s="5" t="str">
        <f>Loads[[#This Row],[Date]]&amp;Loads[[#This Row],[Product]]</f>
        <v>44285Product6</v>
      </c>
      <c r="B2339" s="5">
        <f>COUNTIF($A$1:A2339,Loads[[#This Row],[Load]])</f>
        <v>1</v>
      </c>
      <c r="C2339" s="3" t="str">
        <f>Loads[[#This Row],[Load]]&amp;Loads[[#This Row],[Count]]</f>
        <v>44285Product61</v>
      </c>
      <c r="D2339" s="90">
        <v>44285</v>
      </c>
      <c r="E2339" s="143">
        <v>1.1111111111111112E-2</v>
      </c>
      <c r="F2339" s="1" t="s">
        <v>9</v>
      </c>
      <c r="G2339" s="2" t="s">
        <v>17</v>
      </c>
      <c r="H2339" s="2" t="s">
        <v>42</v>
      </c>
      <c r="I2339" s="1" t="s">
        <v>11</v>
      </c>
      <c r="J2339" s="1" t="s">
        <v>8</v>
      </c>
      <c r="K2339" s="89">
        <v>35820</v>
      </c>
      <c r="L2339" s="3">
        <v>2.2999999999999998</v>
      </c>
      <c r="M2339" s="3" t="s">
        <v>8</v>
      </c>
      <c r="N2339" s="3">
        <v>0.08</v>
      </c>
      <c r="O2339" s="3" t="s">
        <v>8</v>
      </c>
    </row>
    <row r="2340" spans="1:15" x14ac:dyDescent="0.35">
      <c r="A2340" s="5" t="str">
        <f>Loads[[#This Row],[Date]]&amp;Loads[[#This Row],[Product]]</f>
        <v>44285Product6</v>
      </c>
      <c r="B2340" s="5">
        <f>COUNTIF($A$1:A2340,Loads[[#This Row],[Load]])</f>
        <v>2</v>
      </c>
      <c r="C2340" s="3" t="str">
        <f>Loads[[#This Row],[Load]]&amp;Loads[[#This Row],[Count]]</f>
        <v>44285Product62</v>
      </c>
      <c r="D2340" s="90">
        <v>44285</v>
      </c>
      <c r="E2340" s="143">
        <v>1.2499999999999999E-2</v>
      </c>
      <c r="F2340" s="1" t="s">
        <v>9</v>
      </c>
      <c r="G2340" s="2" t="s">
        <v>17</v>
      </c>
      <c r="H2340" s="2" t="s">
        <v>42</v>
      </c>
      <c r="I2340" s="1" t="s">
        <v>11</v>
      </c>
      <c r="J2340" s="1" t="s">
        <v>8</v>
      </c>
      <c r="K2340" s="89">
        <v>34480</v>
      </c>
      <c r="L2340" s="3">
        <v>2.4</v>
      </c>
      <c r="M2340" s="3" t="s">
        <v>8</v>
      </c>
      <c r="N2340" s="3">
        <v>0.08</v>
      </c>
      <c r="O2340" s="3" t="s">
        <v>8</v>
      </c>
    </row>
    <row r="2341" spans="1:15" x14ac:dyDescent="0.35">
      <c r="A2341" s="5" t="str">
        <f>Loads[[#This Row],[Date]]&amp;Loads[[#This Row],[Product]]</f>
        <v>44285Product4</v>
      </c>
      <c r="B2341" s="5">
        <f>COUNTIF($A$1:A2341,Loads[[#This Row],[Load]])</f>
        <v>1</v>
      </c>
      <c r="C2341" s="3" t="str">
        <f>Loads[[#This Row],[Load]]&amp;Loads[[#This Row],[Count]]</f>
        <v>44285Product41</v>
      </c>
      <c r="D2341" s="90">
        <v>44285</v>
      </c>
      <c r="E2341" s="143">
        <v>1.2499999999999999E-2</v>
      </c>
      <c r="F2341" s="1" t="s">
        <v>9</v>
      </c>
      <c r="G2341" s="2" t="s">
        <v>15</v>
      </c>
      <c r="H2341" s="2" t="s">
        <v>42</v>
      </c>
      <c r="I2341" s="1" t="s">
        <v>11</v>
      </c>
      <c r="J2341" s="1" t="s">
        <v>8</v>
      </c>
      <c r="K2341" s="89">
        <v>29120</v>
      </c>
      <c r="L2341" s="3">
        <v>8.3800000000000008</v>
      </c>
      <c r="M2341" s="3">
        <v>63.62</v>
      </c>
      <c r="N2341" s="3" t="s">
        <v>8</v>
      </c>
      <c r="O2341" s="3" t="s">
        <v>8</v>
      </c>
    </row>
    <row r="2342" spans="1:15" x14ac:dyDescent="0.35">
      <c r="A2342" s="5" t="str">
        <f>Loads[[#This Row],[Date]]&amp;Loads[[#This Row],[Product]]</f>
        <v>44285Product4</v>
      </c>
      <c r="B2342" s="5">
        <f>COUNTIF($A$1:A2342,Loads[[#This Row],[Load]])</f>
        <v>2</v>
      </c>
      <c r="C2342" s="3" t="str">
        <f>Loads[[#This Row],[Load]]&amp;Loads[[#This Row],[Count]]</f>
        <v>44285Product42</v>
      </c>
      <c r="D2342" s="90">
        <v>44285</v>
      </c>
      <c r="E2342" s="143">
        <v>1.3194444444444444E-2</v>
      </c>
      <c r="F2342" s="1" t="s">
        <v>9</v>
      </c>
      <c r="G2342" s="2" t="s">
        <v>15</v>
      </c>
      <c r="H2342" s="2" t="s">
        <v>42</v>
      </c>
      <c r="I2342" s="1" t="s">
        <v>0</v>
      </c>
      <c r="J2342" s="1">
        <v>22</v>
      </c>
      <c r="K2342" s="89">
        <v>26860</v>
      </c>
      <c r="L2342" s="3">
        <v>7.73</v>
      </c>
      <c r="M2342" s="3">
        <v>65.56</v>
      </c>
      <c r="N2342" s="3" t="s">
        <v>8</v>
      </c>
      <c r="O2342" s="3" t="s">
        <v>8</v>
      </c>
    </row>
    <row r="2343" spans="1:15" x14ac:dyDescent="0.35">
      <c r="A2343" s="5" t="str">
        <f>Loads[[#This Row],[Date]]&amp;Loads[[#This Row],[Product]]</f>
        <v>44285Product1</v>
      </c>
      <c r="B2343" s="5">
        <f>COUNTIF($A$1:A2343,Loads[[#This Row],[Load]])</f>
        <v>1</v>
      </c>
      <c r="C2343" s="3" t="str">
        <f>Loads[[#This Row],[Load]]&amp;Loads[[#This Row],[Count]]</f>
        <v>44285Product11</v>
      </c>
      <c r="D2343" s="90">
        <v>44285</v>
      </c>
      <c r="E2343" s="143">
        <v>1.3888888888888888E-2</v>
      </c>
      <c r="F2343" s="1" t="s">
        <v>9</v>
      </c>
      <c r="G2343" s="2" t="s">
        <v>12</v>
      </c>
      <c r="H2343" s="2" t="s">
        <v>42</v>
      </c>
      <c r="I2343" s="1" t="s">
        <v>11</v>
      </c>
      <c r="J2343" s="1" t="s">
        <v>8</v>
      </c>
      <c r="K2343" s="89">
        <v>18660</v>
      </c>
      <c r="L2343" s="3">
        <v>7.47</v>
      </c>
      <c r="M2343" s="3">
        <v>21.35</v>
      </c>
      <c r="N2343" s="3" t="s">
        <v>8</v>
      </c>
      <c r="O2343" s="3" t="s">
        <v>8</v>
      </c>
    </row>
    <row r="2344" spans="1:15" x14ac:dyDescent="0.35">
      <c r="A2344" s="5" t="str">
        <f>Loads[[#This Row],[Date]]&amp;Loads[[#This Row],[Product]]</f>
        <v>44285Product1</v>
      </c>
      <c r="B2344" s="5">
        <f>COUNTIF($A$1:A2344,Loads[[#This Row],[Load]])</f>
        <v>2</v>
      </c>
      <c r="C2344" s="3" t="str">
        <f>Loads[[#This Row],[Load]]&amp;Loads[[#This Row],[Count]]</f>
        <v>44285Product12</v>
      </c>
      <c r="D2344" s="90">
        <v>44285</v>
      </c>
      <c r="E2344" s="143">
        <v>1.4583333333333332E-2</v>
      </c>
      <c r="F2344" s="1" t="s">
        <v>9</v>
      </c>
      <c r="G2344" s="2" t="s">
        <v>12</v>
      </c>
      <c r="H2344" s="2" t="s">
        <v>42</v>
      </c>
      <c r="I2344" s="1" t="s">
        <v>11</v>
      </c>
      <c r="J2344" s="1" t="s">
        <v>8</v>
      </c>
      <c r="K2344" s="89">
        <v>33760</v>
      </c>
      <c r="L2344" s="3">
        <v>8</v>
      </c>
      <c r="M2344" s="3">
        <v>21.47</v>
      </c>
      <c r="N2344" s="3" t="s">
        <v>8</v>
      </c>
      <c r="O2344" s="3" t="s">
        <v>8</v>
      </c>
    </row>
    <row r="2345" spans="1:15" x14ac:dyDescent="0.35">
      <c r="A2345" s="5" t="str">
        <f>Loads[[#This Row],[Date]]&amp;Loads[[#This Row],[Product]]</f>
        <v>44285Product1</v>
      </c>
      <c r="B2345" s="5">
        <f>COUNTIF($A$1:A2345,Loads[[#This Row],[Load]])</f>
        <v>3</v>
      </c>
      <c r="C2345" s="3" t="str">
        <f>Loads[[#This Row],[Load]]&amp;Loads[[#This Row],[Count]]</f>
        <v>44285Product13</v>
      </c>
      <c r="D2345" s="90">
        <v>44285</v>
      </c>
      <c r="E2345" s="143">
        <v>1.5277777777777777E-2</v>
      </c>
      <c r="F2345" s="1" t="s">
        <v>9</v>
      </c>
      <c r="G2345" s="2" t="s">
        <v>12</v>
      </c>
      <c r="H2345" s="2" t="s">
        <v>42</v>
      </c>
      <c r="I2345" s="1" t="s">
        <v>11</v>
      </c>
      <c r="J2345" s="1" t="s">
        <v>8</v>
      </c>
      <c r="K2345" s="89">
        <v>34500</v>
      </c>
      <c r="L2345" s="3">
        <v>8.09</v>
      </c>
      <c r="M2345" s="3">
        <v>21.66</v>
      </c>
      <c r="N2345" s="3" t="s">
        <v>8</v>
      </c>
      <c r="O2345" s="3" t="s">
        <v>8</v>
      </c>
    </row>
    <row r="2346" spans="1:15" x14ac:dyDescent="0.35">
      <c r="A2346" s="5" t="str">
        <f>Loads[[#This Row],[Date]]&amp;Loads[[#This Row],[Product]]</f>
        <v>44285Product1</v>
      </c>
      <c r="B2346" s="5">
        <f>COUNTIF($A$1:A2346,Loads[[#This Row],[Load]])</f>
        <v>4</v>
      </c>
      <c r="C2346" s="3" t="str">
        <f>Loads[[#This Row],[Load]]&amp;Loads[[#This Row],[Count]]</f>
        <v>44285Product14</v>
      </c>
      <c r="D2346" s="90">
        <v>44285</v>
      </c>
      <c r="E2346" s="143">
        <v>1.7361111111111112E-2</v>
      </c>
      <c r="F2346" s="1" t="s">
        <v>9</v>
      </c>
      <c r="G2346" s="2" t="s">
        <v>12</v>
      </c>
      <c r="H2346" s="2" t="s">
        <v>42</v>
      </c>
      <c r="I2346" s="1" t="s">
        <v>11</v>
      </c>
      <c r="J2346" s="1" t="s">
        <v>8</v>
      </c>
      <c r="K2346" s="89">
        <v>22880</v>
      </c>
      <c r="L2346" s="3">
        <v>8.2200000000000006</v>
      </c>
      <c r="M2346" s="3">
        <v>21.95</v>
      </c>
      <c r="N2346" s="3" t="s">
        <v>8</v>
      </c>
      <c r="O2346" s="3" t="s">
        <v>8</v>
      </c>
    </row>
    <row r="2347" spans="1:15" x14ac:dyDescent="0.35">
      <c r="A2347" s="5" t="str">
        <f>Loads[[#This Row],[Date]]&amp;Loads[[#This Row],[Product]]</f>
        <v>44285Product1</v>
      </c>
      <c r="B2347" s="5">
        <f>COUNTIF($A$1:A2347,Loads[[#This Row],[Load]])</f>
        <v>5</v>
      </c>
      <c r="C2347" s="3" t="str">
        <f>Loads[[#This Row],[Load]]&amp;Loads[[#This Row],[Count]]</f>
        <v>44285Product15</v>
      </c>
      <c r="D2347" s="90">
        <v>44285</v>
      </c>
      <c r="E2347" s="143">
        <v>1.8055555555555557E-2</v>
      </c>
      <c r="F2347" s="1" t="s">
        <v>9</v>
      </c>
      <c r="G2347" s="2" t="s">
        <v>12</v>
      </c>
      <c r="H2347" s="2" t="s">
        <v>42</v>
      </c>
      <c r="I2347" s="1" t="s">
        <v>11</v>
      </c>
      <c r="J2347" s="1" t="s">
        <v>8</v>
      </c>
      <c r="K2347" s="89">
        <v>32100</v>
      </c>
      <c r="L2347" s="3">
        <v>8.44</v>
      </c>
      <c r="M2347" s="3">
        <v>21.59</v>
      </c>
      <c r="N2347" s="3" t="s">
        <v>8</v>
      </c>
      <c r="O2347" s="3" t="s">
        <v>8</v>
      </c>
    </row>
    <row r="2348" spans="1:15" x14ac:dyDescent="0.35">
      <c r="A2348" s="5" t="str">
        <f>Loads[[#This Row],[Date]]&amp;Loads[[#This Row],[Product]]</f>
        <v>44285Product1</v>
      </c>
      <c r="B2348" s="5">
        <f>COUNTIF($A$1:A2348,Loads[[#This Row],[Load]])</f>
        <v>6</v>
      </c>
      <c r="C2348" s="3" t="str">
        <f>Loads[[#This Row],[Load]]&amp;Loads[[#This Row],[Count]]</f>
        <v>44285Product16</v>
      </c>
      <c r="D2348" s="90">
        <v>44285</v>
      </c>
      <c r="E2348" s="143">
        <v>1.8055555555555557E-2</v>
      </c>
      <c r="F2348" s="1" t="s">
        <v>9</v>
      </c>
      <c r="G2348" s="2" t="s">
        <v>12</v>
      </c>
      <c r="H2348" s="2" t="s">
        <v>42</v>
      </c>
      <c r="I2348" s="1" t="s">
        <v>10</v>
      </c>
      <c r="J2348" s="1">
        <v>925</v>
      </c>
      <c r="K2348" s="89">
        <v>37140</v>
      </c>
      <c r="L2348" s="3">
        <v>8.2899999999999991</v>
      </c>
      <c r="M2348" s="3">
        <v>20.93</v>
      </c>
      <c r="N2348" s="3" t="s">
        <v>8</v>
      </c>
      <c r="O2348" s="3" t="s">
        <v>8</v>
      </c>
    </row>
    <row r="2349" spans="1:15" x14ac:dyDescent="0.35">
      <c r="A2349" s="5" t="str">
        <f>Loads[[#This Row],[Date]]&amp;Loads[[#This Row],[Product]]</f>
        <v>44285Product1</v>
      </c>
      <c r="B2349" s="5">
        <f>COUNTIF($A$1:A2349,Loads[[#This Row],[Load]])</f>
        <v>7</v>
      </c>
      <c r="C2349" s="3" t="str">
        <f>Loads[[#This Row],[Load]]&amp;Loads[[#This Row],[Count]]</f>
        <v>44285Product17</v>
      </c>
      <c r="D2349" s="90">
        <v>44285</v>
      </c>
      <c r="E2349" s="143">
        <v>1.8749999999999999E-2</v>
      </c>
      <c r="F2349" s="1" t="s">
        <v>9</v>
      </c>
      <c r="G2349" s="2" t="s">
        <v>12</v>
      </c>
      <c r="H2349" s="2" t="s">
        <v>42</v>
      </c>
      <c r="I2349" s="1" t="s">
        <v>10</v>
      </c>
      <c r="J2349" s="1">
        <v>445</v>
      </c>
      <c r="K2349" s="89">
        <v>17860</v>
      </c>
      <c r="L2349" s="3">
        <v>7.18</v>
      </c>
      <c r="M2349" s="3">
        <v>21</v>
      </c>
      <c r="N2349" s="3" t="s">
        <v>8</v>
      </c>
      <c r="O2349" s="3" t="s">
        <v>8</v>
      </c>
    </row>
    <row r="2350" spans="1:15" x14ac:dyDescent="0.35">
      <c r="A2350" s="5" t="str">
        <f>Loads[[#This Row],[Date]]&amp;Loads[[#This Row],[Product]]</f>
        <v>44285Product5</v>
      </c>
      <c r="B2350" s="5">
        <f>COUNTIF($A$1:A2350,Loads[[#This Row],[Load]])</f>
        <v>1</v>
      </c>
      <c r="C2350" s="3" t="str">
        <f>Loads[[#This Row],[Load]]&amp;Loads[[#This Row],[Count]]</f>
        <v>44285Product51</v>
      </c>
      <c r="D2350" s="90">
        <v>44285</v>
      </c>
      <c r="E2350" s="143">
        <v>1.9444444444444445E-2</v>
      </c>
      <c r="F2350" s="1" t="s">
        <v>9</v>
      </c>
      <c r="G2350" s="2" t="s">
        <v>16</v>
      </c>
      <c r="H2350" s="2" t="s">
        <v>42</v>
      </c>
      <c r="I2350" s="1" t="s">
        <v>11</v>
      </c>
      <c r="J2350" s="1" t="s">
        <v>8</v>
      </c>
      <c r="K2350" s="89">
        <v>13400</v>
      </c>
      <c r="L2350" s="3">
        <v>13.34</v>
      </c>
      <c r="N2350" s="3"/>
      <c r="O2350" s="3"/>
    </row>
    <row r="2351" spans="1:15" x14ac:dyDescent="0.35">
      <c r="A2351" s="5" t="str">
        <f>Loads[[#This Row],[Date]]&amp;Loads[[#This Row],[Product]]</f>
        <v>44285Product2</v>
      </c>
      <c r="B2351" s="5">
        <f>COUNTIF($A$1:A2351,Loads[[#This Row],[Load]])</f>
        <v>1</v>
      </c>
      <c r="C2351" s="3" t="str">
        <f>Loads[[#This Row],[Load]]&amp;Loads[[#This Row],[Count]]</f>
        <v>44285Product21</v>
      </c>
      <c r="D2351" s="90">
        <v>44285</v>
      </c>
      <c r="E2351" s="143">
        <v>6.0416666666666667E-2</v>
      </c>
      <c r="F2351" s="1" t="s">
        <v>9</v>
      </c>
      <c r="G2351" s="2" t="s">
        <v>13</v>
      </c>
      <c r="H2351" s="2" t="s">
        <v>42</v>
      </c>
      <c r="I2351" s="1" t="s">
        <v>11</v>
      </c>
      <c r="J2351" s="1" t="s">
        <v>8</v>
      </c>
      <c r="K2351" s="89">
        <v>10880</v>
      </c>
      <c r="L2351" s="3">
        <v>61.69</v>
      </c>
      <c r="M2351" s="3">
        <v>10.28</v>
      </c>
      <c r="N2351" s="3" t="s">
        <v>8</v>
      </c>
      <c r="O2351" s="3" t="s">
        <v>8</v>
      </c>
    </row>
    <row r="2352" spans="1:15" x14ac:dyDescent="0.35">
      <c r="A2352" s="5" t="str">
        <f>Loads[[#This Row],[Date]]&amp;Loads[[#This Row],[Product]]</f>
        <v>44285Product2</v>
      </c>
      <c r="B2352" s="5">
        <f>COUNTIF($A$1:A2352,Loads[[#This Row],[Load]])</f>
        <v>2</v>
      </c>
      <c r="C2352" s="3" t="str">
        <f>Loads[[#This Row],[Load]]&amp;Loads[[#This Row],[Count]]</f>
        <v>44285Product22</v>
      </c>
      <c r="D2352" s="90">
        <v>44285</v>
      </c>
      <c r="E2352" s="143">
        <v>6.1111111111111116E-2</v>
      </c>
      <c r="F2352" s="1" t="s">
        <v>9</v>
      </c>
      <c r="G2352" s="2" t="s">
        <v>13</v>
      </c>
      <c r="H2352" s="2" t="s">
        <v>42</v>
      </c>
      <c r="I2352" s="1" t="s">
        <v>11</v>
      </c>
      <c r="J2352" s="1" t="s">
        <v>8</v>
      </c>
      <c r="K2352" s="89">
        <v>9660</v>
      </c>
      <c r="L2352" s="3">
        <v>62.29</v>
      </c>
      <c r="M2352" s="3">
        <v>10.28</v>
      </c>
      <c r="N2352" s="3" t="s">
        <v>8</v>
      </c>
      <c r="O2352" s="3" t="s">
        <v>8</v>
      </c>
    </row>
  </sheetData>
  <dataValidations count="1">
    <dataValidation errorStyle="warning" operator="greaterThan" allowBlank="1" showErrorMessage="1" errorTitle="Verificar" error="Tem certeza que esse dado é de DS?" sqref="O1:O1048576" xr:uid="{725AB73C-A471-4954-AEAF-9AF3AC65A9F0}"/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ECBFE-35C4-4037-AA15-BFF80C710A0B}">
  <sheetPr codeName="Sheet3"/>
  <dimension ref="A1:B8"/>
  <sheetViews>
    <sheetView workbookViewId="0">
      <selection activeCell="B22" sqref="B22"/>
    </sheetView>
  </sheetViews>
  <sheetFormatPr defaultRowHeight="14.5" x14ac:dyDescent="0.35"/>
  <cols>
    <col min="1" max="1" width="16.54296875" bestFit="1" customWidth="1"/>
  </cols>
  <sheetData>
    <row r="1" spans="1:2" x14ac:dyDescent="0.35">
      <c r="A1" t="s">
        <v>12</v>
      </c>
      <c r="B1" t="s">
        <v>11</v>
      </c>
    </row>
    <row r="2" spans="1:2" x14ac:dyDescent="0.35">
      <c r="A2" t="s">
        <v>13</v>
      </c>
      <c r="B2" t="s">
        <v>0</v>
      </c>
    </row>
    <row r="3" spans="1:2" x14ac:dyDescent="0.35">
      <c r="A3" t="s">
        <v>14</v>
      </c>
      <c r="B3" t="s">
        <v>10</v>
      </c>
    </row>
    <row r="4" spans="1:2" x14ac:dyDescent="0.35">
      <c r="A4" t="s">
        <v>15</v>
      </c>
    </row>
    <row r="5" spans="1:2" x14ac:dyDescent="0.35">
      <c r="A5" t="s">
        <v>16</v>
      </c>
    </row>
    <row r="6" spans="1:2" x14ac:dyDescent="0.35">
      <c r="A6" t="s">
        <v>17</v>
      </c>
    </row>
    <row r="7" spans="1:2" x14ac:dyDescent="0.35">
      <c r="A7" t="s">
        <v>18</v>
      </c>
    </row>
    <row r="8" spans="1:2" x14ac:dyDescent="0.35">
      <c r="A8" t="s">
        <v>19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E6CA5C-E08B-4567-8C82-BF14BA201617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</vt:lpstr>
      <vt:lpstr>Monthly</vt:lpstr>
      <vt:lpstr>Loads</vt:lpstr>
      <vt:lpstr>Data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Augusto Anunciação</dc:creator>
  <cp:lastModifiedBy>Jerry Augusto Anunciação</cp:lastModifiedBy>
  <cp:lastPrinted>2021-03-31T09:39:12Z</cp:lastPrinted>
  <dcterms:created xsi:type="dcterms:W3CDTF">2019-08-05T15:48:57Z</dcterms:created>
  <dcterms:modified xsi:type="dcterms:W3CDTF">2022-06-13T19:13:30Z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381fccc7-18c3-4647-8403-bf2cce1a37cc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